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7866df17e5906f3/Documents/"/>
    </mc:Choice>
  </mc:AlternateContent>
  <xr:revisionPtr revIDLastSave="0" documentId="8_{800B1C5A-3B13-4620-A5E3-6713E5EBE2C9}" xr6:coauthVersionLast="47" xr6:coauthVersionMax="47" xr10:uidLastSave="{00000000-0000-0000-0000-000000000000}"/>
  <bookViews>
    <workbookView xWindow="0" yWindow="0" windowWidth="28800" windowHeight="18000" firstSheet="25" activeTab="25" xr2:uid="{592BAF59-7AC4-244A-A936-7C38EC02EDE1}"/>
  </bookViews>
  <sheets>
    <sheet name="FK Map" sheetId="31" r:id="rId1"/>
    <sheet name="Material Master" sheetId="13" r:id="rId2"/>
    <sheet name="Sales_SKU" sheetId="2" r:id="rId3"/>
    <sheet name="Purchase_SKU" sheetId="3" r:id="rId4"/>
    <sheet name="Regions" sheetId="4" r:id="rId5"/>
    <sheet name="Countries" sheetId="5" r:id="rId6"/>
    <sheet name="Customers" sheetId="10" r:id="rId7"/>
    <sheet name="SLA Profiles" sheetId="6" r:id="rId8"/>
    <sheet name="Orders" sheetId="14" r:id="rId9"/>
    <sheet name="Order_Line Items" sheetId="15" r:id="rId10"/>
    <sheet name="Signals" sheetId="16" r:id="rId11"/>
    <sheet name="Forecasts" sheetId="18" r:id="rId12"/>
    <sheet name="SOP Events" sheetId="17" r:id="rId13"/>
    <sheet name="Capacity Reservations" sheetId="20" r:id="rId14"/>
    <sheet name="Material Requirements Plan" sheetId="21" r:id="rId15"/>
    <sheet name="Production Plan" sheetId="22" r:id="rId16"/>
    <sheet name="Purchase Requisitions" sheetId="19" r:id="rId17"/>
    <sheet name="Plants" sheetId="7" r:id="rId18"/>
    <sheet name="Lines" sheetId="8" r:id="rId19"/>
    <sheet name="Production Runs" sheetId="23" r:id="rId20"/>
    <sheet name="Batches" sheetId="24" r:id="rId21"/>
    <sheet name="Storage Nodes" sheetId="9" r:id="rId22"/>
    <sheet name="Bins" sheetId="11" r:id="rId23"/>
    <sheet name="On Hand inventory" sheetId="25" r:id="rId24"/>
    <sheet name="LSP Master List" sheetId="12" r:id="rId25"/>
    <sheet name="Shipments" sheetId="26" r:id="rId26"/>
    <sheet name="Movements" sheetId="29" r:id="rId27"/>
    <sheet name="Exceptions" sheetId="30" r:id="rId28"/>
    <sheet name="Lessons" sheetId="27" r:id="rId29"/>
    <sheet name="Review Events" sheetId="28" r:id="rId30"/>
    <sheet name="List of Roles" sheetId="32" r:id="rId31"/>
    <sheet name="Components Descriiption" sheetId="33" r:id="rId32"/>
    <sheet name="Components and Features" sheetId="34" r:id="rId33"/>
    <sheet name="KPI Structure" sheetId="35" r:id="rId34"/>
  </sheets>
  <definedNames>
    <definedName name="_xlnm._FilterDatabase" localSheetId="0" hidden="1">'FK Map'!$A$1:$F$55</definedName>
    <definedName name="_xlnm._FilterDatabase" localSheetId="26" hidden="1">Movements!$A$4:$F$4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3" i="26" l="1" a="1"/>
  <c r="U223" i="26"/>
  <c r="U222" i="26" a="1"/>
  <c r="U222" i="26"/>
  <c r="U221" i="26" a="1"/>
  <c r="U221" i="26"/>
  <c r="U220" i="26" a="1"/>
  <c r="U220" i="26"/>
  <c r="U219" i="26" a="1"/>
  <c r="U219" i="26"/>
  <c r="U218" i="26" a="1"/>
  <c r="U218" i="26"/>
  <c r="U217" i="26" a="1"/>
  <c r="U217" i="26"/>
  <c r="U216" i="26" a="1"/>
  <c r="U216" i="26"/>
  <c r="U215" i="26" a="1"/>
  <c r="U215" i="26"/>
  <c r="U214" i="26" a="1"/>
  <c r="U214" i="26"/>
  <c r="U213" i="26" a="1"/>
  <c r="U213" i="26"/>
  <c r="U212" i="26" a="1"/>
  <c r="U212" i="26"/>
  <c r="U211" i="26" a="1"/>
  <c r="U211" i="26"/>
  <c r="U210" i="26" a="1"/>
  <c r="U210" i="26"/>
  <c r="U209" i="26" a="1"/>
  <c r="U209" i="26"/>
  <c r="U208" i="26" a="1"/>
  <c r="U208" i="26"/>
  <c r="U207" i="26" a="1"/>
  <c r="U207" i="26"/>
  <c r="U206" i="26" a="1"/>
  <c r="U206" i="26"/>
  <c r="U205" i="26" a="1"/>
  <c r="U205" i="26"/>
  <c r="U204" i="26" a="1"/>
  <c r="U204" i="26"/>
  <c r="U203" i="26" a="1"/>
  <c r="U203" i="26"/>
  <c r="U202" i="26" a="1"/>
  <c r="U202" i="26"/>
  <c r="U201" i="26" a="1"/>
  <c r="U201" i="26"/>
  <c r="U200" i="26" a="1"/>
  <c r="U200" i="26"/>
  <c r="U199" i="26" a="1"/>
  <c r="U199" i="26"/>
  <c r="U198" i="26" a="1"/>
  <c r="U198" i="26"/>
  <c r="U197" i="26" a="1"/>
  <c r="U197" i="26"/>
  <c r="U196" i="26" a="1"/>
  <c r="U196" i="26"/>
  <c r="U195" i="26" a="1"/>
  <c r="U195" i="26"/>
  <c r="U194" i="26" a="1"/>
  <c r="U194" i="26"/>
  <c r="U193" i="26" a="1"/>
  <c r="U193" i="26"/>
  <c r="U192" i="26" a="1"/>
  <c r="U192" i="26"/>
  <c r="U191" i="26" a="1"/>
  <c r="U191" i="26"/>
  <c r="U190" i="26" a="1"/>
  <c r="U190" i="26"/>
  <c r="U189" i="26" a="1"/>
  <c r="U189" i="26"/>
  <c r="U188" i="26" a="1"/>
  <c r="U188" i="26"/>
  <c r="U187" i="26" a="1"/>
  <c r="U187" i="26"/>
  <c r="U186" i="26" a="1"/>
  <c r="U186" i="26"/>
  <c r="U185" i="26" a="1"/>
  <c r="U185" i="26"/>
  <c r="U184" i="26" a="1"/>
  <c r="U184" i="26"/>
  <c r="U183" i="26" a="1"/>
  <c r="U183" i="26"/>
  <c r="U182" i="26" a="1"/>
  <c r="U182" i="26"/>
  <c r="U181" i="26" a="1"/>
  <c r="U181" i="26"/>
  <c r="U180" i="26" a="1"/>
  <c r="U180" i="26"/>
  <c r="U179" i="26" a="1"/>
  <c r="U179" i="26"/>
  <c r="U178" i="26" a="1"/>
  <c r="U178" i="26"/>
  <c r="U177" i="26" a="1"/>
  <c r="U177" i="26"/>
  <c r="U176" i="26" a="1"/>
  <c r="U176" i="26"/>
  <c r="U175" i="26" a="1"/>
  <c r="U175" i="26"/>
  <c r="U174" i="26" a="1"/>
  <c r="U174" i="26"/>
  <c r="U173" i="26" a="1"/>
  <c r="U173" i="26"/>
  <c r="U172" i="26" a="1"/>
  <c r="U172" i="26"/>
  <c r="U171" i="26" a="1"/>
  <c r="U171" i="26"/>
  <c r="U170" i="26" a="1"/>
  <c r="U170" i="26"/>
  <c r="U169" i="26" a="1"/>
  <c r="U169" i="26"/>
  <c r="U168" i="26" a="1"/>
  <c r="U168" i="26"/>
  <c r="U167" i="26" a="1"/>
  <c r="U167" i="26"/>
  <c r="U166" i="26" a="1"/>
  <c r="U166" i="26"/>
  <c r="U165" i="26" a="1"/>
  <c r="U165" i="26"/>
  <c r="U164" i="26" a="1"/>
  <c r="U164" i="26"/>
  <c r="U163" i="26" a="1"/>
  <c r="U163" i="26"/>
  <c r="U162" i="26" a="1"/>
  <c r="U162" i="26"/>
  <c r="U161" i="26" a="1"/>
  <c r="U161" i="26"/>
  <c r="U160" i="26" a="1"/>
  <c r="U160" i="26"/>
  <c r="U159" i="26" a="1"/>
  <c r="U159" i="26"/>
  <c r="U158" i="26" a="1"/>
  <c r="U158" i="26"/>
  <c r="U157" i="26" a="1"/>
  <c r="U157" i="26"/>
  <c r="U156" i="26" a="1"/>
  <c r="U156" i="26"/>
  <c r="U155" i="26" a="1"/>
  <c r="U155" i="26"/>
  <c r="U154" i="26" a="1"/>
  <c r="U154" i="26"/>
  <c r="U153" i="26" a="1"/>
  <c r="U153" i="26"/>
  <c r="U152" i="26" a="1"/>
  <c r="U152" i="26"/>
  <c r="U151" i="26" a="1"/>
  <c r="U151" i="26"/>
  <c r="U150" i="26" a="1"/>
  <c r="U150" i="26"/>
  <c r="U149" i="26" a="1"/>
  <c r="U149" i="26"/>
  <c r="U148" i="26" a="1"/>
  <c r="U148" i="26"/>
  <c r="U147" i="26" a="1"/>
  <c r="U147" i="26"/>
  <c r="U146" i="26" a="1"/>
  <c r="U146" i="26"/>
  <c r="U145" i="26" a="1"/>
  <c r="U145" i="26"/>
  <c r="U144" i="26" a="1"/>
  <c r="U144" i="26"/>
  <c r="U143" i="26" a="1"/>
  <c r="U143" i="26"/>
  <c r="U142" i="26" a="1"/>
  <c r="U142" i="26"/>
  <c r="U141" i="26" a="1"/>
  <c r="U141" i="26"/>
  <c r="U140" i="26" a="1"/>
  <c r="U140" i="26"/>
  <c r="U139" i="26" a="1"/>
  <c r="U139" i="26"/>
  <c r="U138" i="26" a="1"/>
  <c r="U138" i="26"/>
  <c r="U137" i="26" a="1"/>
  <c r="U137" i="26"/>
  <c r="U136" i="26" a="1"/>
  <c r="U136" i="26"/>
  <c r="U135" i="26" a="1"/>
  <c r="U135" i="26"/>
  <c r="U134" i="26" a="1"/>
  <c r="U134" i="26"/>
  <c r="U133" i="26" a="1"/>
  <c r="U133" i="26"/>
  <c r="U132" i="26" a="1"/>
  <c r="U132" i="26"/>
  <c r="U131" i="26" a="1"/>
  <c r="U131" i="26"/>
  <c r="U130" i="26" a="1"/>
  <c r="U130" i="26"/>
  <c r="U129" i="26" a="1"/>
  <c r="U129" i="26"/>
  <c r="U128" i="26" a="1"/>
  <c r="U128" i="26"/>
  <c r="U127" i="26" a="1"/>
  <c r="U127" i="26"/>
  <c r="U126" i="26" a="1"/>
  <c r="U126" i="26"/>
  <c r="U125" i="26" a="1"/>
  <c r="U125" i="26"/>
  <c r="U124" i="26" a="1"/>
  <c r="U124" i="26"/>
  <c r="U123" i="26" a="1"/>
  <c r="U123" i="26"/>
  <c r="U122" i="26" a="1"/>
  <c r="U122" i="26"/>
  <c r="U121" i="26" a="1"/>
  <c r="U121" i="26"/>
  <c r="U120" i="26" a="1"/>
  <c r="U120" i="26"/>
  <c r="U119" i="26" a="1"/>
  <c r="U119" i="26"/>
  <c r="U118" i="26" a="1"/>
  <c r="U118" i="26"/>
  <c r="U117" i="26" a="1"/>
  <c r="U117" i="26"/>
  <c r="U116" i="26" a="1"/>
  <c r="U116" i="26"/>
  <c r="U115" i="26" a="1"/>
  <c r="U115" i="26"/>
  <c r="U114" i="26" a="1"/>
  <c r="U114" i="26"/>
  <c r="U113" i="26" a="1"/>
  <c r="U113" i="26"/>
  <c r="U112" i="26" a="1"/>
  <c r="U112" i="26"/>
  <c r="U111" i="26" a="1"/>
  <c r="U111" i="26"/>
  <c r="U110" i="26" a="1"/>
  <c r="U110" i="26"/>
  <c r="U109" i="26" a="1"/>
  <c r="U109" i="26"/>
  <c r="U108" i="26" a="1"/>
  <c r="U108" i="26"/>
  <c r="U107" i="26" a="1"/>
  <c r="U107" i="26"/>
  <c r="U106" i="26" a="1"/>
  <c r="U106" i="26"/>
  <c r="U105" i="26" a="1"/>
  <c r="U105" i="26"/>
  <c r="U104" i="26" a="1"/>
  <c r="U104" i="26"/>
  <c r="U103" i="26" a="1"/>
  <c r="U103" i="26"/>
  <c r="U102" i="26" a="1"/>
  <c r="U102" i="26"/>
  <c r="U101" i="26" a="1"/>
  <c r="U101" i="26"/>
  <c r="U100" i="26" a="1"/>
  <c r="U100" i="26"/>
  <c r="U99" i="26" a="1"/>
  <c r="U99" i="26"/>
  <c r="U98" i="26" a="1"/>
  <c r="U98" i="26"/>
  <c r="U97" i="26" a="1"/>
  <c r="U97" i="26"/>
  <c r="U96" i="26" a="1"/>
  <c r="U96" i="26"/>
  <c r="U95" i="26" a="1"/>
  <c r="U95" i="26"/>
  <c r="U94" i="26" a="1"/>
  <c r="U94" i="26"/>
  <c r="U93" i="26" a="1"/>
  <c r="U93" i="26"/>
  <c r="U92" i="26" a="1"/>
  <c r="U92" i="26"/>
  <c r="U91" i="26" a="1"/>
  <c r="U91" i="26"/>
  <c r="U90" i="26" a="1"/>
  <c r="U90" i="26"/>
  <c r="U89" i="26" a="1"/>
  <c r="U89" i="26"/>
  <c r="U88" i="26" a="1"/>
  <c r="U88" i="26"/>
  <c r="U87" i="26" a="1"/>
  <c r="U87" i="26"/>
  <c r="U86" i="26" a="1"/>
  <c r="U86" i="26"/>
  <c r="U85" i="26" a="1"/>
  <c r="U85" i="26"/>
  <c r="U84" i="26" a="1"/>
  <c r="U84" i="26"/>
  <c r="U83" i="26" a="1"/>
  <c r="U83" i="26"/>
  <c r="U82" i="26" a="1"/>
  <c r="U82" i="26"/>
  <c r="U81" i="26" a="1"/>
  <c r="U81" i="26"/>
  <c r="U80" i="26" a="1"/>
  <c r="U80" i="26"/>
  <c r="U79" i="26" a="1"/>
  <c r="U79" i="26"/>
  <c r="U78" i="26" a="1"/>
  <c r="U78" i="26"/>
  <c r="U77" i="26" a="1"/>
  <c r="U77" i="26"/>
  <c r="U76" i="26" a="1"/>
  <c r="U76" i="26"/>
  <c r="U75" i="26" a="1"/>
  <c r="U75" i="26"/>
  <c r="U74" i="26" a="1"/>
  <c r="U74" i="26"/>
  <c r="U73" i="26" a="1"/>
  <c r="U73" i="26"/>
  <c r="U72" i="26" a="1"/>
  <c r="U72" i="26"/>
  <c r="U71" i="26" a="1"/>
  <c r="U71" i="26"/>
  <c r="U70" i="26" a="1"/>
  <c r="U70" i="26"/>
  <c r="U69" i="26" a="1"/>
  <c r="U69" i="26"/>
  <c r="U68" i="26" a="1"/>
  <c r="U68" i="26"/>
  <c r="U67" i="26" a="1"/>
  <c r="U67" i="26"/>
  <c r="U66" i="26" a="1"/>
  <c r="U66" i="26"/>
  <c r="U65" i="26" a="1"/>
  <c r="U65" i="26"/>
  <c r="U64" i="26" a="1"/>
  <c r="U64" i="26"/>
  <c r="U63" i="26" a="1"/>
  <c r="U63" i="26"/>
  <c r="U62" i="26" a="1"/>
  <c r="U62" i="26"/>
  <c r="U61" i="26" a="1"/>
  <c r="U61" i="26"/>
  <c r="U60" i="26" a="1"/>
  <c r="U60" i="26"/>
  <c r="U59" i="26" a="1"/>
  <c r="U59" i="26"/>
  <c r="U58" i="26" a="1"/>
  <c r="U58" i="26"/>
  <c r="U57" i="26" a="1"/>
  <c r="U57" i="26"/>
  <c r="U56" i="26" a="1"/>
  <c r="U56" i="26"/>
  <c r="U55" i="26" a="1"/>
  <c r="U55" i="26"/>
  <c r="U54" i="26" a="1"/>
  <c r="U54" i="26"/>
  <c r="U53" i="26" a="1"/>
  <c r="U53" i="26"/>
  <c r="U52" i="26" a="1"/>
  <c r="U52" i="26"/>
  <c r="U51" i="26" a="1"/>
  <c r="U51" i="26"/>
  <c r="U50" i="26" a="1"/>
  <c r="U50" i="26"/>
  <c r="U49" i="26" a="1"/>
  <c r="U49" i="26"/>
  <c r="U48" i="26" a="1"/>
  <c r="U48" i="26"/>
  <c r="U47" i="26" a="1"/>
  <c r="U47" i="26"/>
  <c r="U46" i="26" a="1"/>
  <c r="U46" i="26"/>
  <c r="U45" i="26" a="1"/>
  <c r="U45" i="26"/>
  <c r="U44" i="26" a="1"/>
  <c r="U44" i="26"/>
  <c r="U43" i="26" a="1"/>
  <c r="U43" i="26"/>
  <c r="U42" i="26" a="1"/>
  <c r="U42" i="26"/>
  <c r="U41" i="26" a="1"/>
  <c r="U41" i="26"/>
  <c r="U40" i="26" a="1"/>
  <c r="U40" i="26"/>
  <c r="U39" i="26" a="1"/>
  <c r="U39" i="26"/>
  <c r="U38" i="26" a="1"/>
  <c r="U38" i="26"/>
  <c r="U37" i="26" a="1"/>
  <c r="U37" i="26"/>
  <c r="U36" i="26" a="1"/>
  <c r="U36" i="26"/>
  <c r="U35" i="26" a="1"/>
  <c r="U35" i="26"/>
  <c r="U34" i="26" a="1"/>
  <c r="U34" i="26"/>
  <c r="U33" i="26" a="1"/>
  <c r="U33" i="26"/>
  <c r="U32" i="26" a="1"/>
  <c r="U32" i="26"/>
  <c r="U31" i="26" a="1"/>
  <c r="U31" i="26"/>
  <c r="U30" i="26" a="1"/>
  <c r="U30" i="26"/>
  <c r="U29" i="26" a="1"/>
  <c r="U29" i="26"/>
  <c r="U28" i="26" a="1"/>
  <c r="U28" i="26"/>
  <c r="U27" i="26" a="1"/>
  <c r="U27" i="26"/>
  <c r="U26" i="26" a="1"/>
  <c r="U26" i="26"/>
  <c r="U25" i="26" a="1"/>
  <c r="U25" i="26"/>
  <c r="U24" i="26" a="1"/>
  <c r="U24" i="26"/>
  <c r="U23" i="26" a="1"/>
  <c r="U23" i="26"/>
  <c r="U22" i="26" a="1"/>
  <c r="U22" i="26"/>
  <c r="U21" i="26" a="1"/>
  <c r="U21" i="26"/>
  <c r="U20" i="26" a="1"/>
  <c r="U20" i="26"/>
  <c r="U19" i="26" a="1"/>
  <c r="U19" i="26"/>
  <c r="U18" i="26" a="1"/>
  <c r="U18" i="26"/>
  <c r="U17" i="26" a="1"/>
  <c r="U17" i="26"/>
  <c r="U16" i="26" a="1"/>
  <c r="U16" i="26"/>
  <c r="U15" i="26" a="1"/>
  <c r="U15" i="26"/>
  <c r="U14" i="26" a="1"/>
  <c r="U14" i="26"/>
  <c r="U13" i="26" a="1"/>
  <c r="U13" i="26"/>
  <c r="U12" i="26" a="1"/>
  <c r="U12" i="26"/>
  <c r="U11" i="26" a="1"/>
  <c r="U11" i="26"/>
  <c r="U10" i="26" a="1"/>
  <c r="U10" i="26"/>
  <c r="U9" i="26" a="1"/>
  <c r="U9" i="26"/>
  <c r="U8" i="26" a="1"/>
  <c r="U8" i="26"/>
  <c r="U7" i="26" a="1"/>
  <c r="U7" i="26"/>
  <c r="U6" i="26" a="1"/>
  <c r="U6" i="26"/>
  <c r="U5" i="26" a="1"/>
  <c r="U5" i="26"/>
  <c r="U4" i="26" a="1"/>
  <c r="U4" i="26"/>
  <c r="B1" i="18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H201" i="23"/>
  <c r="H202" i="23"/>
  <c r="H203" i="23"/>
  <c r="H204" i="23"/>
  <c r="H205" i="23"/>
  <c r="H206" i="23"/>
  <c r="H207" i="23"/>
  <c r="H208" i="23"/>
  <c r="H209" i="23"/>
  <c r="H210" i="23"/>
  <c r="H211" i="23"/>
  <c r="H212" i="23"/>
  <c r="H213" i="23"/>
  <c r="H214" i="23"/>
  <c r="H215" i="23"/>
  <c r="H216" i="23"/>
  <c r="H217" i="23"/>
  <c r="H218" i="23"/>
  <c r="H219" i="23"/>
  <c r="H220" i="23"/>
  <c r="H221" i="23"/>
  <c r="H222" i="23"/>
  <c r="H223" i="23"/>
  <c r="H224" i="23"/>
  <c r="H225" i="23"/>
  <c r="H226" i="23"/>
  <c r="H227" i="23"/>
  <c r="H228" i="23"/>
  <c r="H229" i="23"/>
  <c r="H230" i="23"/>
  <c r="H231" i="23"/>
  <c r="H232" i="23"/>
  <c r="H233" i="23"/>
  <c r="H234" i="23"/>
  <c r="H235" i="23"/>
  <c r="H236" i="23"/>
  <c r="H237" i="23"/>
  <c r="H238" i="23"/>
  <c r="H239" i="23"/>
  <c r="H240" i="23"/>
  <c r="H241" i="23"/>
  <c r="H242" i="23"/>
  <c r="H243" i="23"/>
  <c r="H244" i="23"/>
  <c r="H245" i="23"/>
  <c r="H246" i="23"/>
  <c r="H247" i="23"/>
  <c r="H248" i="23"/>
  <c r="H249" i="23"/>
  <c r="H250" i="23"/>
  <c r="H251" i="23"/>
  <c r="H252" i="23"/>
  <c r="H253" i="23"/>
  <c r="H254" i="23"/>
  <c r="H255" i="23"/>
  <c r="H256" i="23"/>
  <c r="H257" i="23"/>
  <c r="H258" i="23"/>
  <c r="H259" i="23"/>
  <c r="H260" i="23"/>
  <c r="H261" i="23"/>
  <c r="H262" i="23"/>
  <c r="H263" i="23"/>
  <c r="H264" i="23"/>
  <c r="H265" i="23"/>
  <c r="H266" i="23"/>
  <c r="H267" i="23"/>
  <c r="H268" i="23"/>
  <c r="H269" i="23"/>
  <c r="H270" i="23"/>
  <c r="H271" i="23"/>
  <c r="H272" i="23"/>
  <c r="H273" i="23"/>
  <c r="H274" i="23"/>
  <c r="H275" i="23"/>
  <c r="H276" i="23"/>
  <c r="H277" i="23"/>
  <c r="H278" i="23"/>
  <c r="H279" i="23"/>
  <c r="H280" i="23"/>
  <c r="H281" i="23"/>
  <c r="H282" i="23"/>
  <c r="H283" i="23"/>
  <c r="H284" i="23"/>
  <c r="H285" i="23"/>
  <c r="H286" i="23"/>
  <c r="H287" i="23"/>
  <c r="H288" i="23"/>
  <c r="H289" i="23"/>
  <c r="H290" i="23"/>
  <c r="H291" i="23"/>
  <c r="H292" i="23"/>
  <c r="H293" i="23"/>
  <c r="H294" i="23"/>
  <c r="H295" i="23"/>
  <c r="H296" i="23"/>
  <c r="H297" i="23"/>
  <c r="H298" i="23"/>
  <c r="H299" i="23"/>
  <c r="H300" i="23"/>
  <c r="H301" i="23"/>
  <c r="H302" i="23"/>
  <c r="H303" i="23"/>
  <c r="H304" i="23"/>
  <c r="J105" i="22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<sst xmlns="http://schemas.openxmlformats.org/spreadsheetml/2006/main" count="25173" uniqueCount="6384">
  <si>
    <t>S.No.</t>
  </si>
  <si>
    <t>Table</t>
  </si>
  <si>
    <t>Column</t>
  </si>
  <si>
    <t>Reference Table</t>
  </si>
  <si>
    <t>Reference Column</t>
  </si>
  <si>
    <t>Cardinality</t>
  </si>
  <si>
    <t>Sales_SKU</t>
  </si>
  <si>
    <t>SKU Code</t>
  </si>
  <si>
    <t>Material Master</t>
  </si>
  <si>
    <t>One to one</t>
  </si>
  <si>
    <t>plant</t>
  </si>
  <si>
    <t>Plants</t>
  </si>
  <si>
    <t>plant_code</t>
  </si>
  <si>
    <t>Many to one</t>
  </si>
  <si>
    <t>market_eligibility</t>
  </si>
  <si>
    <t>Regions</t>
  </si>
  <si>
    <t>region_id</t>
  </si>
  <si>
    <t>Purchase_SKU</t>
  </si>
  <si>
    <t>SKU code</t>
  </si>
  <si>
    <t>Countries</t>
  </si>
  <si>
    <t>Customers</t>
  </si>
  <si>
    <t>country_iso</t>
  </si>
  <si>
    <t>iso_code</t>
  </si>
  <si>
    <t>customer_region_id</t>
  </si>
  <si>
    <t>SLA Profiles</t>
  </si>
  <si>
    <t>scope_region_id</t>
  </si>
  <si>
    <t>Lines</t>
  </si>
  <si>
    <t>plant_id</t>
  </si>
  <si>
    <t>Bins</t>
  </si>
  <si>
    <t>node_id</t>
  </si>
  <si>
    <t>Storage Nodes</t>
  </si>
  <si>
    <t>LSP Master List</t>
  </si>
  <si>
    <t>base_node_id</t>
  </si>
  <si>
    <t>coverage_nodes</t>
  </si>
  <si>
    <t>primary_sla_profile_id</t>
  </si>
  <si>
    <t>sla_id</t>
  </si>
  <si>
    <t>Orders</t>
  </si>
  <si>
    <t>Customer ID</t>
  </si>
  <si>
    <t>customer_id</t>
  </si>
  <si>
    <t>To WH ID</t>
  </si>
  <si>
    <t>Order_Line Items</t>
  </si>
  <si>
    <t>Order_id</t>
  </si>
  <si>
    <t>Order ID</t>
  </si>
  <si>
    <t>SLA Profile ID</t>
  </si>
  <si>
    <t>Fulfilled by WH ID</t>
  </si>
  <si>
    <t>SKU ID</t>
  </si>
  <si>
    <t>Forecast ID</t>
  </si>
  <si>
    <t>Forecasts</t>
  </si>
  <si>
    <t>Signals</t>
  </si>
  <si>
    <t>Exception ID</t>
  </si>
  <si>
    <t>Exceptions</t>
  </si>
  <si>
    <t>SOP Events</t>
  </si>
  <si>
    <t>Region Scope</t>
  </si>
  <si>
    <t>Demand Region ID</t>
  </si>
  <si>
    <t>S&amp;OP Event ID</t>
  </si>
  <si>
    <t>Capacity Reservations</t>
  </si>
  <si>
    <t>Line ID</t>
  </si>
  <si>
    <t>line_id</t>
  </si>
  <si>
    <t>Material Requirements Plan</t>
  </si>
  <si>
    <t>Capacity Reservation ID</t>
  </si>
  <si>
    <t>Production Plan</t>
  </si>
  <si>
    <t>Purchase Requisitions</t>
  </si>
  <si>
    <t>Production Plan ID</t>
  </si>
  <si>
    <t>SKU_id</t>
  </si>
  <si>
    <t>Production Runs</t>
  </si>
  <si>
    <t>Batches</t>
  </si>
  <si>
    <t>Production Run ID</t>
  </si>
  <si>
    <t>PR Line Item_ID</t>
  </si>
  <si>
    <t>PR Line ID</t>
  </si>
  <si>
    <t>On Hand inventory</t>
  </si>
  <si>
    <t>Batch ID</t>
  </si>
  <si>
    <t>Batch No./Lot No.</t>
  </si>
  <si>
    <t>Bin ID</t>
  </si>
  <si>
    <t>bin_id</t>
  </si>
  <si>
    <t>Shipments</t>
  </si>
  <si>
    <t>From Storage Location</t>
  </si>
  <si>
    <t>From Plant Location</t>
  </si>
  <si>
    <t>To Storage Location</t>
  </si>
  <si>
    <t>To Plant Location</t>
  </si>
  <si>
    <t>Freight Forwarder/Carrier ID</t>
  </si>
  <si>
    <t>lsp_id</t>
  </si>
  <si>
    <t>Movements</t>
  </si>
  <si>
    <t>Shipment ID</t>
  </si>
  <si>
    <t>Batch No.</t>
  </si>
  <si>
    <t>Lessons ID</t>
  </si>
  <si>
    <t>Lessons</t>
  </si>
  <si>
    <t>Review ID</t>
  </si>
  <si>
    <t>Review Events</t>
  </si>
  <si>
    <t>Review Event ID</t>
  </si>
  <si>
    <t>SKU Code (Primary Key)</t>
  </si>
  <si>
    <t>cas_number</t>
  </si>
  <si>
    <t>hazard_class</t>
  </si>
  <si>
    <t>shelf_life_months</t>
  </si>
  <si>
    <t>ESS-ACETYL-ETHACE-LM-98.5-NEAT-BULK-DST</t>
  </si>
  <si>
    <t>141-78-6</t>
  </si>
  <si>
    <t>Flam. Liq. 2</t>
  </si>
  <si>
    <t>SPI-ACETYL-ACEANH-PH-98.6-NEAT-DR200_UN-MHD</t>
  </si>
  <si>
    <t>108-24-7</t>
  </si>
  <si>
    <t>Skin Corr. 1B</t>
  </si>
  <si>
    <t>SPI-ACETYL-ACE-IND-98.4-NEAT-ISO20-LTE</t>
  </si>
  <si>
    <t>75-07-0</t>
  </si>
  <si>
    <t>Flam. Liq. 2; Acute Tox. 3</t>
  </si>
  <si>
    <t>ESS-ACETYL-BUTACE-TECH-98.3-NEAT-DR200-DHJ</t>
  </si>
  <si>
    <t>123-86-4</t>
  </si>
  <si>
    <t>Flam. Liq. 3</t>
  </si>
  <si>
    <t>ESS-ACETYL-MAA-LM-98.4-NEAT-IBC1KL-DST</t>
  </si>
  <si>
    <t>105-45-3</t>
  </si>
  <si>
    <t>SPI-ACETYL-EAA-IND-99.2-NEAT-DR200-MHD</t>
  </si>
  <si>
    <t>141-97-9</t>
  </si>
  <si>
    <t>ESS-ACETYL-AAEM-TECH-98.8-NEAT-BULK-LTE</t>
  </si>
  <si>
    <t>21282-97-3</t>
  </si>
  <si>
    <t>Skin Sens. 1</t>
  </si>
  <si>
    <t>ESS-DKD-DKDINT-INK-99.6-NEAT-DR200-DHJ</t>
  </si>
  <si>
    <t>6742-54-7</t>
  </si>
  <si>
    <t>ESS-ARYLIDE-ARYINT-IND-99.9-PWD-BAG25-DST</t>
  </si>
  <si>
    <t>645-56-7</t>
  </si>
  <si>
    <t>Skin Irrit. 2</t>
  </si>
  <si>
    <t>ESS-FLUORO-FLRBLK-LM-99.9-PWD-BAG25-MHD</t>
  </si>
  <si>
    <t>461-72-3</t>
  </si>
  <si>
    <t>DG (Fluoro)</t>
  </si>
  <si>
    <t>SPI-ACETYL-ETHACE-TECH-99.9-NEAT-BULK-LTE</t>
  </si>
  <si>
    <t>ESS-ACETYL-ACEANH-TECH-98.1-NEAT-ISO20-DHJ</t>
  </si>
  <si>
    <t>ESS-ACETYL-ACE-TECH-98.8-NEAT-DR200_UN-DST</t>
  </si>
  <si>
    <t>ESS-ACETYL-BUTACE-IND-98.3-NEAT-ISO20-MHD</t>
  </si>
  <si>
    <t>SPI-ACETYL-MAA-TECH-98.7-NEAT-DR200-LTE</t>
  </si>
  <si>
    <t>ESS-ACETYL-EAA-INK-98.3-NEAT-DR200-DHJ</t>
  </si>
  <si>
    <t>ESS-ACETYL-AAEM-PH-99.3-NEAT-BULK-DST</t>
  </si>
  <si>
    <t>ESS-DKD-DKDINT-LM-98.0-NEAT-DR200-MHD</t>
  </si>
  <si>
    <t>ESS-ARYLIDE-ARYINT-LM-98.5-PWD-BAG25-LTE</t>
  </si>
  <si>
    <t>SPI-FLUORO-FLRBLK-LM-99.0-PWD-BAG25-DHJ</t>
  </si>
  <si>
    <t>ESS-ACETYL-ETHACE-LM-99.7-NEAT-IBC1KL-DST</t>
  </si>
  <si>
    <t>ESS-ACETYL-ACEANH-IND-98.8-NEAT-BULK-MHD</t>
  </si>
  <si>
    <t>ESS-ACETYL-ACE-PH-98.5-NEAT-DR200_UN-LTE</t>
  </si>
  <si>
    <t>ESS-ACETYL-BUTACE-IND-98.9-NEAT-ISO20-DHJ</t>
  </si>
  <si>
    <t>ESS-ACETYL-MAA-TECH-98.1-NEAT-IBC1KL-DST</t>
  </si>
  <si>
    <t>ESS-ACETYL-EAA-IND-98.3-NEAT-IBC1KL-MHD</t>
  </si>
  <si>
    <t>ESS-ACETYL-AAEM-INK-99.7-NEAT-IBC1KL-LTE</t>
  </si>
  <si>
    <t>SPI-DKD-DKDINT-IND-98.4-NEAT-ISO20-DHJ</t>
  </si>
  <si>
    <t>SPI-ARYLIDE-ARYINT-TECH-98.4-PWD-BAG25-DST</t>
  </si>
  <si>
    <t>SPI-FLUORO-FLRBLK-PH-99.9-PWD-BAG25-MHD</t>
  </si>
  <si>
    <t>SPI-ACETYL-ETHACE-LM-99.0-NEAT-ISO20-LTE</t>
  </si>
  <si>
    <t>ESS-ACETYL-ACEANH-PH-99.7-NEAT-ISO20-DHJ</t>
  </si>
  <si>
    <t>ESS-ACETYL-ACE-TECH-98.2-NEAT-ISO20-DST</t>
  </si>
  <si>
    <t>ESS-ACETYL-BUTACE-PH-98.5-NEAT-ISO20-MHD</t>
  </si>
  <si>
    <t>ESS-ACETYL-MAA-IND-98.7-NEAT-DR200-LTE</t>
  </si>
  <si>
    <t>ESS-ACETYL-EAA-IND-98.8-NEAT-DR200-DHJ</t>
  </si>
  <si>
    <t>ESS-ACETYL-AAEM-LM-98.8-NEAT-BULK-DST</t>
  </si>
  <si>
    <t>ESS-DKD-DKDINT-TECH-98.8-NEAT-ISO20-MHD</t>
  </si>
  <si>
    <t>ESS-ARYLIDE-ARYINT-TECH-98.8-PWD-BAG25-LTE</t>
  </si>
  <si>
    <t>ESS-FLUORO-FLRBLK-LM-98.9-PWD-BAG25-DHJ</t>
  </si>
  <si>
    <t>RM-ETH-AL-64175</t>
  </si>
  <si>
    <t>64-17-5</t>
  </si>
  <si>
    <t>RM-AAC-GL-23011</t>
  </si>
  <si>
    <t>64-19-7</t>
  </si>
  <si>
    <t>Skin Corr. 1A</t>
  </si>
  <si>
    <t>RM-BUT-NB-51720</t>
  </si>
  <si>
    <t>71-36-3</t>
  </si>
  <si>
    <t>RM-ETL-AC-11804</t>
  </si>
  <si>
    <t>RM-MTH-AA-40218</t>
  </si>
  <si>
    <t>79-41-4</t>
  </si>
  <si>
    <t>RM-ANI-LN-90355</t>
  </si>
  <si>
    <t>62-53-3</t>
  </si>
  <si>
    <t>Acute Tox. 3</t>
  </si>
  <si>
    <t>RM-PCA-AN-77210</t>
  </si>
  <si>
    <t>106-47-8</t>
  </si>
  <si>
    <t>RM-OAN-AS-55102</t>
  </si>
  <si>
    <t>90-04-0</t>
  </si>
  <si>
    <t>RM-DIK-ET-88412</t>
  </si>
  <si>
    <t>674-82-8</t>
  </si>
  <si>
    <t>INT-KET-INS-145120</t>
  </si>
  <si>
    <t>463-51-4</t>
  </si>
  <si>
    <t>Flam. Gas 1; Acute Tox. 2</t>
  </si>
  <si>
    <t>INT-DKD-INT-342781</t>
  </si>
  <si>
    <t/>
  </si>
  <si>
    <t>INT-ARY-INT-558903</t>
  </si>
  <si>
    <t>INT-FLR-BLK-903117</t>
  </si>
  <si>
    <t>RM-SUL-AC-10477</t>
  </si>
  <si>
    <t>7664-93-9</t>
  </si>
  <si>
    <t>RM-HCL-32-65019</t>
  </si>
  <si>
    <t>7647-01-0</t>
  </si>
  <si>
    <t>RM-NAO-CP-77811</t>
  </si>
  <si>
    <t>1310-73-2</t>
  </si>
  <si>
    <t>RM-ACN-SV-33120</t>
  </si>
  <si>
    <t>75-05-8</t>
  </si>
  <si>
    <t>RM-TOL-SV-90412</t>
  </si>
  <si>
    <t>108-88-3</t>
  </si>
  <si>
    <t>RM-MEO-SV-11024</t>
  </si>
  <si>
    <t>67-56-1</t>
  </si>
  <si>
    <t>RM-PDH-CB-61302</t>
  </si>
  <si>
    <t>7440-05-3</t>
  </si>
  <si>
    <t>RM-PTC-CAT-27190</t>
  </si>
  <si>
    <t>1643-19-2</t>
  </si>
  <si>
    <t>Acute Tox. 4</t>
  </si>
  <si>
    <t>PACK-DRM-HD-20001</t>
  </si>
  <si>
    <t>PACK-IBC-IB-10002</t>
  </si>
  <si>
    <t>PACK-BAG-PP-25003</t>
  </si>
  <si>
    <t>PACK-LIN-FX-12004</t>
  </si>
  <si>
    <t>PACK-SEA-DR-33005</t>
  </si>
  <si>
    <t>INT-ACE-ANH-772001</t>
  </si>
  <si>
    <t>INT-AAA-EMM-990812</t>
  </si>
  <si>
    <t>FG_Primary Key</t>
  </si>
  <si>
    <t>SKU Code (FK)</t>
  </si>
  <si>
    <t>business_unit</t>
  </si>
  <si>
    <t>Product family</t>
  </si>
  <si>
    <t>Product Sub-group (molecule_name)</t>
  </si>
  <si>
    <t>Variant (grade)</t>
  </si>
  <si>
    <t>Spec 1 (key_specs_assay_pct)</t>
  </si>
  <si>
    <t>Spec 2 (key_specs_moisture_ppm)</t>
  </si>
  <si>
    <t>Spec 3 (key_specs_color_apha)</t>
  </si>
  <si>
    <t>form</t>
  </si>
  <si>
    <t>packaging</t>
  </si>
  <si>
    <t>plant (plant FK)</t>
  </si>
  <si>
    <t>market_eligibility (regions FK)</t>
  </si>
  <si>
    <t>regulatory_set_id</t>
  </si>
  <si>
    <t>FG01</t>
  </si>
  <si>
    <t>Essentials</t>
  </si>
  <si>
    <t>ACETYL</t>
  </si>
  <si>
    <t>Ethyl Acetate</t>
  </si>
  <si>
    <t>LM</t>
  </si>
  <si>
    <t>BULK</t>
  </si>
  <si>
    <t>DST</t>
  </si>
  <si>
    <t>IN</t>
  </si>
  <si>
    <t>REG-IN-ACETYL-LM</t>
  </si>
  <si>
    <t>FG02</t>
  </si>
  <si>
    <t>EU</t>
  </si>
  <si>
    <t>REG-EU-ACETYL-LM</t>
  </si>
  <si>
    <t>FG03</t>
  </si>
  <si>
    <t>APAC</t>
  </si>
  <si>
    <t>REG-APAC-ACETYL-LM</t>
  </si>
  <si>
    <t>FG04</t>
  </si>
  <si>
    <t>Specialties</t>
  </si>
  <si>
    <t>Acetic Anhydride</t>
  </si>
  <si>
    <t>PH</t>
  </si>
  <si>
    <t>DR200_UN</t>
  </si>
  <si>
    <t>MHD</t>
  </si>
  <si>
    <t>REG-IN-ACETYL-PH</t>
  </si>
  <si>
    <t>FG05</t>
  </si>
  <si>
    <t>REG-EU-ACETYL-PH</t>
  </si>
  <si>
    <t>FG06</t>
  </si>
  <si>
    <t>REG-APAC-ACETYL-PH</t>
  </si>
  <si>
    <t>FG07</t>
  </si>
  <si>
    <t>Acetaldehyde</t>
  </si>
  <si>
    <t>IND</t>
  </si>
  <si>
    <t>ISO20</t>
  </si>
  <si>
    <t>LTE</t>
  </si>
  <si>
    <t>REG-IN-ACETYL-IND</t>
  </si>
  <si>
    <t>FG08</t>
  </si>
  <si>
    <t>REG-EU-ACETYL-IND</t>
  </si>
  <si>
    <t>FG09</t>
  </si>
  <si>
    <t>REG-APAC-ACETYL-IND</t>
  </si>
  <si>
    <t>FG10</t>
  </si>
  <si>
    <t>Butyl Acetate</t>
  </si>
  <si>
    <t>TECH</t>
  </si>
  <si>
    <t>DR200</t>
  </si>
  <si>
    <t>DHJ</t>
  </si>
  <si>
    <t>REG-IN-ACETYL-TECH</t>
  </si>
  <si>
    <t>FG11</t>
  </si>
  <si>
    <t>REG-EU-ACETYL-TECH</t>
  </si>
  <si>
    <t>FG12</t>
  </si>
  <si>
    <t>REG-APAC-ACETYL-TECH</t>
  </si>
  <si>
    <t>FG13</t>
  </si>
  <si>
    <t>Methyl Acetoacetate</t>
  </si>
  <si>
    <t>IBC1KL</t>
  </si>
  <si>
    <t>FG14</t>
  </si>
  <si>
    <t>FG15</t>
  </si>
  <si>
    <t>FG16</t>
  </si>
  <si>
    <t>Ethyl Acetoacetate</t>
  </si>
  <si>
    <t>FG17</t>
  </si>
  <si>
    <t>FG18</t>
  </si>
  <si>
    <t>FG19</t>
  </si>
  <si>
    <t>AAEM (Acetoacetoxyethyl Methacrylate)</t>
  </si>
  <si>
    <t>FG20</t>
  </si>
  <si>
    <t>FG21</t>
  </si>
  <si>
    <t>FG22</t>
  </si>
  <si>
    <t>DKD</t>
  </si>
  <si>
    <t>DKD Intermediate</t>
  </si>
  <si>
    <t>INK</t>
  </si>
  <si>
    <t>REG-IN-DKD-INK</t>
  </si>
  <si>
    <t>FG23</t>
  </si>
  <si>
    <t>REG-EU-DKD-INK</t>
  </si>
  <si>
    <t>FG24</t>
  </si>
  <si>
    <t>REG-APAC-DKD-INK</t>
  </si>
  <si>
    <t>FG25</t>
  </si>
  <si>
    <t>ARYLIDE</t>
  </si>
  <si>
    <t>Arylide Intermediate</t>
  </si>
  <si>
    <t>BAG25</t>
  </si>
  <si>
    <t>REG-IN-ARYLIDE-IND</t>
  </si>
  <si>
    <t>FG26</t>
  </si>
  <si>
    <t>REG-EU-ARYLIDE-IND</t>
  </si>
  <si>
    <t>FG27</t>
  </si>
  <si>
    <t>REG-APAC-ARYLIDE-IND</t>
  </si>
  <si>
    <t>FG28</t>
  </si>
  <si>
    <t>FLUORO</t>
  </si>
  <si>
    <t>Fluoro Building Block</t>
  </si>
  <si>
    <t>REG-IN-FLUORO-LM</t>
  </si>
  <si>
    <t>FG29</t>
  </si>
  <si>
    <t>REG-EU-FLUORO-LM</t>
  </si>
  <si>
    <t>FG30</t>
  </si>
  <si>
    <t>REG-APAC-FLUORO-LM</t>
  </si>
  <si>
    <t>FG31</t>
  </si>
  <si>
    <t>FG32</t>
  </si>
  <si>
    <t>FG33</t>
  </si>
  <si>
    <t>FG34</t>
  </si>
  <si>
    <t>FG35</t>
  </si>
  <si>
    <t>FG36</t>
  </si>
  <si>
    <t>FG37</t>
  </si>
  <si>
    <t>FG38</t>
  </si>
  <si>
    <t>FG39</t>
  </si>
  <si>
    <t>FG40</t>
  </si>
  <si>
    <t>FG41</t>
  </si>
  <si>
    <t>FG42</t>
  </si>
  <si>
    <t>FG43</t>
  </si>
  <si>
    <t>FG44</t>
  </si>
  <si>
    <t>FG45</t>
  </si>
  <si>
    <t>FG46</t>
  </si>
  <si>
    <t>REG-IN-ACETYL-INK</t>
  </si>
  <si>
    <t>FG47</t>
  </si>
  <si>
    <t>REG-EU-ACETYL-INK</t>
  </si>
  <si>
    <t>FG48</t>
  </si>
  <si>
    <t>REG-APAC-ACETYL-INK</t>
  </si>
  <si>
    <t>FG49</t>
  </si>
  <si>
    <t>FG50</t>
  </si>
  <si>
    <t>FG51</t>
  </si>
  <si>
    <t>FG52</t>
  </si>
  <si>
    <t>REG-IN-DKD-LM</t>
  </si>
  <si>
    <t>FG53</t>
  </si>
  <si>
    <t>REG-EU-DKD-LM</t>
  </si>
  <si>
    <t>FG54</t>
  </si>
  <si>
    <t>REG-APAC-DKD-LM</t>
  </si>
  <si>
    <t>FG55</t>
  </si>
  <si>
    <t>REG-IN-ARYLIDE-LM</t>
  </si>
  <si>
    <t>FG56</t>
  </si>
  <si>
    <t>REG-EU-ARYLIDE-LM</t>
  </si>
  <si>
    <t>FG57</t>
  </si>
  <si>
    <t>REG-APAC-ARYLIDE-LM</t>
  </si>
  <si>
    <t>FG58</t>
  </si>
  <si>
    <t>FG59</t>
  </si>
  <si>
    <t>FG60</t>
  </si>
  <si>
    <t>FG61</t>
  </si>
  <si>
    <t>FG62</t>
  </si>
  <si>
    <t>FG63</t>
  </si>
  <si>
    <t>FG64</t>
  </si>
  <si>
    <t>FG65</t>
  </si>
  <si>
    <t>FG66</t>
  </si>
  <si>
    <t>FG67</t>
  </si>
  <si>
    <t>FG68</t>
  </si>
  <si>
    <t>FG69</t>
  </si>
  <si>
    <t>FG70</t>
  </si>
  <si>
    <t>FG71</t>
  </si>
  <si>
    <t>FG72</t>
  </si>
  <si>
    <t>FG73</t>
  </si>
  <si>
    <t>FG74</t>
  </si>
  <si>
    <t>FG75</t>
  </si>
  <si>
    <t>FG76</t>
  </si>
  <si>
    <t>FG77</t>
  </si>
  <si>
    <t>FG78</t>
  </si>
  <si>
    <t>FG79</t>
  </si>
  <si>
    <t>FG80</t>
  </si>
  <si>
    <t>FG81</t>
  </si>
  <si>
    <t>FG82</t>
  </si>
  <si>
    <t>REG-IN-DKD-IND</t>
  </si>
  <si>
    <t>FG83</t>
  </si>
  <si>
    <t>REG-EU-DKD-IND</t>
  </si>
  <si>
    <t>FG84</t>
  </si>
  <si>
    <t>REG-APAC-DKD-IND</t>
  </si>
  <si>
    <t>FG85</t>
  </si>
  <si>
    <t>REG-IN-ARYLIDE-TECH</t>
  </si>
  <si>
    <t>FG86</t>
  </si>
  <si>
    <t>REG-EU-ARYLIDE-TECH</t>
  </si>
  <si>
    <t>FG87</t>
  </si>
  <si>
    <t>REG-APAC-ARYLIDE-TECH</t>
  </si>
  <si>
    <t>FG88</t>
  </si>
  <si>
    <t>REG-IN-FLUORO-PH</t>
  </si>
  <si>
    <t>FG89</t>
  </si>
  <si>
    <t>REG-EU-FLUORO-PH</t>
  </si>
  <si>
    <t>FG90</t>
  </si>
  <si>
    <t>REG-APAC-FLUORO-PH</t>
  </si>
  <si>
    <t>FG91</t>
  </si>
  <si>
    <t>FG92</t>
  </si>
  <si>
    <t>FG93</t>
  </si>
  <si>
    <t>FG94</t>
  </si>
  <si>
    <t>FG95</t>
  </si>
  <si>
    <t>FG96</t>
  </si>
  <si>
    <t>FG97</t>
  </si>
  <si>
    <t>FG98</t>
  </si>
  <si>
    <t>FG99</t>
  </si>
  <si>
    <t>FG100</t>
  </si>
  <si>
    <t>FG101</t>
  </si>
  <si>
    <t>FG102</t>
  </si>
  <si>
    <t>FG103</t>
  </si>
  <si>
    <t>FG104</t>
  </si>
  <si>
    <t>FG105</t>
  </si>
  <si>
    <t>FG106</t>
  </si>
  <si>
    <t>FG107</t>
  </si>
  <si>
    <t>FG108</t>
  </si>
  <si>
    <t>FG109</t>
  </si>
  <si>
    <t>FG110</t>
  </si>
  <si>
    <t>FG111</t>
  </si>
  <si>
    <t>FG112</t>
  </si>
  <si>
    <t>REG-IN-DKD-TECH</t>
  </si>
  <si>
    <t>FG113</t>
  </si>
  <si>
    <t>REG-EU-DKD-TECH</t>
  </si>
  <si>
    <t>FG114</t>
  </si>
  <si>
    <t>REG-APAC-DKD-TECH</t>
  </si>
  <si>
    <t>FG115</t>
  </si>
  <si>
    <t>FG116</t>
  </si>
  <si>
    <t>FG117</t>
  </si>
  <si>
    <t>FG118</t>
  </si>
  <si>
    <t>FG119</t>
  </si>
  <si>
    <t>FG120</t>
  </si>
  <si>
    <t>rm_id (Primary Key)</t>
  </si>
  <si>
    <t>SKU code (FK)</t>
  </si>
  <si>
    <t>rm_name</t>
  </si>
  <si>
    <t>rm_type</t>
  </si>
  <si>
    <t>uom</t>
  </si>
  <si>
    <t>storage_type</t>
  </si>
  <si>
    <t>storage_temp_c</t>
  </si>
  <si>
    <t>lead_time_days</t>
  </si>
  <si>
    <t>criticality</t>
  </si>
  <si>
    <t>approved_for_families</t>
  </si>
  <si>
    <t>primary_source_region_id</t>
  </si>
  <si>
    <t>notes</t>
  </si>
  <si>
    <t>RM0001</t>
  </si>
  <si>
    <t>Ethyl Alcohol (Ethanol)</t>
  </si>
  <si>
    <t>RAW_MATERIAL</t>
  </si>
  <si>
    <t>MT</t>
  </si>
  <si>
    <t>Tank</t>
  </si>
  <si>
    <t>Ambient</t>
  </si>
  <si>
    <t>A</t>
  </si>
  <si>
    <t>ACETYL,DKD</t>
  </si>
  <si>
    <t>DOM</t>
  </si>
  <si>
    <t>Bulk solvent/feed; excise-controlled; illustrative</t>
  </si>
  <si>
    <t>RM0002</t>
  </si>
  <si>
    <t>Acetic Acid (Glacial)</t>
  </si>
  <si>
    <t>Corrosive; dedicated SS tank; illustrative</t>
  </si>
  <si>
    <t>RM0003</t>
  </si>
  <si>
    <t>n-Butanol</t>
  </si>
  <si>
    <t>B</t>
  </si>
  <si>
    <t>Flammable; used for butyl acetate; illustrative</t>
  </si>
  <si>
    <t>RM0004</t>
  </si>
  <si>
    <t>Ethyl Acetate (Solvent grade)</t>
  </si>
  <si>
    <t>Purchased solvent for blends/cleaning; illustrative</t>
  </si>
  <si>
    <t>RM0005</t>
  </si>
  <si>
    <t>Methacrylic Acid</t>
  </si>
  <si>
    <t>KG</t>
  </si>
  <si>
    <t>Drum/IBC</t>
  </si>
  <si>
    <t>Inhibitor present; check MEHQ ppm; illustrative</t>
  </si>
  <si>
    <t>RM0006</t>
  </si>
  <si>
    <t>Aniline</t>
  </si>
  <si>
    <t>Toxic; COA required per batch; illustrative</t>
  </si>
  <si>
    <t>RM0007</t>
  </si>
  <si>
    <t>p-Chloroaniline</t>
  </si>
  <si>
    <t>Bag</t>
  </si>
  <si>
    <t>Solid; store dry; sieve before charge; illustrative</t>
  </si>
  <si>
    <t>RM0008</t>
  </si>
  <si>
    <t>o-Anisidine</t>
  </si>
  <si>
    <t>Light sensitive; nitrogen blanket preferred; illustrative</t>
  </si>
  <si>
    <t>RM0009</t>
  </si>
  <si>
    <t>Diketene</t>
  </si>
  <si>
    <t>2-8</t>
  </si>
  <si>
    <t>DKD,ACETYL</t>
  </si>
  <si>
    <t>Refrigerated storage; moisture sensitive; illustrative</t>
  </si>
  <si>
    <t>RM0010</t>
  </si>
  <si>
    <t>Ketene (in-situ)</t>
  </si>
  <si>
    <t>INTERMEDIATE</t>
  </si>
  <si>
    <t>On-site Generation</t>
  </si>
  <si>
    <t>N/A</t>
  </si>
  <si>
    <t>Generated on demand; no inventory; illustrative</t>
  </si>
  <si>
    <t>RM0011</t>
  </si>
  <si>
    <t>DKD Intermediate (Crude)</t>
  </si>
  <si>
    <t>Internal transfer; QC release required; illustrative</t>
  </si>
  <si>
    <t>RM0012</t>
  </si>
  <si>
    <t>Arylide Intermediate (Wet cake)</t>
  </si>
  <si>
    <t>Moist solid; process within 48h; illustrative</t>
  </si>
  <si>
    <t>RM0013</t>
  </si>
  <si>
    <t>Fluoro Building Block (Stage-1)</t>
  </si>
  <si>
    <t>DG handling; segregate from bases; illustrative</t>
  </si>
  <si>
    <t>RM0014</t>
  </si>
  <si>
    <t>Sulfuric Acid 98%</t>
  </si>
  <si>
    <t>Acid catalyst; dedicated line; illustrative</t>
  </si>
  <si>
    <t>RM0015</t>
  </si>
  <si>
    <t>Hydrochloric Acid 32%</t>
  </si>
  <si>
    <t>ARYLIDE,FLUORO</t>
  </si>
  <si>
    <t>Scrubber/neutralization; corrosion checks; illustrative</t>
  </si>
  <si>
    <t>RM0016</t>
  </si>
  <si>
    <t>Sodium Hydroxide (Caustic Soda)</t>
  </si>
  <si>
    <t>ACETYL,DKD,ARYLIDE,FLUORO</t>
  </si>
  <si>
    <t>Pellets/flakes; keep dry; illustrative</t>
  </si>
  <si>
    <t>RM0017</t>
  </si>
  <si>
    <t>Acetonitrile</t>
  </si>
  <si>
    <t>Flammable; HPLC-grade if required; illustrative</t>
  </si>
  <si>
    <t>RM0018</t>
  </si>
  <si>
    <t>Toluene</t>
  </si>
  <si>
    <t>C</t>
  </si>
  <si>
    <t>Solvent; monitor water ppm; illustrative</t>
  </si>
  <si>
    <t>RM0019</t>
  </si>
  <si>
    <t>Methanol</t>
  </si>
  <si>
    <t>MEA</t>
  </si>
  <si>
    <t>Toxic/flammable; denatured as applicable; illustrative</t>
  </si>
  <si>
    <t>RM0020</t>
  </si>
  <si>
    <t>Palladium on Carbon (5%)</t>
  </si>
  <si>
    <t>FLUORO,ARYLIDE</t>
  </si>
  <si>
    <t>Catalyst; return spent for recovery; illustrative</t>
  </si>
  <si>
    <t>RM0021</t>
  </si>
  <si>
    <t>Phase Transfer Catalyst (TBAB)</t>
  </si>
  <si>
    <t>Hygroscopic; keep sealed; illustrative</t>
  </si>
  <si>
    <t>RM0022</t>
  </si>
  <si>
    <t>HDPE Drum 200L (UN)</t>
  </si>
  <si>
    <t>PACKAGING</t>
  </si>
  <si>
    <t>EA</t>
  </si>
  <si>
    <t>For hazardous liquids; stack limit per SOP; illustrative</t>
  </si>
  <si>
    <t>RM0023</t>
  </si>
  <si>
    <t>IBC 1000L Composite</t>
  </si>
  <si>
    <t>Food/chem grade as required; inspect valves; illustrative</t>
  </si>
  <si>
    <t>RM0024</t>
  </si>
  <si>
    <t>PP Bag 25 kg (liner)</t>
  </si>
  <si>
    <t>For powders; include inner PE liner; illustrative</t>
  </si>
  <si>
    <t>RM0025</t>
  </si>
  <si>
    <t>Flexitank Liner (ISO)</t>
  </si>
  <si>
    <t>Export bulk packing; verify compatibility; illustrative</t>
  </si>
  <si>
    <t>RM0026</t>
  </si>
  <si>
    <t>Drum Seal / Gasket Set</t>
  </si>
  <si>
    <t>Consumable for closures; maintain min-max; illustrative</t>
  </si>
  <si>
    <t>RM0027</t>
  </si>
  <si>
    <t>Acetic Anhydride (Pre-react mix)</t>
  </si>
  <si>
    <t>Prepared blend; use within shift; illustrative</t>
  </si>
  <si>
    <t>RM0028</t>
  </si>
  <si>
    <t>AAEM Precursor (Stabilized)</t>
  </si>
  <si>
    <t>Stabilized intermediate; check inhibitor; illustrative</t>
  </si>
  <si>
    <t>region_id (Primary Key)</t>
  </si>
  <si>
    <t>region_name</t>
  </si>
  <si>
    <t>type</t>
  </si>
  <si>
    <t>active</t>
  </si>
  <si>
    <t>India (Domestic)</t>
  </si>
  <si>
    <t>COUNTRY</t>
  </si>
  <si>
    <t>Domestic sales; GST invoicing; standard road lanes.</t>
  </si>
  <si>
    <t>European Union</t>
  </si>
  <si>
    <t>BLOC</t>
  </si>
  <si>
    <t>REACH/CLP compliance; SDS in local languages; DG-capable sea lanes.</t>
  </si>
  <si>
    <t>AMER</t>
  </si>
  <si>
    <t>Americas</t>
  </si>
  <si>
    <t>REGION</t>
  </si>
  <si>
    <t>US/LatAm exports; TSCA alignment; longer lead times via ocean freight.</t>
  </si>
  <si>
    <t>Asia Pacific</t>
  </si>
  <si>
    <t>APAC export hub; varied local registrations; mixed sea/road lanes.</t>
  </si>
  <si>
    <t>Middle East &amp; Africa</t>
  </si>
  <si>
    <t>Often DG documentation required; bank LC common; temperature exposure risk.</t>
  </si>
  <si>
    <t>ROW</t>
  </si>
  <si>
    <t>Rest of World</t>
  </si>
  <si>
    <t>Catch-all region for ad-hoc exports; validate local regulatory needs per shipment.</t>
  </si>
  <si>
    <t>country_id (Primary Key)</t>
  </si>
  <si>
    <t>country_name</t>
  </si>
  <si>
    <t>region_id (FK)</t>
  </si>
  <si>
    <t>India</t>
  </si>
  <si>
    <t>Home market; GST/road lanes.</t>
  </si>
  <si>
    <t>DEU</t>
  </si>
  <si>
    <t>Germany</t>
  </si>
  <si>
    <t>DE</t>
  </si>
  <si>
    <t>EU; REACH/CLP aligned.</t>
  </si>
  <si>
    <t>FRA</t>
  </si>
  <si>
    <t>France</t>
  </si>
  <si>
    <t>FR</t>
  </si>
  <si>
    <t>EU; DG documentation common.</t>
  </si>
  <si>
    <t>ITA</t>
  </si>
  <si>
    <t>Italy</t>
  </si>
  <si>
    <t>IT</t>
  </si>
  <si>
    <t>EU; port lead times vary.</t>
  </si>
  <si>
    <t>ESP</t>
  </si>
  <si>
    <t>Spain</t>
  </si>
  <si>
    <t>ES</t>
  </si>
  <si>
    <t>EU; distributor network.</t>
  </si>
  <si>
    <t>NLD</t>
  </si>
  <si>
    <t>Netherlands</t>
  </si>
  <si>
    <t>NL</t>
  </si>
  <si>
    <t>EU hub; Rotterdam.</t>
  </si>
  <si>
    <t>BEL</t>
  </si>
  <si>
    <t>Belgium</t>
  </si>
  <si>
    <t>BE</t>
  </si>
  <si>
    <t>EU chemicals; strict SDS.</t>
  </si>
  <si>
    <t>POL</t>
  </si>
  <si>
    <t>Poland</t>
  </si>
  <si>
    <t>PL</t>
  </si>
  <si>
    <t>EU; growing demand.</t>
  </si>
  <si>
    <t>SWE</t>
  </si>
  <si>
    <t>Sweden</t>
  </si>
  <si>
    <t>SE</t>
  </si>
  <si>
    <t>EU; DG sea lanes.</t>
  </si>
  <si>
    <t>DNK</t>
  </si>
  <si>
    <t>Denmark</t>
  </si>
  <si>
    <t>DK</t>
  </si>
  <si>
    <t>AUT</t>
  </si>
  <si>
    <t>Austria</t>
  </si>
  <si>
    <t>AT</t>
  </si>
  <si>
    <t>EU; inland trucking.</t>
  </si>
  <si>
    <t>CZE</t>
  </si>
  <si>
    <t>Czech Republic</t>
  </si>
  <si>
    <t>CZ</t>
  </si>
  <si>
    <t>EU; labeling compliance.</t>
  </si>
  <si>
    <t>HUN</t>
  </si>
  <si>
    <t>Hungary</t>
  </si>
  <si>
    <t>HU</t>
  </si>
  <si>
    <t>EU; REACH checks.</t>
  </si>
  <si>
    <t>ROU</t>
  </si>
  <si>
    <t>Romania</t>
  </si>
  <si>
    <t>RO</t>
  </si>
  <si>
    <t>EU; mixed sea/inland.</t>
  </si>
  <si>
    <t>PRT</t>
  </si>
  <si>
    <t>Portugal</t>
  </si>
  <si>
    <t>PT</t>
  </si>
  <si>
    <t>EU; smaller lots.</t>
  </si>
  <si>
    <t>IRL</t>
  </si>
  <si>
    <t>Ireland</t>
  </si>
  <si>
    <t>IE</t>
  </si>
  <si>
    <t>EU; pharma/tech demand.</t>
  </si>
  <si>
    <t>GRC</t>
  </si>
  <si>
    <t>Greece</t>
  </si>
  <si>
    <t>GR</t>
  </si>
  <si>
    <t>EU; sea freight preferred.</t>
  </si>
  <si>
    <t>FIN</t>
  </si>
  <si>
    <t>Finland</t>
  </si>
  <si>
    <t>FI</t>
  </si>
  <si>
    <t>EU; longer inland transit.</t>
  </si>
  <si>
    <t>BGR</t>
  </si>
  <si>
    <t>Bulgaria</t>
  </si>
  <si>
    <t>BG</t>
  </si>
  <si>
    <t>EU; distributor-based.</t>
  </si>
  <si>
    <t>GBR</t>
  </si>
  <si>
    <t>United Kingdom</t>
  </si>
  <si>
    <t>GB</t>
  </si>
  <si>
    <t>Europe region (non-EU); UK REACH.</t>
  </si>
  <si>
    <t>CHE</t>
  </si>
  <si>
    <t>Switzerland</t>
  </si>
  <si>
    <t>CH</t>
  </si>
  <si>
    <t>Europe region (non-EU); Swiss regs.</t>
  </si>
  <si>
    <t>NOR</t>
  </si>
  <si>
    <t>Norway</t>
  </si>
  <si>
    <t>NO</t>
  </si>
  <si>
    <t>EEA market; EU-style SDS.</t>
  </si>
  <si>
    <t>USA</t>
  </si>
  <si>
    <t>United States</t>
  </si>
  <si>
    <t>US</t>
  </si>
  <si>
    <t>TSCA alignment; ocean transit.</t>
  </si>
  <si>
    <t>CAN</t>
  </si>
  <si>
    <t>Canada</t>
  </si>
  <si>
    <t>CA</t>
  </si>
  <si>
    <t>WHMIS/SDS compliance.</t>
  </si>
  <si>
    <t>MEX</t>
  </si>
  <si>
    <t>Mexico</t>
  </si>
  <si>
    <t>MX</t>
  </si>
  <si>
    <t>LatAm; documentation varies.</t>
  </si>
  <si>
    <t>BRA</t>
  </si>
  <si>
    <t>Brazil</t>
  </si>
  <si>
    <t>BR</t>
  </si>
  <si>
    <t>LatAm; regulatory checks.</t>
  </si>
  <si>
    <t>ARG</t>
  </si>
  <si>
    <t>Argentina</t>
  </si>
  <si>
    <t>AR</t>
  </si>
  <si>
    <t>LC/FX terms common.</t>
  </si>
  <si>
    <t>CHL</t>
  </si>
  <si>
    <t>Chile</t>
  </si>
  <si>
    <t>CL</t>
  </si>
  <si>
    <t>Port-led; DG capable.</t>
  </si>
  <si>
    <t>COL</t>
  </si>
  <si>
    <t>Colombia</t>
  </si>
  <si>
    <t>CO</t>
  </si>
  <si>
    <t>Spanish labels; distributor model.</t>
  </si>
  <si>
    <t>CHN</t>
  </si>
  <si>
    <t>China</t>
  </si>
  <si>
    <t>CN</t>
  </si>
  <si>
    <t>APAC volumes; local regs vary.</t>
  </si>
  <si>
    <t>JPN</t>
  </si>
  <si>
    <t>Japan</t>
  </si>
  <si>
    <t>JP</t>
  </si>
  <si>
    <t>High spec; tight QC.</t>
  </si>
  <si>
    <t>KOR</t>
  </si>
  <si>
    <t>South Korea</t>
  </si>
  <si>
    <t>KR</t>
  </si>
  <si>
    <t>K-REACH awareness.</t>
  </si>
  <si>
    <t>SGP</t>
  </si>
  <si>
    <t>Singapore</t>
  </si>
  <si>
    <t>SG</t>
  </si>
  <si>
    <t>SEA hub; re-export.</t>
  </si>
  <si>
    <t>MYS</t>
  </si>
  <si>
    <t>Malaysia</t>
  </si>
  <si>
    <t>MY</t>
  </si>
  <si>
    <t>SEA customers; container lanes.</t>
  </si>
  <si>
    <t>THA</t>
  </si>
  <si>
    <t>Thailand</t>
  </si>
  <si>
    <t>TH</t>
  </si>
  <si>
    <t>Regional distributors.</t>
  </si>
  <si>
    <t>VNM</t>
  </si>
  <si>
    <t>Vietnam</t>
  </si>
  <si>
    <t>VN</t>
  </si>
  <si>
    <t>Fast growth; SDS formats.</t>
  </si>
  <si>
    <t>IDN</t>
  </si>
  <si>
    <t>Indonesia</t>
  </si>
  <si>
    <t>ID</t>
  </si>
  <si>
    <t>Import permits may apply.</t>
  </si>
  <si>
    <t>AUS</t>
  </si>
  <si>
    <t>Australia</t>
  </si>
  <si>
    <t>AU</t>
  </si>
  <si>
    <t>AICIS checks; DG by sea.</t>
  </si>
  <si>
    <t>NZL</t>
  </si>
  <si>
    <t>New Zealand</t>
  </si>
  <si>
    <t>NZ</t>
  </si>
  <si>
    <t>Smaller; consolidate.</t>
  </si>
  <si>
    <t>PHL</t>
  </si>
  <si>
    <t>Philippines</t>
  </si>
  <si>
    <t>DG docs; containerized.</t>
  </si>
  <si>
    <t>TWN</t>
  </si>
  <si>
    <t>Taiwan</t>
  </si>
  <si>
    <t>TW</t>
  </si>
  <si>
    <t>Tech demand; spec adherence.</t>
  </si>
  <si>
    <t>ARE</t>
  </si>
  <si>
    <t>United Arab Emirates</t>
  </si>
  <si>
    <t>AE</t>
  </si>
  <si>
    <t>GCC hub; LC common.</t>
  </si>
  <si>
    <t>SAU</t>
  </si>
  <si>
    <t>Saudi Arabia</t>
  </si>
  <si>
    <t>SA</t>
  </si>
  <si>
    <t>SABER/SASO documentation.</t>
  </si>
  <si>
    <t>KWT</t>
  </si>
  <si>
    <t>Kuwait</t>
  </si>
  <si>
    <t>KW</t>
  </si>
  <si>
    <t>DG documentation; port handling.</t>
  </si>
  <si>
    <t>OMN</t>
  </si>
  <si>
    <t>Oman</t>
  </si>
  <si>
    <t>OM</t>
  </si>
  <si>
    <t>Sea freight; regional trading.</t>
  </si>
  <si>
    <t>EGY</t>
  </si>
  <si>
    <t>Egypt</t>
  </si>
  <si>
    <t>EG</t>
  </si>
  <si>
    <t>North Africa; customs docs.</t>
  </si>
  <si>
    <t>MAR</t>
  </si>
  <si>
    <t>Morocco</t>
  </si>
  <si>
    <t>MA</t>
  </si>
  <si>
    <t>North Africa; port-led.</t>
  </si>
  <si>
    <t>ZAF</t>
  </si>
  <si>
    <t>South Africa</t>
  </si>
  <si>
    <t>ZA</t>
  </si>
  <si>
    <t>DG ocean freight; distributor.</t>
  </si>
  <si>
    <t>NGA</t>
  </si>
  <si>
    <t>Nigeria</t>
  </si>
  <si>
    <t>NG</t>
  </si>
  <si>
    <t>LC common; compliance docs.</t>
  </si>
  <si>
    <t>TUR</t>
  </si>
  <si>
    <t>Turkey</t>
  </si>
  <si>
    <t>TR</t>
  </si>
  <si>
    <t>Bridge market; labeling checks.</t>
  </si>
  <si>
    <t>ISR</t>
  </si>
  <si>
    <t>Israel</t>
  </si>
  <si>
    <t>IL</t>
  </si>
  <si>
    <t>Specialty demand; DG handling.</t>
  </si>
  <si>
    <t>IRN</t>
  </si>
  <si>
    <t>Iran</t>
  </si>
  <si>
    <t>IR</t>
  </si>
  <si>
    <t>Restricted market; illustrative inactive.</t>
  </si>
  <si>
    <t>customer_id (Primary Key)</t>
  </si>
  <si>
    <t>customer_name</t>
  </si>
  <si>
    <t>customer_type</t>
  </si>
  <si>
    <t>industry</t>
  </si>
  <si>
    <t>industry_code</t>
  </si>
  <si>
    <t>customer_region_id (FK-style)</t>
  </si>
  <si>
    <t>country_iso (FK)</t>
  </si>
  <si>
    <t>city</t>
  </si>
  <si>
    <t>currency</t>
  </si>
  <si>
    <t>channel</t>
  </si>
  <si>
    <t>risk_rating</t>
  </si>
  <si>
    <t>status</t>
  </si>
  <si>
    <t>gst_vat_id</t>
  </si>
  <si>
    <t>key_account_manager</t>
  </si>
  <si>
    <t>created_date</t>
  </si>
  <si>
    <t>CUS0001</t>
  </si>
  <si>
    <t>GreenField Pharma GmbH</t>
  </si>
  <si>
    <t>B2B</t>
  </si>
  <si>
    <t>Pharmaceuticals</t>
  </si>
  <si>
    <t>PHARMA</t>
  </si>
  <si>
    <t>Ahmedabad</t>
  </si>
  <si>
    <t>INR</t>
  </si>
  <si>
    <t>Direct</t>
  </si>
  <si>
    <t>Active</t>
  </si>
  <si>
    <t>TAX-IN-499676</t>
  </si>
  <si>
    <t>Team-Strategic</t>
  </si>
  <si>
    <t>CUS0002</t>
  </si>
  <si>
    <t>Keystone Pigments Co. Ltd</t>
  </si>
  <si>
    <t>Adhesives</t>
  </si>
  <si>
    <t>ADH</t>
  </si>
  <si>
    <t>Shanghai</t>
  </si>
  <si>
    <t>CNY</t>
  </si>
  <si>
    <t>Distributor</t>
  </si>
  <si>
    <t>TAX-CN-943121</t>
  </si>
  <si>
    <t>Team-Intl</t>
  </si>
  <si>
    <t>CUS0003</t>
  </si>
  <si>
    <t>Aurum Agro S.A.</t>
  </si>
  <si>
    <t>Industrial Solvents</t>
  </si>
  <si>
    <t>SOLV</t>
  </si>
  <si>
    <t>Mumbai</t>
  </si>
  <si>
    <t>TAX-IN-696397</t>
  </si>
  <si>
    <t>Team-South</t>
  </si>
  <si>
    <t>CUS0004</t>
  </si>
  <si>
    <t>BluePeak Agro Ltd</t>
  </si>
  <si>
    <t>Pigments</t>
  </si>
  <si>
    <t>PIGM</t>
  </si>
  <si>
    <t>Newark</t>
  </si>
  <si>
    <t>USD</t>
  </si>
  <si>
    <t>TAX-US-215769</t>
  </si>
  <si>
    <t>CUS0005</t>
  </si>
  <si>
    <t>Keystone Coatings S.A.</t>
  </si>
  <si>
    <t>Inks &amp; Coatings</t>
  </si>
  <si>
    <t>INKS</t>
  </si>
  <si>
    <t>Gurgaon</t>
  </si>
  <si>
    <t>TAX-IN-979970</t>
  </si>
  <si>
    <t>Team-West</t>
  </si>
  <si>
    <t>CUS0006</t>
  </si>
  <si>
    <t>Sapphire Pharma NV</t>
  </si>
  <si>
    <t>Shenzhen</t>
  </si>
  <si>
    <t>TAX-CN-490679</t>
  </si>
  <si>
    <t>CUS0007</t>
  </si>
  <si>
    <t>Sterling Solvents GmbH</t>
  </si>
  <si>
    <t>TAX-IN-987820</t>
  </si>
  <si>
    <t>CUS0008</t>
  </si>
  <si>
    <t>Nimbus Pigments S.A.</t>
  </si>
  <si>
    <t>Agrochemicals</t>
  </si>
  <si>
    <t>AGRO</t>
  </si>
  <si>
    <t>TAX-US-840961</t>
  </si>
  <si>
    <t>CUS0009</t>
  </si>
  <si>
    <t>Silverline Pharma Inc.</t>
  </si>
  <si>
    <t>Packaging</t>
  </si>
  <si>
    <t>PKG</t>
  </si>
  <si>
    <t>TAX-IN-700729</t>
  </si>
  <si>
    <t>CUS0010</t>
  </si>
  <si>
    <t>Keystone Coatings Co. Ltd</t>
  </si>
  <si>
    <t>Lyon</t>
  </si>
  <si>
    <t>EUR</t>
  </si>
  <si>
    <t>TAX-FR-255209</t>
  </si>
  <si>
    <t>CUS0011</t>
  </si>
  <si>
    <t>Nimbus Packaging NV</t>
  </si>
  <si>
    <t>Barcelona</t>
  </si>
  <si>
    <t>TAX-SE-766346</t>
  </si>
  <si>
    <t>CUS0012</t>
  </si>
  <si>
    <t>Sterling Agro LLP</t>
  </si>
  <si>
    <t>Chennai</t>
  </si>
  <si>
    <t>Prospect</t>
  </si>
  <si>
    <t>TAX-IN-731425</t>
  </si>
  <si>
    <t>CUS0013</t>
  </si>
  <si>
    <t>Aster Solvents Pvt Ltd</t>
  </si>
  <si>
    <t>Atlanta</t>
  </si>
  <si>
    <t>TAX-US-024067</t>
  </si>
  <si>
    <t>CUS0014</t>
  </si>
  <si>
    <t>Aurum Packaging NV</t>
  </si>
  <si>
    <t>Bengaluru</t>
  </si>
  <si>
    <t>TAX-IN-282453</t>
  </si>
  <si>
    <t>Team-North</t>
  </si>
  <si>
    <t>CUS0015</t>
  </si>
  <si>
    <t>Sunrise Adhesives LLP</t>
  </si>
  <si>
    <t>TAX-IN-748504</t>
  </si>
  <si>
    <t>CUS0016</t>
  </si>
  <si>
    <t>Sunrise Agro S.A.</t>
  </si>
  <si>
    <t>Pune</t>
  </si>
  <si>
    <t>TAX-IN-426290</t>
  </si>
  <si>
    <t>CUS0017</t>
  </si>
  <si>
    <t>Granite Solvents Co. Ltd</t>
  </si>
  <si>
    <t>Philadelphia</t>
  </si>
  <si>
    <t>TAX-US-516431</t>
  </si>
  <si>
    <t>CUS0018</t>
  </si>
  <si>
    <t>Zenith Packaging Co. Ltd</t>
  </si>
  <si>
    <t>TAX-IN-571558</t>
  </si>
  <si>
    <t>CUS0019</t>
  </si>
  <si>
    <t>Falcon Pharma Ltd</t>
  </si>
  <si>
    <t>Kolkata</t>
  </si>
  <si>
    <t>TAX-IN-091395</t>
  </si>
  <si>
    <t>CUS0020</t>
  </si>
  <si>
    <t>Riviera Solvents Trading GmbH</t>
  </si>
  <si>
    <t>Jeddah</t>
  </si>
  <si>
    <t>SAR</t>
  </si>
  <si>
    <t>TAX-SA-240631</t>
  </si>
  <si>
    <t>CUS0021</t>
  </si>
  <si>
    <t>Zenith Coatings Pvt Ltd</t>
  </si>
  <si>
    <t>TAX-IN-123465</t>
  </si>
  <si>
    <t>CUS0022</t>
  </si>
  <si>
    <t>Sunrise Solvents LLP</t>
  </si>
  <si>
    <t>UK</t>
  </si>
  <si>
    <t>Birmingham</t>
  </si>
  <si>
    <t>GBP</t>
  </si>
  <si>
    <t>TAX-GB-862977</t>
  </si>
  <si>
    <t>CUS0023</t>
  </si>
  <si>
    <t>Vertex Pharma S.A.</t>
  </si>
  <si>
    <t>TAX-IN-091483</t>
  </si>
  <si>
    <t>CUS0024</t>
  </si>
  <si>
    <t>Trident Solvents Ltd</t>
  </si>
  <si>
    <t>TAX-IN-981591</t>
  </si>
  <si>
    <t>CUS0025</t>
  </si>
  <si>
    <t>Trident Agro Inc.</t>
  </si>
  <si>
    <t>TAX-IN-584142</t>
  </si>
  <si>
    <t>CUS0026</t>
  </si>
  <si>
    <t>Summit Packaging Ltd</t>
  </si>
  <si>
    <t>TAX-CN-708598</t>
  </si>
  <si>
    <t>CUS0027</t>
  </si>
  <si>
    <t>Indochem Coatings GmbH</t>
  </si>
  <si>
    <t>Warsaw</t>
  </si>
  <si>
    <t>TAX-FR-036705</t>
  </si>
  <si>
    <t>CUS0028</t>
  </si>
  <si>
    <t>GreenField Agro S.A.</t>
  </si>
  <si>
    <t>TAX-IN-204547</t>
  </si>
  <si>
    <t>CUS0029</t>
  </si>
  <si>
    <t>Summit Agro S.A.</t>
  </si>
  <si>
    <t>Delhi</t>
  </si>
  <si>
    <t>TAX-IN-224759</t>
  </si>
  <si>
    <t>CUS0030</t>
  </si>
  <si>
    <t>Atlas Solvents Co. Ltd</t>
  </si>
  <si>
    <t>TAX-IN-402228</t>
  </si>
  <si>
    <t>CUS0031</t>
  </si>
  <si>
    <t>Aster Coatings Ltd</t>
  </si>
  <si>
    <t>Suzhou</t>
  </si>
  <si>
    <t>TAX-CN-477529</t>
  </si>
  <si>
    <t>CUS0032</t>
  </si>
  <si>
    <t>Atlas Solvents LLP</t>
  </si>
  <si>
    <t>Los Angeles</t>
  </si>
  <si>
    <t>TAX-US-212440</t>
  </si>
  <si>
    <t>CUS0033</t>
  </si>
  <si>
    <t>Falcon Packaging Inc.</t>
  </si>
  <si>
    <t>TAX-IN-523462</t>
  </si>
  <si>
    <t>CUS0034</t>
  </si>
  <si>
    <t>Silverline Agro Ltd</t>
  </si>
  <si>
    <t>TAX-CN-598546</t>
  </si>
  <si>
    <t>CUS0035</t>
  </si>
  <si>
    <t>Atlas Adhesives GmbH</t>
  </si>
  <si>
    <t>TAX-IN-432583</t>
  </si>
  <si>
    <t>CUS0036</t>
  </si>
  <si>
    <t>Trident Pigments Pvt Ltd</t>
  </si>
  <si>
    <t>Vadodara</t>
  </si>
  <si>
    <t>TAX-IN-251389</t>
  </si>
  <si>
    <t>CUS0037</t>
  </si>
  <si>
    <t>Vertex Coatings NV</t>
  </si>
  <si>
    <t>TAX-IN-085886</t>
  </si>
  <si>
    <t>CUS0038</t>
  </si>
  <si>
    <t>Sunrise Solvents S.A.</t>
  </si>
  <si>
    <t>Guangzhou</t>
  </si>
  <si>
    <t>TAX-CN-698664</t>
  </si>
  <si>
    <t>CUS0039</t>
  </si>
  <si>
    <t>Sunrise Packaging LLP</t>
  </si>
  <si>
    <t>Hyderabad</t>
  </si>
  <si>
    <t>TAX-IN-294476</t>
  </si>
  <si>
    <t>CUS0040</t>
  </si>
  <si>
    <t>Aster Pigments Ltd</t>
  </si>
  <si>
    <t>TAX-IN-605724</t>
  </si>
  <si>
    <t>CUS0041</t>
  </si>
  <si>
    <t>Vantage Pharma Inc.</t>
  </si>
  <si>
    <t>TAX-US-922561</t>
  </si>
  <si>
    <t>CUS0042</t>
  </si>
  <si>
    <t>Indochem Solvents GmbH</t>
  </si>
  <si>
    <t>London</t>
  </si>
  <si>
    <t>TAX-GB-330415</t>
  </si>
  <si>
    <t>CUS0043</t>
  </si>
  <si>
    <t>Everest Adhesives Co. Ltd</t>
  </si>
  <si>
    <t>Tianjin</t>
  </si>
  <si>
    <t>TAX-CN-451441</t>
  </si>
  <si>
    <t>CUS0044</t>
  </si>
  <si>
    <t>Kaveri Adhesives S.A.</t>
  </si>
  <si>
    <t>TAX-GB-545562</t>
  </si>
  <si>
    <t>CUS0045</t>
  </si>
  <si>
    <t>Riviera Solvents NV</t>
  </si>
  <si>
    <t>TAX-CN-168700</t>
  </si>
  <si>
    <t>CUS0046</t>
  </si>
  <si>
    <t>Everest Solvents Pvt Ltd</t>
  </si>
  <si>
    <t>TAX-IN-501485</t>
  </si>
  <si>
    <t>CUS0047</t>
  </si>
  <si>
    <t>Riviera Packaging Inc.</t>
  </si>
  <si>
    <t>TAX-FR-890425</t>
  </si>
  <si>
    <t>CUS0048</t>
  </si>
  <si>
    <t>Riviera Coatings LLP</t>
  </si>
  <si>
    <t>Rotterdam</t>
  </si>
  <si>
    <t>TAX-DE-330032</t>
  </si>
  <si>
    <t>CUS0049</t>
  </si>
  <si>
    <t>Vantage Adhesives S.A.</t>
  </si>
  <si>
    <t>TAX-CN-636998</t>
  </si>
  <si>
    <t>CUS0050</t>
  </si>
  <si>
    <t>Meridian Coatings LLP</t>
  </si>
  <si>
    <t>TAX-IT-253533</t>
  </si>
  <si>
    <t>CUS0051</t>
  </si>
  <si>
    <t>Vantage Solvents Co. Ltd</t>
  </si>
  <si>
    <t>Milan</t>
  </si>
  <si>
    <t>TAX-NL-297246</t>
  </si>
  <si>
    <t>CUS0052</t>
  </si>
  <si>
    <t>BluePeak Solvents Trading Pvt Ltd</t>
  </si>
  <si>
    <t>TAX-SA-719309</t>
  </si>
  <si>
    <t>CUS0053</t>
  </si>
  <si>
    <t>Summit Agro Co. Ltd</t>
  </si>
  <si>
    <t>TAX-IN-844054</t>
  </si>
  <si>
    <t>CUS0054</t>
  </si>
  <si>
    <t>Everest Agro LLP</t>
  </si>
  <si>
    <t>TAX-IN-895402</t>
  </si>
  <si>
    <t>CUS0055</t>
  </si>
  <si>
    <t>Aster Pharma Inc.</t>
  </si>
  <si>
    <t>Houston</t>
  </si>
  <si>
    <t>TAX-US-419446</t>
  </si>
  <si>
    <t>CUS0056</t>
  </si>
  <si>
    <t>NovaChem Pharma Co. Ltd</t>
  </si>
  <si>
    <t>TAX-IN-698545</t>
  </si>
  <si>
    <t>CUS0057</t>
  </si>
  <si>
    <t>Summit Packaging Pvt Ltd</t>
  </si>
  <si>
    <t>TAX-US-401060</t>
  </si>
  <si>
    <t>CUS0058</t>
  </si>
  <si>
    <t>Falcon Packaging Trading LLP</t>
  </si>
  <si>
    <t>Sharjah</t>
  </si>
  <si>
    <t>TAX-SA-143561</t>
  </si>
  <si>
    <t>CUS0059</t>
  </si>
  <si>
    <t>NovaChem Adhesives S.A.</t>
  </si>
  <si>
    <t>TAX-BE-707470</t>
  </si>
  <si>
    <t>CUS0060</t>
  </si>
  <si>
    <t>Orion Agro Trading Ltd</t>
  </si>
  <si>
    <t>AED</t>
  </si>
  <si>
    <t>TAX-AE-366849</t>
  </si>
  <si>
    <t>CUS0061</t>
  </si>
  <si>
    <t>Crown Pharma LLP</t>
  </si>
  <si>
    <t>TAX-IN-909373</t>
  </si>
  <si>
    <t>CUS0062</t>
  </si>
  <si>
    <t>Orion Pharma Inc.</t>
  </si>
  <si>
    <t>TAX-PL-747902</t>
  </si>
  <si>
    <t>CUS0063</t>
  </si>
  <si>
    <t>Zenith Solvents NV</t>
  </si>
  <si>
    <t>Chicago</t>
  </si>
  <si>
    <t>TAX-US-499781</t>
  </si>
  <si>
    <t>CUS0064</t>
  </si>
  <si>
    <t>Prism Agro NV</t>
  </si>
  <si>
    <t>TAX-IN-194426</t>
  </si>
  <si>
    <t>CUS0065</t>
  </si>
  <si>
    <t>Everest Coatings Pvt Ltd</t>
  </si>
  <si>
    <t>TAX-IN-751584</t>
  </si>
  <si>
    <t>CUS0066</t>
  </si>
  <si>
    <t>Keystone Coatings Pvt Ltd</t>
  </si>
  <si>
    <t>Antwerp</t>
  </si>
  <si>
    <t>TAX-ES-431005</t>
  </si>
  <si>
    <t>CUS0067</t>
  </si>
  <si>
    <t>Horizon Packaging GmbH</t>
  </si>
  <si>
    <t>TAX-CN-267552</t>
  </si>
  <si>
    <t>CUS0068</t>
  </si>
  <si>
    <t>Aster Packaging NV</t>
  </si>
  <si>
    <t>TAX-IN-101012</t>
  </si>
  <si>
    <t>CUS0069</t>
  </si>
  <si>
    <t>Horizon Packaging LLP</t>
  </si>
  <si>
    <t>TAX-US-418736</t>
  </si>
  <si>
    <t>CUS0070</t>
  </si>
  <si>
    <t>Vantage Adhesives GmbH</t>
  </si>
  <si>
    <t>TAX-IN-219013</t>
  </si>
  <si>
    <t>CUS0071</t>
  </si>
  <si>
    <t>Aster Pharma Ltd</t>
  </si>
  <si>
    <t>TAX-ES-684549</t>
  </si>
  <si>
    <t>CUS0072</t>
  </si>
  <si>
    <t>Horizon Pharma NV</t>
  </si>
  <si>
    <t>TAX-IN-058713</t>
  </si>
  <si>
    <t>CUS0073</t>
  </si>
  <si>
    <t>Orion Pharma GmbH</t>
  </si>
  <si>
    <t>TAX-IN-264285</t>
  </si>
  <si>
    <t>CUS0074</t>
  </si>
  <si>
    <t>Helios Pharma S.A.</t>
  </si>
  <si>
    <t>TAX-ES-492231</t>
  </si>
  <si>
    <t>CUS0075</t>
  </si>
  <si>
    <t>Horizon Adhesives Inc.</t>
  </si>
  <si>
    <t>TAX-IN-537840</t>
  </si>
  <si>
    <t>CUS0076</t>
  </si>
  <si>
    <t>Helios Solvents Co. Ltd</t>
  </si>
  <si>
    <t>TAX-NL-172390</t>
  </si>
  <si>
    <t>CUS0077</t>
  </si>
  <si>
    <t>Everest Solvents S.A.</t>
  </si>
  <si>
    <t>TAX-SE-825453</t>
  </si>
  <si>
    <t>CUS0078</t>
  </si>
  <si>
    <t>Granite Pharma LLP</t>
  </si>
  <si>
    <t>TAX-IN-333571</t>
  </si>
  <si>
    <t>CUS0079</t>
  </si>
  <si>
    <t>Meridian Solvents Co. Ltd</t>
  </si>
  <si>
    <t>TAX-IN-744944</t>
  </si>
  <si>
    <t>CUS0080</t>
  </si>
  <si>
    <t>Everest Agro NV</t>
  </si>
  <si>
    <t>TAX-IN-440708</t>
  </si>
  <si>
    <t>CUS0081</t>
  </si>
  <si>
    <t>Pioneer Pigments NV</t>
  </si>
  <si>
    <t>TAX-IN-102587</t>
  </si>
  <si>
    <t>CUS0082</t>
  </si>
  <si>
    <t>Falcon Pharma Co. Ltd</t>
  </si>
  <si>
    <t>Manchester</t>
  </si>
  <si>
    <t>TAX-GB-002984</t>
  </si>
  <si>
    <t>CUS0083</t>
  </si>
  <si>
    <t>Meridian Agro GmbH</t>
  </si>
  <si>
    <t>TAX-IN-993053</t>
  </si>
  <si>
    <t>CUS0084</t>
  </si>
  <si>
    <t>Falcon Packaging Pvt Ltd</t>
  </si>
  <si>
    <t>TAX-US-650969</t>
  </si>
  <si>
    <t>CUS0085</t>
  </si>
  <si>
    <t>Sunrise Pigments Co. Ltd</t>
  </si>
  <si>
    <t>TAX-IN-437145</t>
  </si>
  <si>
    <t>CUS0086</t>
  </si>
  <si>
    <t>Kaveri Agro Co. Ltd</t>
  </si>
  <si>
    <t>TAX-DE-615985</t>
  </si>
  <si>
    <t>CUS0087</t>
  </si>
  <si>
    <t>Pioneer Pharma Co. Ltd</t>
  </si>
  <si>
    <t>TAX-IN-765946</t>
  </si>
  <si>
    <t>CUS0088</t>
  </si>
  <si>
    <t>TAX-IN-110866</t>
  </si>
  <si>
    <t>CUS0089</t>
  </si>
  <si>
    <t>Kaveri Adhesives NV</t>
  </si>
  <si>
    <t>TAX-IN-878949</t>
  </si>
  <si>
    <t>CUS0090</t>
  </si>
  <si>
    <t>Riviera Coatings Co. Ltd</t>
  </si>
  <si>
    <t>TAX-IN-354404</t>
  </si>
  <si>
    <t>CUS0091</t>
  </si>
  <si>
    <t>Crown Agro GmbH</t>
  </si>
  <si>
    <t>TAX-US-774230</t>
  </si>
  <si>
    <t>CUS0092</t>
  </si>
  <si>
    <t>Zenith Coatings S.A.</t>
  </si>
  <si>
    <t>TAX-SE-170271</t>
  </si>
  <si>
    <t>CUS0093</t>
  </si>
  <si>
    <t>Aster Packaging Co. Ltd</t>
  </si>
  <si>
    <t>TAX-IN-183316</t>
  </si>
  <si>
    <t>CUS0094</t>
  </si>
  <si>
    <t>Riviera Agro Trading S.A.</t>
  </si>
  <si>
    <t>Abu Dhabi</t>
  </si>
  <si>
    <t>TAX-AE-787500</t>
  </si>
  <si>
    <t>CUS0095</t>
  </si>
  <si>
    <t>Keystone Pigments GmbH</t>
  </si>
  <si>
    <t>TAX-US-054517</t>
  </si>
  <si>
    <t>CUS0096</t>
  </si>
  <si>
    <t>Atlas Coatings Inc.</t>
  </si>
  <si>
    <t>TAX-IN-736190</t>
  </si>
  <si>
    <t>CUS0097</t>
  </si>
  <si>
    <t>Sterling Packaging Pvt Ltd</t>
  </si>
  <si>
    <t>TAX-IN-828694</t>
  </si>
  <si>
    <t>CUS0098</t>
  </si>
  <si>
    <t>Pioneer Adhesives Inc.</t>
  </si>
  <si>
    <t>TAX-IN-131536</t>
  </si>
  <si>
    <t>CUS0099</t>
  </si>
  <si>
    <t>Horizon Pigments NV</t>
  </si>
  <si>
    <t>TAX-GB-253183</t>
  </si>
  <si>
    <t>CUS0100</t>
  </si>
  <si>
    <t>Atlas Pigments LLP</t>
  </si>
  <si>
    <t>TAX-DE-234001</t>
  </si>
  <si>
    <t>sla_id (Primary Key)</t>
  </si>
  <si>
    <t>sla_name</t>
  </si>
  <si>
    <t>scope_region_id (FK)</t>
  </si>
  <si>
    <t>applicable_channels</t>
  </si>
  <si>
    <t>applicable_families</t>
  </si>
  <si>
    <t>incoterms_scope</t>
  </si>
  <si>
    <t>service_window_cutoff_local</t>
  </si>
  <si>
    <t>service_days</t>
  </si>
  <si>
    <t>dispatch_lead_time_days (min)</t>
  </si>
  <si>
    <t>dispatch_lead_time_days (max)</t>
  </si>
  <si>
    <t>Handover at</t>
  </si>
  <si>
    <t>delivery_window_days (min)</t>
  </si>
  <si>
    <t>delivery_window_days (max)</t>
  </si>
  <si>
    <t>otif_target_pct</t>
  </si>
  <si>
    <t>ot_time_tolerance</t>
  </si>
  <si>
    <t>in_full_target_pct</t>
  </si>
  <si>
    <t>fill_rate_target_pct</t>
  </si>
  <si>
    <t>backorder_resolution_days</t>
  </si>
  <si>
    <t>quote_tat_hours</t>
  </si>
  <si>
    <t>order_ack_tat_hours</t>
  </si>
  <si>
    <t>documentation_requirements</t>
  </si>
  <si>
    <t>documentation_accuracy_pct</t>
  </si>
  <si>
    <t>pod_submission_hours</t>
  </si>
  <si>
    <t>claims_response_business_days</t>
  </si>
  <si>
    <t>claims_closure_business_days</t>
  </si>
  <si>
    <t>temperature_control</t>
  </si>
  <si>
    <t>dg_class_handling</t>
  </si>
  <si>
    <t>min_order_quantity</t>
  </si>
  <si>
    <t>packaging_constraints</t>
  </si>
  <si>
    <t>penalty_credit_logic</t>
  </si>
  <si>
    <t>review_frequency</t>
  </si>
  <si>
    <t>effective_from</t>
  </si>
  <si>
    <t>effective_to</t>
  </si>
  <si>
    <t>SLA_STD_DOM_T1</t>
  </si>
  <si>
    <t>Domestic Standard T1 (Bulk Liquids)</t>
  </si>
  <si>
    <t>Direct,Distributor</t>
  </si>
  <si>
    <t>EXW/FCA</t>
  </si>
  <si>
    <t>14:00</t>
  </si>
  <si>
    <t>Mon-Sat</t>
  </si>
  <si>
    <t>Plant gate</t>
  </si>
  <si>
    <t>+/-1 day</t>
  </si>
  <si>
    <t>COA,Invoice,Ewaybill</t>
  </si>
  <si>
    <t>DG allowed (where applicable)</t>
  </si>
  <si>
    <t>2000 KG</t>
  </si>
  <si>
    <t>BULK,ISO20,IBC1KL</t>
  </si>
  <si>
    <t>1% credit if OTIF &lt; target (monthly) on eligible orders</t>
  </si>
  <si>
    <t>Quarterly</t>
  </si>
  <si>
    <t>2026-01-01</t>
  </si>
  <si>
    <t>SLA_STD_DOM_T2</t>
  </si>
  <si>
    <t>Domestic Priority T2 (Drums/IBCs)</t>
  </si>
  <si>
    <t>ACETYL,DKD,ARYLIDE</t>
  </si>
  <si>
    <t>16:00</t>
  </si>
  <si>
    <t>+/-0 day</t>
  </si>
  <si>
    <t>COA,Invoice,Ewaybill,UN Pack Cert (if DG)</t>
  </si>
  <si>
    <t>DG allowed</t>
  </si>
  <si>
    <t>500 KG</t>
  </si>
  <si>
    <t>DR200,DR200_UN,IBC1KL</t>
  </si>
  <si>
    <t>2% credit on freight line if OTIF &lt; target (monthly)</t>
  </si>
  <si>
    <t>Monthly</t>
  </si>
  <si>
    <t>SLA_STD_DOM_T3</t>
  </si>
  <si>
    <t>Domestic Economy T3 (Powders)</t>
  </si>
  <si>
    <t>EXW</t>
  </si>
  <si>
    <t>12:00</t>
  </si>
  <si>
    <t>Mon-Fri</t>
  </si>
  <si>
    <t>COA,Invoice</t>
  </si>
  <si>
    <t>DG by exception</t>
  </si>
  <si>
    <t>1000 KG</t>
  </si>
  <si>
    <t>BAG25 only</t>
  </si>
  <si>
    <t>No penalties; service credits only for documented failures above 3% of orders</t>
  </si>
  <si>
    <t>Semi-Annual</t>
  </si>
  <si>
    <t>SLA_EXPORT_EU_T1</t>
  </si>
  <si>
    <t>Export EU T1 (REACH-ready)</t>
  </si>
  <si>
    <t>Export-Direct,Distributor</t>
  </si>
  <si>
    <t>FOB/CIF/CIP</t>
  </si>
  <si>
    <t>13:00</t>
  </si>
  <si>
    <t>Port (Nhava Sheva/Mundra)</t>
  </si>
  <si>
    <t>+/-2 days</t>
  </si>
  <si>
    <t>COA,Invoice,Packing List,SDS,REACH docs,BL</t>
  </si>
  <si>
    <t>DG allowed (IMO)</t>
  </si>
  <si>
    <t>10 MT</t>
  </si>
  <si>
    <t>ISO20,Flexitank,DR200_UN</t>
  </si>
  <si>
    <t>1% credit on invoice value if OTIF &lt; target (quarterly) for contract orders</t>
  </si>
  <si>
    <t>SLA_EXPORT_US_T1_D</t>
  </si>
  <si>
    <t>Export US T1 (DG capable - Direct)</t>
  </si>
  <si>
    <t>Export-Direct</t>
  </si>
  <si>
    <t>FOB/CIF</t>
  </si>
  <si>
    <t>Port (Nhava Sheva)</t>
  </si>
  <si>
    <t>+/-3 days</t>
  </si>
  <si>
    <t>COA,Invoice,Packing List,SDS,TSCA statement,BL</t>
  </si>
  <si>
    <t>ISO20,DR200_UN</t>
  </si>
  <si>
    <t>2% credit on ocean freight component if OTIF &lt; target (quarterly)</t>
  </si>
  <si>
    <t>SLA_EXPORT_US_T1_P</t>
  </si>
  <si>
    <t>Export US T1 (Pharma/High Purity)</t>
  </si>
  <si>
    <t>CIP/DDP (case by case)</t>
  </si>
  <si>
    <t>Port + Forwarder handoff</t>
  </si>
  <si>
    <t>COA,Invoice,Packing List,SDS,TSCA,Allergen/Pharma statement,BL</t>
  </si>
  <si>
    <t>Non-DG preferred</t>
  </si>
  <si>
    <t>5 MT</t>
  </si>
  <si>
    <t>DR200_UN,IBC1KL</t>
  </si>
  <si>
    <t>Service credit 1% if documentation accuracy &lt; target; OTIF credits per contract</t>
  </si>
  <si>
    <t>SLA_EXPORT_APAC_T1_D</t>
  </si>
  <si>
    <t>Export APAC T1 (SEA lanes)</t>
  </si>
  <si>
    <t>ACETYL,DKD,FLUORO</t>
  </si>
  <si>
    <t>COA,Invoice,Packing List,SDS,BL</t>
  </si>
  <si>
    <t>ISO20,DR200_UN,IBC1KL</t>
  </si>
  <si>
    <t>0.5% credit if OTIF &lt; target (quarterly) for annual contracts</t>
  </si>
  <si>
    <t>SLA_EXPORT_APAC_T1_P</t>
  </si>
  <si>
    <t>Export APAC T1 (Powders)</t>
  </si>
  <si>
    <t>DG where required</t>
  </si>
  <si>
    <t>3 MT</t>
  </si>
  <si>
    <t>BAG25,IBC1KL</t>
  </si>
  <si>
    <t>No penalties for port delays; credit applies only for documentation failures</t>
  </si>
  <si>
    <t>SLA_EXPORT_ROW_T2_D</t>
  </si>
  <si>
    <t>Export ROW T2 (DG/Remote - Direct)</t>
  </si>
  <si>
    <t>FOB/CFR/CIF</t>
  </si>
  <si>
    <t>11:00</t>
  </si>
  <si>
    <t>+/-4 days</t>
  </si>
  <si>
    <t>COA,Invoice,Packing List,SDS,BL,Legalization (if required)</t>
  </si>
  <si>
    <t>Credits capped at 0.5% of invoice; exclusions for force majeure/port congestion</t>
  </si>
  <si>
    <t>Annual</t>
  </si>
  <si>
    <t>SLA_EXPORT_ROW_T2_P</t>
  </si>
  <si>
    <t>Export ROW T2 (Project/Small lots)</t>
  </si>
  <si>
    <t>EXW/FCA/FOB</t>
  </si>
  <si>
    <t>10:00</t>
  </si>
  <si>
    <t>Plant gate / Port</t>
  </si>
  <si>
    <t>+/-5 days</t>
  </si>
  <si>
    <t>COA,Invoice,Packing List,SDS</t>
  </si>
  <si>
    <t>BAG25,DR200_UN</t>
  </si>
  <si>
    <t>No penalties; review service gaps in QBR and agree corrective actions</t>
  </si>
  <si>
    <t>2026-12-31</t>
  </si>
  <si>
    <t>Planned</t>
  </si>
  <si>
    <t>Mean</t>
  </si>
  <si>
    <t>St Deviation (%)</t>
  </si>
  <si>
    <t>Total per month / No. of entries</t>
  </si>
  <si>
    <t>Order ID (Primary Key)</t>
  </si>
  <si>
    <t>Order Type</t>
  </si>
  <si>
    <t>Order Date</t>
  </si>
  <si>
    <t>Customer ID (FK)</t>
  </si>
  <si>
    <t>Payment Terms</t>
  </si>
  <si>
    <t>Order Status</t>
  </si>
  <si>
    <t>ORD202602-0001</t>
  </si>
  <si>
    <t>Sales Order</t>
  </si>
  <si>
    <t>2026-02-01</t>
  </si>
  <si>
    <t>Advance</t>
  </si>
  <si>
    <t>Delivered</t>
  </si>
  <si>
    <t>ORD202602-0002</t>
  </si>
  <si>
    <t>2026-02-02</t>
  </si>
  <si>
    <t>Net 15</t>
  </si>
  <si>
    <t>ORD202602-0003</t>
  </si>
  <si>
    <t>2026-02-03</t>
  </si>
  <si>
    <t>ORD202602-0004</t>
  </si>
  <si>
    <t>2026-02-04</t>
  </si>
  <si>
    <t>Net 30</t>
  </si>
  <si>
    <t>ORD202602-0005</t>
  </si>
  <si>
    <t>2026-02-05</t>
  </si>
  <si>
    <t>Shipped</t>
  </si>
  <si>
    <t>ORD202602-0006</t>
  </si>
  <si>
    <t>2026-02-06</t>
  </si>
  <si>
    <t>ORD202602-0007</t>
  </si>
  <si>
    <t>Transfer Order</t>
  </si>
  <si>
    <t>2026-02-07</t>
  </si>
  <si>
    <t>TNK_EUR_RTM</t>
  </si>
  <si>
    <t>Confirmed</t>
  </si>
  <si>
    <t>ORD202602-0008</t>
  </si>
  <si>
    <t>2026-02-08</t>
  </si>
  <si>
    <t>ORD202602-0009</t>
  </si>
  <si>
    <t>2026-02-09</t>
  </si>
  <si>
    <t>ORD202602-0010</t>
  </si>
  <si>
    <t>2026-02-10</t>
  </si>
  <si>
    <t>ORD202602-0011</t>
  </si>
  <si>
    <t>2026-02-11</t>
  </si>
  <si>
    <t>ORD202602-0012</t>
  </si>
  <si>
    <t>2026-02-12</t>
  </si>
  <si>
    <t>ORD202602-0013</t>
  </si>
  <si>
    <t>2026-02-13</t>
  </si>
  <si>
    <t>ORD202602-0014</t>
  </si>
  <si>
    <t>2026-02-14</t>
  </si>
  <si>
    <t>TNK_EUR_ANT</t>
  </si>
  <si>
    <t>ORD202602-0015</t>
  </si>
  <si>
    <t>2026-02-15</t>
  </si>
  <si>
    <t>ORD202602-0016</t>
  </si>
  <si>
    <t>2026-02-16</t>
  </si>
  <si>
    <t>ORD202602-0017</t>
  </si>
  <si>
    <t>2026-02-17</t>
  </si>
  <si>
    <t>ORD202602-0018</t>
  </si>
  <si>
    <t>2026-02-18</t>
  </si>
  <si>
    <t>ORD202602-0019</t>
  </si>
  <si>
    <t>2026-02-19</t>
  </si>
  <si>
    <t>ORD202602-0020</t>
  </si>
  <si>
    <t>2026-02-20</t>
  </si>
  <si>
    <t>ORD202602-0021</t>
  </si>
  <si>
    <t>2026-02-21</t>
  </si>
  <si>
    <t>TNK_EUR_GEN</t>
  </si>
  <si>
    <t>ORD202602-0022</t>
  </si>
  <si>
    <t>2026-02-22</t>
  </si>
  <si>
    <t>ORD202602-0023</t>
  </si>
  <si>
    <t>2026-02-23</t>
  </si>
  <si>
    <t>ORD202602-0024</t>
  </si>
  <si>
    <t>2026-02-24</t>
  </si>
  <si>
    <t>ORD202602-0025</t>
  </si>
  <si>
    <t>2026-02-25</t>
  </si>
  <si>
    <t>ORD202602-0026</t>
  </si>
  <si>
    <t>2026-02-26</t>
  </si>
  <si>
    <t>ORD202602-0027</t>
  </si>
  <si>
    <t>2026-02-27</t>
  </si>
  <si>
    <t>ORD202602-0028</t>
  </si>
  <si>
    <t>2026-02-28</t>
  </si>
  <si>
    <t>WH_IN_WEST_BHI</t>
  </si>
  <si>
    <t>ORD202602-0029</t>
  </si>
  <si>
    <t>ORD202602-0030</t>
  </si>
  <si>
    <t>ORD202602-0031</t>
  </si>
  <si>
    <t>ORD202602-0032</t>
  </si>
  <si>
    <t>ORD202602-0033</t>
  </si>
  <si>
    <t>ORD202602-0034</t>
  </si>
  <si>
    <t>ORD202602-0035</t>
  </si>
  <si>
    <t>WH_IN_GUJ_AHD</t>
  </si>
  <si>
    <t>ORD202602-0036</t>
  </si>
  <si>
    <t>ORD202602-0037</t>
  </si>
  <si>
    <t>ORD202602-0038</t>
  </si>
  <si>
    <t>ORD202602-0039</t>
  </si>
  <si>
    <t>ORD202602-0040</t>
  </si>
  <si>
    <t>ORD202602-0041</t>
  </si>
  <si>
    <t>ORD202602-0042</t>
  </si>
  <si>
    <t>WH_IN_SOUTH_HYD</t>
  </si>
  <si>
    <t>ORD202602-0043</t>
  </si>
  <si>
    <t>ORD202602-0044</t>
  </si>
  <si>
    <t>ORD202602-0045</t>
  </si>
  <si>
    <t>ORD202602-0046</t>
  </si>
  <si>
    <t>ORD202602-0047</t>
  </si>
  <si>
    <t>ORD202602-0048</t>
  </si>
  <si>
    <t>ORD202602-0049</t>
  </si>
  <si>
    <t>WH_IN_NORTH_BAW</t>
  </si>
  <si>
    <t>ORD202602-0050</t>
  </si>
  <si>
    <t>ORD202602-0051</t>
  </si>
  <si>
    <t>ORD202602-0052</t>
  </si>
  <si>
    <t>ORD202602-0053</t>
  </si>
  <si>
    <t>ORD202602-0054</t>
  </si>
  <si>
    <t>ORD202602-0055</t>
  </si>
  <si>
    <t>ORD202602-0056</t>
  </si>
  <si>
    <t>CFS_IN_NHAV</t>
  </si>
  <si>
    <t>ORD202602-0057</t>
  </si>
  <si>
    <t>ORD202602-0058</t>
  </si>
  <si>
    <t>ORD202602-0059</t>
  </si>
  <si>
    <t>ORD202602-0060</t>
  </si>
  <si>
    <t>ORD202602-0061</t>
  </si>
  <si>
    <t>ORD202602-0062</t>
  </si>
  <si>
    <t>ORD202602-0063</t>
  </si>
  <si>
    <t>WH_UAE_SHJ</t>
  </si>
  <si>
    <t>ORD202602-0064</t>
  </si>
  <si>
    <t>ORD202602-0065</t>
  </si>
  <si>
    <t>ORD202602-0066</t>
  </si>
  <si>
    <t>ORD202602-0067</t>
  </si>
  <si>
    <t>ORD202602-0068</t>
  </si>
  <si>
    <t>ORD202602-0069</t>
  </si>
  <si>
    <t>ORD202602-0070</t>
  </si>
  <si>
    <t>WH_US_EAST_NJ</t>
  </si>
  <si>
    <t>ORD202602-0071</t>
  </si>
  <si>
    <t>ORD202602-0072</t>
  </si>
  <si>
    <t>ORD202602-0073</t>
  </si>
  <si>
    <t>ORD202602-0074</t>
  </si>
  <si>
    <t>ORD202602-0075</t>
  </si>
  <si>
    <t>ORD202602-0076</t>
  </si>
  <si>
    <t>ORD202602-0077</t>
  </si>
  <si>
    <t>WH_US_MID_CHI</t>
  </si>
  <si>
    <t>ORD202602-0078</t>
  </si>
  <si>
    <t>ORD202602-0079</t>
  </si>
  <si>
    <t>ORD202602-0080</t>
  </si>
  <si>
    <t>ORD202602-0081</t>
  </si>
  <si>
    <t>ORD202602-0082</t>
  </si>
  <si>
    <t>ORD202602-0083</t>
  </si>
  <si>
    <t>ORD202602-0084</t>
  </si>
  <si>
    <t>ORD202602-0085</t>
  </si>
  <si>
    <t>ORD202602-0086</t>
  </si>
  <si>
    <t>ORD202602-0087</t>
  </si>
  <si>
    <t>ORD202602-0088</t>
  </si>
  <si>
    <t>ORD202602-0089</t>
  </si>
  <si>
    <t>ORD202602-0090</t>
  </si>
  <si>
    <t>ORD202602-0091</t>
  </si>
  <si>
    <t>ORD202602-0092</t>
  </si>
  <si>
    <t>ORD202602-0093</t>
  </si>
  <si>
    <t>ORD202602-0094</t>
  </si>
  <si>
    <t>ORD202602-0095</t>
  </si>
  <si>
    <t>ORD202602-0096</t>
  </si>
  <si>
    <t>ORD202602-0097</t>
  </si>
  <si>
    <t>ORD202602-0098</t>
  </si>
  <si>
    <t>ORD202602-0099</t>
  </si>
  <si>
    <t>ORD202602-0100</t>
  </si>
  <si>
    <t>ORD202602-0101</t>
  </si>
  <si>
    <t>ORD202602-0102</t>
  </si>
  <si>
    <t>ORD202602-0103</t>
  </si>
  <si>
    <t>ORD202602-0104</t>
  </si>
  <si>
    <t>ORD202602-0105</t>
  </si>
  <si>
    <t>ORD202602-0106</t>
  </si>
  <si>
    <t>ORD202602-0107</t>
  </si>
  <si>
    <t>ORD202602-0108</t>
  </si>
  <si>
    <t>ORD202602-0109</t>
  </si>
  <si>
    <t>ORD202602-0110</t>
  </si>
  <si>
    <t>ORD202602-0111</t>
  </si>
  <si>
    <t>ORD202602-0112</t>
  </si>
  <si>
    <t>ORD202602-0113</t>
  </si>
  <si>
    <t>ORD202602-0114</t>
  </si>
  <si>
    <t>ORD202602-0115</t>
  </si>
  <si>
    <t>ORD202602-0116</t>
  </si>
  <si>
    <t>ORD202602-0117</t>
  </si>
  <si>
    <t>ORD202602-0118</t>
  </si>
  <si>
    <t>ORD202602-0119</t>
  </si>
  <si>
    <t>ORD202602-0120</t>
  </si>
  <si>
    <t>ORD202602-0121</t>
  </si>
  <si>
    <t>ORD202602-0122</t>
  </si>
  <si>
    <t>ORD202602-0123</t>
  </si>
  <si>
    <t>ORD202602-0124</t>
  </si>
  <si>
    <t>ORD202602-0125</t>
  </si>
  <si>
    <t>ORD202602-0126</t>
  </si>
  <si>
    <t>ORD202602-0127</t>
  </si>
  <si>
    <t>ORD202602-0128</t>
  </si>
  <si>
    <t>ORD202602-0129</t>
  </si>
  <si>
    <t>ORD202602-0130</t>
  </si>
  <si>
    <t>ORD202602-0131</t>
  </si>
  <si>
    <t>ORD202602-0132</t>
  </si>
  <si>
    <t>ORD202602-0133</t>
  </si>
  <si>
    <t>ORD202602-0134</t>
  </si>
  <si>
    <t>ORD202602-0135</t>
  </si>
  <si>
    <t>ORD202602-0136</t>
  </si>
  <si>
    <t>ORD202602-0137</t>
  </si>
  <si>
    <t>ORD202602-0138</t>
  </si>
  <si>
    <t>ORD202602-0139</t>
  </si>
  <si>
    <t>ORD202602-0140</t>
  </si>
  <si>
    <t>ORD202602-0141</t>
  </si>
  <si>
    <t>ORD202602-0142</t>
  </si>
  <si>
    <t>ORD202602-0143</t>
  </si>
  <si>
    <t>ORD202602-0144</t>
  </si>
  <si>
    <t>ORD202602-0145</t>
  </si>
  <si>
    <t>ORD202602-0146</t>
  </si>
  <si>
    <t>ORD202602-0147</t>
  </si>
  <si>
    <t>ORD202602-0148</t>
  </si>
  <si>
    <t>ORD202602-0149</t>
  </si>
  <si>
    <t>ORD202602-0150</t>
  </si>
  <si>
    <t>ORD202602-0151</t>
  </si>
  <si>
    <t>ORD202602-0152</t>
  </si>
  <si>
    <t>ORD202602-0153</t>
  </si>
  <si>
    <t>ORD202602-0154</t>
  </si>
  <si>
    <t>ORD202602-0155</t>
  </si>
  <si>
    <t>ORD202602-0156</t>
  </si>
  <si>
    <t>ORD202602-0157</t>
  </si>
  <si>
    <t>ORD202602-0158</t>
  </si>
  <si>
    <t>ORD202602-0159</t>
  </si>
  <si>
    <t>ORD202602-0160</t>
  </si>
  <si>
    <t>ORD202602-0161</t>
  </si>
  <si>
    <t>ORD202602-0162</t>
  </si>
  <si>
    <t>ORD202602-0163</t>
  </si>
  <si>
    <t>ORD202602-0164</t>
  </si>
  <si>
    <t>ORD202602-0165</t>
  </si>
  <si>
    <t>ORD202602-0166</t>
  </si>
  <si>
    <t>ORD202602-0167</t>
  </si>
  <si>
    <t>ORD202602-0168</t>
  </si>
  <si>
    <t>ORD202602-0169</t>
  </si>
  <si>
    <t>ORD202602-0170</t>
  </si>
  <si>
    <t>ORD202602-0171</t>
  </si>
  <si>
    <t>ORD202602-0172</t>
  </si>
  <si>
    <t>ORD202602-0173</t>
  </si>
  <si>
    <t>ORD202602-0174</t>
  </si>
  <si>
    <t>ORD202602-0175</t>
  </si>
  <si>
    <t>ORD202602-0176</t>
  </si>
  <si>
    <t>ORD202602-0177</t>
  </si>
  <si>
    <t>ORD202602-0178</t>
  </si>
  <si>
    <t>ORD202602-0179</t>
  </si>
  <si>
    <t>ORD202602-0180</t>
  </si>
  <si>
    <t>Order Line Item (Primary Key)</t>
  </si>
  <si>
    <t>Order_id (FK)</t>
  </si>
  <si>
    <t>SLA Profile ID (FK)</t>
  </si>
  <si>
    <t>Delivery_by_date</t>
  </si>
  <si>
    <t>Requirement Status</t>
  </si>
  <si>
    <t>Fulfilled by WH ID (WH ID FK)</t>
  </si>
  <si>
    <t>SKU ID (FK)</t>
  </si>
  <si>
    <t>Quantity (MT)</t>
  </si>
  <si>
    <t>Unit Price (USD)</t>
  </si>
  <si>
    <t>Value (USD)</t>
  </si>
  <si>
    <t>Forecast ID (FK)</t>
  </si>
  <si>
    <t>OLI202602-0001</t>
  </si>
  <si>
    <t>Fulfilled</t>
  </si>
  <si>
    <t>FC202602-DOM-ACETYL</t>
  </si>
  <si>
    <t>OLI202602-0002</t>
  </si>
  <si>
    <t>FC202602-APAC-ACETYL</t>
  </si>
  <si>
    <t>OLI202602-0003</t>
  </si>
  <si>
    <t>OLI202602-0004</t>
  </si>
  <si>
    <t>2026-03-01</t>
  </si>
  <si>
    <t>FC202602-AMER-ACETYL</t>
  </si>
  <si>
    <t>OLI202602-0005</t>
  </si>
  <si>
    <t>In Transit</t>
  </si>
  <si>
    <t>OLI202602-0006</t>
  </si>
  <si>
    <t>FC202602-APAC-ARYLIDE</t>
  </si>
  <si>
    <t>OLI202602-0007</t>
  </si>
  <si>
    <t>OLI202602-0008</t>
  </si>
  <si>
    <t>2026-03-03</t>
  </si>
  <si>
    <t>OLI202602-0009</t>
  </si>
  <si>
    <t>FC202602-DOM-FLUORO</t>
  </si>
  <si>
    <t>OLI202602-0010</t>
  </si>
  <si>
    <t>FC202602-EU-ACETYL</t>
  </si>
  <si>
    <t>OLI202602-0011</t>
  </si>
  <si>
    <t>2026-03-08</t>
  </si>
  <si>
    <t>FC202602-EU-DKD</t>
  </si>
  <si>
    <t>OLI202602-0012</t>
  </si>
  <si>
    <t>OLI202602-0013</t>
  </si>
  <si>
    <t>2026-03-07</t>
  </si>
  <si>
    <t>OLI202602-0014</t>
  </si>
  <si>
    <t>OLI202602-0015</t>
  </si>
  <si>
    <t>OLI202602-0016</t>
  </si>
  <si>
    <t>OLI202602-0017</t>
  </si>
  <si>
    <t>2026-03-14</t>
  </si>
  <si>
    <t>OLI202602-0018</t>
  </si>
  <si>
    <t>OLI202602-0019</t>
  </si>
  <si>
    <t>OLI202602-0020</t>
  </si>
  <si>
    <t>2026-03-15</t>
  </si>
  <si>
    <t>FC202602-MEA-ACETYL</t>
  </si>
  <si>
    <t>OLI202602-0021</t>
  </si>
  <si>
    <t>OLI202602-0022</t>
  </si>
  <si>
    <t>2026-03-18</t>
  </si>
  <si>
    <t>FC202602-EU-FLUORO</t>
  </si>
  <si>
    <t>OLI202602-0023</t>
  </si>
  <si>
    <t>2026-03-02</t>
  </si>
  <si>
    <t>OLI202602-0024</t>
  </si>
  <si>
    <t>2026-03-06</t>
  </si>
  <si>
    <t>OLI202602-0025</t>
  </si>
  <si>
    <t>2026-03-04</t>
  </si>
  <si>
    <t>OLI202602-0026</t>
  </si>
  <si>
    <t>2026-03-21</t>
  </si>
  <si>
    <t>OLI202602-0027</t>
  </si>
  <si>
    <t>2026-03-24</t>
  </si>
  <si>
    <t>OLI202602-0028</t>
  </si>
  <si>
    <t>FC202602-DOM-DKD</t>
  </si>
  <si>
    <t>OLI202602-0029</t>
  </si>
  <si>
    <t>OLI202602-0030</t>
  </si>
  <si>
    <t>OLI202602-0031</t>
  </si>
  <si>
    <t>OLI202602-0032</t>
  </si>
  <si>
    <t>OLI202602-0033</t>
  </si>
  <si>
    <t>OLI202602-0034</t>
  </si>
  <si>
    <t>OLI202602-0035</t>
  </si>
  <si>
    <t>OLI202602-0036</t>
  </si>
  <si>
    <t>OLI202602-0037</t>
  </si>
  <si>
    <t>OLI202602-0038</t>
  </si>
  <si>
    <t>OLI202602-0039</t>
  </si>
  <si>
    <t>OLI202602-0040</t>
  </si>
  <si>
    <t>OLI202602-0041</t>
  </si>
  <si>
    <t>OLI202602-0042</t>
  </si>
  <si>
    <t>OLI202602-0043</t>
  </si>
  <si>
    <t>2026-03-12</t>
  </si>
  <si>
    <t>OLI202602-0044</t>
  </si>
  <si>
    <t>2026-03-13</t>
  </si>
  <si>
    <t>OLI202602-0045</t>
  </si>
  <si>
    <t>2026-03-11</t>
  </si>
  <si>
    <t>OLI202602-0046</t>
  </si>
  <si>
    <t>FC202602-DOM-ARYLIDE</t>
  </si>
  <si>
    <t>OLI202602-0047</t>
  </si>
  <si>
    <t>2026-03-16</t>
  </si>
  <si>
    <t>OLI202602-0048</t>
  </si>
  <si>
    <t>OLI202602-0049</t>
  </si>
  <si>
    <t>OLI202602-0050</t>
  </si>
  <si>
    <t>OLI202602-0051</t>
  </si>
  <si>
    <t>2026-03-20</t>
  </si>
  <si>
    <t>OLI202602-0052</t>
  </si>
  <si>
    <t>OLI202602-0053</t>
  </si>
  <si>
    <t>2026-03-05</t>
  </si>
  <si>
    <t>OLI202602-0054</t>
  </si>
  <si>
    <t>OLI202602-0055</t>
  </si>
  <si>
    <t>2026-03-22</t>
  </si>
  <si>
    <t>OLI202602-0056</t>
  </si>
  <si>
    <t>OLI202602-0057</t>
  </si>
  <si>
    <t>OLI202602-0058</t>
  </si>
  <si>
    <t>OLI202602-0059</t>
  </si>
  <si>
    <t>OLI202602-0060</t>
  </si>
  <si>
    <t>OLI202602-0061</t>
  </si>
  <si>
    <t>OLI202602-0062</t>
  </si>
  <si>
    <t>OLI202602-0063</t>
  </si>
  <si>
    <t>OLI202602-0064</t>
  </si>
  <si>
    <t>OLI202602-0065</t>
  </si>
  <si>
    <t>OLI202602-0066</t>
  </si>
  <si>
    <t>OLI202602-0067</t>
  </si>
  <si>
    <t>OLI202602-0068</t>
  </si>
  <si>
    <t>OLI202602-0069</t>
  </si>
  <si>
    <t>2026-03-09</t>
  </si>
  <si>
    <t>OLI202602-0070</t>
  </si>
  <si>
    <t>OLI202602-0071</t>
  </si>
  <si>
    <t>OLI202602-0072</t>
  </si>
  <si>
    <t>OLI202602-0073</t>
  </si>
  <si>
    <t>OLI202602-0074</t>
  </si>
  <si>
    <t>OLI202602-0075</t>
  </si>
  <si>
    <t>OLI202602-0076</t>
  </si>
  <si>
    <t>OLI202602-0077</t>
  </si>
  <si>
    <t>OLI202602-0078</t>
  </si>
  <si>
    <t>OLI202602-0079</t>
  </si>
  <si>
    <t>OLI202602-0080</t>
  </si>
  <si>
    <t>OLI202602-0081</t>
  </si>
  <si>
    <t>OLI202602-0082</t>
  </si>
  <si>
    <t>OLI202602-0083</t>
  </si>
  <si>
    <t>OLI202602-0084</t>
  </si>
  <si>
    <t>OLI202602-0085</t>
  </si>
  <si>
    <t>OLI202602-0086</t>
  </si>
  <si>
    <t>OLI202602-0087</t>
  </si>
  <si>
    <t>OLI202602-0088</t>
  </si>
  <si>
    <t>OLI202602-0089</t>
  </si>
  <si>
    <t>OLI202602-0090</t>
  </si>
  <si>
    <t>OLI202602-0091</t>
  </si>
  <si>
    <t>OLI202602-0092</t>
  </si>
  <si>
    <t>OLI202602-0093</t>
  </si>
  <si>
    <t>OLI202602-0094</t>
  </si>
  <si>
    <t>FC202602-MEA-FLUORO</t>
  </si>
  <si>
    <t>OLI202602-0095</t>
  </si>
  <si>
    <t>OLI202602-0096</t>
  </si>
  <si>
    <t>OLI202602-0097</t>
  </si>
  <si>
    <t>OLI202602-0098</t>
  </si>
  <si>
    <t>OLI202602-0099</t>
  </si>
  <si>
    <t>OLI202602-0100</t>
  </si>
  <si>
    <t>OLI202602-0101</t>
  </si>
  <si>
    <t>OLI202602-0102</t>
  </si>
  <si>
    <t>OLI202602-0103</t>
  </si>
  <si>
    <t>OLI202602-0104</t>
  </si>
  <si>
    <t>2026-03-17</t>
  </si>
  <si>
    <t>OLI202602-0105</t>
  </si>
  <si>
    <t>OLI202602-0106</t>
  </si>
  <si>
    <t>2026-03-19</t>
  </si>
  <si>
    <t>OLI202602-0107</t>
  </si>
  <si>
    <t>OLI202602-0108</t>
  </si>
  <si>
    <t>OLI202602-0109</t>
  </si>
  <si>
    <t>OLI202602-0110</t>
  </si>
  <si>
    <t>2026-03-23</t>
  </si>
  <si>
    <t>OLI202602-0111</t>
  </si>
  <si>
    <t>OLI202602-0112</t>
  </si>
  <si>
    <t>OLI202602-0113</t>
  </si>
  <si>
    <t>FC202602-AMER-DKD</t>
  </si>
  <si>
    <t>OLI202602-0114</t>
  </si>
  <si>
    <t>OLI202602-0115</t>
  </si>
  <si>
    <t>OLI202602-0116</t>
  </si>
  <si>
    <t>OLI202602-0117</t>
  </si>
  <si>
    <t>OLI202602-0118</t>
  </si>
  <si>
    <t>OLI202602-0119</t>
  </si>
  <si>
    <t>OLI202602-0120</t>
  </si>
  <si>
    <t>OLI202602-0121</t>
  </si>
  <si>
    <t>OLI202602-0122</t>
  </si>
  <si>
    <t>OLI202602-0123</t>
  </si>
  <si>
    <t>OLI202602-0124</t>
  </si>
  <si>
    <t>OLI202602-0125</t>
  </si>
  <si>
    <t>OLI202602-0126</t>
  </si>
  <si>
    <t>OLI202602-0127</t>
  </si>
  <si>
    <t>OLI202602-0128</t>
  </si>
  <si>
    <t>OLI202602-0129</t>
  </si>
  <si>
    <t>OLI202602-0130</t>
  </si>
  <si>
    <t>OLI202602-0131</t>
  </si>
  <si>
    <t>OLI202602-0132</t>
  </si>
  <si>
    <t>OLI202602-0133</t>
  </si>
  <si>
    <t>OLI202602-0134</t>
  </si>
  <si>
    <t>OLI202602-0135</t>
  </si>
  <si>
    <t>OLI202602-0136</t>
  </si>
  <si>
    <t>OLI202602-0137</t>
  </si>
  <si>
    <t>OLI202602-0138</t>
  </si>
  <si>
    <t>OLI202602-0139</t>
  </si>
  <si>
    <t>OLI202602-0140</t>
  </si>
  <si>
    <t>OLI202602-0141</t>
  </si>
  <si>
    <t>OLI202602-0142</t>
  </si>
  <si>
    <t>OLI202602-0143</t>
  </si>
  <si>
    <t>OLI202602-0144</t>
  </si>
  <si>
    <t>OLI202602-0145</t>
  </si>
  <si>
    <t>OLI202602-0146</t>
  </si>
  <si>
    <t>OLI202602-0147</t>
  </si>
  <si>
    <t>OLI202602-0148</t>
  </si>
  <si>
    <t>OLI202602-0149</t>
  </si>
  <si>
    <t>OLI202602-0150</t>
  </si>
  <si>
    <t>OLI202602-0151</t>
  </si>
  <si>
    <t>OLI202602-0152</t>
  </si>
  <si>
    <t>OLI202602-0153</t>
  </si>
  <si>
    <t>OLI202602-0154</t>
  </si>
  <si>
    <t>OLI202602-0155</t>
  </si>
  <si>
    <t>2026-03-10</t>
  </si>
  <si>
    <t>OLI202602-0156</t>
  </si>
  <si>
    <t>OLI202602-0157</t>
  </si>
  <si>
    <t>OLI202602-0158</t>
  </si>
  <si>
    <t>OLI202602-0159</t>
  </si>
  <si>
    <t>OLI202602-0160</t>
  </si>
  <si>
    <t>OLI202602-0161</t>
  </si>
  <si>
    <t>OLI202602-0162</t>
  </si>
  <si>
    <t>OLI202602-0163</t>
  </si>
  <si>
    <t>OLI202602-0164</t>
  </si>
  <si>
    <t>OLI202602-0165</t>
  </si>
  <si>
    <t>OLI202602-0166</t>
  </si>
  <si>
    <t>OLI202602-0167</t>
  </si>
  <si>
    <t>OLI202602-0168</t>
  </si>
  <si>
    <t>OLI202602-0169</t>
  </si>
  <si>
    <t>OLI202602-0170</t>
  </si>
  <si>
    <t>OLI202602-0171</t>
  </si>
  <si>
    <t>OLI202602-0172</t>
  </si>
  <si>
    <t>OLI202602-0173</t>
  </si>
  <si>
    <t>OLI202602-0174</t>
  </si>
  <si>
    <t>OLI202602-0175</t>
  </si>
  <si>
    <t>OLI202602-0176</t>
  </si>
  <si>
    <t>OLI202602-0177</t>
  </si>
  <si>
    <t>OLI202602-0178</t>
  </si>
  <si>
    <t>OLI202602-0179</t>
  </si>
  <si>
    <t>OLI202602-0180</t>
  </si>
  <si>
    <t>OLI202602-0181</t>
  </si>
  <si>
    <t>OLI202602-0182</t>
  </si>
  <si>
    <t>OLI202602-0183</t>
  </si>
  <si>
    <t>OLI202602-0184</t>
  </si>
  <si>
    <t>OLI202602-0185</t>
  </si>
  <si>
    <t>OLI202602-0186</t>
  </si>
  <si>
    <t>OLI202602-0187</t>
  </si>
  <si>
    <t>OLI202602-0188</t>
  </si>
  <si>
    <t>OLI202602-0189</t>
  </si>
  <si>
    <t>OLI202602-0190</t>
  </si>
  <si>
    <t>OLI202602-0191</t>
  </si>
  <si>
    <t>OLI202602-0192</t>
  </si>
  <si>
    <t>OLI202602-0193</t>
  </si>
  <si>
    <t>OLI202602-0194</t>
  </si>
  <si>
    <t>OLI202602-0195</t>
  </si>
  <si>
    <t>OLI202602-0196</t>
  </si>
  <si>
    <t>FC202602-MEA-ARYLIDE</t>
  </si>
  <si>
    <t>OLI202602-0197</t>
  </si>
  <si>
    <t>OLI202602-0198</t>
  </si>
  <si>
    <t>OLI202602-0199</t>
  </si>
  <si>
    <t>OLI202602-0200</t>
  </si>
  <si>
    <t>OLI202602-0201</t>
  </si>
  <si>
    <t>OLI202602-0202</t>
  </si>
  <si>
    <t>OLI202602-0203</t>
  </si>
  <si>
    <t>OLI202602-0204</t>
  </si>
  <si>
    <t>OLI202602-0205</t>
  </si>
  <si>
    <t>OLI202602-0206</t>
  </si>
  <si>
    <t>OLI202602-0207</t>
  </si>
  <si>
    <t>OLI202602-0208</t>
  </si>
  <si>
    <t>OLI202602-0209</t>
  </si>
  <si>
    <t>OLI202602-0210</t>
  </si>
  <si>
    <t>OLI202602-0211</t>
  </si>
  <si>
    <t>OLI202602-0212</t>
  </si>
  <si>
    <t>OLI202602-0213</t>
  </si>
  <si>
    <t>OLI202602-0214</t>
  </si>
  <si>
    <t>OLI202602-0215</t>
  </si>
  <si>
    <t>OLI202602-0216</t>
  </si>
  <si>
    <t>No restriction on number of signals</t>
  </si>
  <si>
    <t>Signal ID (Primary Key)</t>
  </si>
  <si>
    <t>Source</t>
  </si>
  <si>
    <t>Topic headline</t>
  </si>
  <si>
    <t>Description</t>
  </si>
  <si>
    <t>Sentiment Score</t>
  </si>
  <si>
    <t>Confidence</t>
  </si>
  <si>
    <t>Detected On_Date</t>
  </si>
  <si>
    <t>Signal Type</t>
  </si>
  <si>
    <t>Exception ID (FK)</t>
  </si>
  <si>
    <t>SIG202602-0001</t>
  </si>
  <si>
    <t>News (ICIS)</t>
  </si>
  <si>
    <t>European ethanol tightness lifts solvent feedstock costs</t>
  </si>
  <si>
    <t>ICIS highlights tighter EU ethanol availability; monitor import parity and consider advancing March purchases for ACETYL chain. Review TNK_EUR_RTM replenishment plan.</t>
  </si>
  <si>
    <t>2026-02-01T06:45:00.000Z</t>
  </si>
  <si>
    <t>forecast input</t>
  </si>
  <si>
    <t>SIG202602-0002</t>
  </si>
  <si>
    <t>Finance note (FX/credit)</t>
  </si>
  <si>
    <t>INR volatility may impact import cost for methacrylic acid</t>
  </si>
  <si>
    <t>FX desk flags INR weakness vs EUR; update landed cost assumptions for AAEM-related inputs and validate customer price pass-through.</t>
  </si>
  <si>
    <t>2026-02-01T11:20:00.000Z</t>
  </si>
  <si>
    <t>SIG202602-0003</t>
  </si>
  <si>
    <t>Internal memo (Plant Ops)</t>
  </si>
  <si>
    <t>Mahad esterification train running stable at higher throughputs</t>
  </si>
  <si>
    <t>Ops note indicates Train 2 sustained rates; opportunity to pull forward domestic dispatches if WH_IN_WEST_BHI capacity allows.</t>
  </si>
  <si>
    <t>2026-02-02T03:10:00.000Z</t>
  </si>
  <si>
    <t>SIG202602-0004</t>
  </si>
  <si>
    <t>LSP bulletin</t>
  </si>
  <si>
    <t>JNPT congestion warning for DG containers this week</t>
  </si>
  <si>
    <t>Carrier bulletin warns of gate-in delays at CFS_IN_NHAV; prioritize documentation readiness and consider earlier cut-offs for export lots.</t>
  </si>
  <si>
    <t>2026-02-02T09:55:00.000Z</t>
  </si>
  <si>
    <t>exception</t>
  </si>
  <si>
    <t>EXC202602-0001</t>
  </si>
  <si>
    <t>SIG202602-0005</t>
  </si>
  <si>
    <t>Customer call note</t>
  </si>
  <si>
    <t>US coatings customer requests additional DR200_UN availability</t>
  </si>
  <si>
    <t>Customer indicates preference for UN drums for Q2; validate drum supply and align allocation from WH_US_EAST_NJ for smoother deliveries.</t>
  </si>
  <si>
    <t>2026-02-03T15:05:00.000Z</t>
  </si>
  <si>
    <t>SIG202602-0006</t>
  </si>
  <si>
    <t>News (S&amp;P Global Platts)</t>
  </si>
  <si>
    <t>Freight rates soften on Asia-Europe lane in February</t>
  </si>
  <si>
    <t>Platts notes modest decline in spot container rates; reassess CIF offers for APAC customers and update forecast margin assumptions.</t>
  </si>
  <si>
    <t>2026-02-03T04:30:00.000Z</t>
  </si>
  <si>
    <t>SIG202602-0007</t>
  </si>
  <si>
    <t>Internal email (Sales)</t>
  </si>
  <si>
    <t>Distributor asking for extended credit on acetyl solvents</t>
  </si>
  <si>
    <t>Sales email suggests higher credit exposure; recommend Advance terms for risk-rated C accounts until payments normalize.</t>
  </si>
  <si>
    <t>2026-02-04T08:40:00.000Z</t>
  </si>
  <si>
    <t>EXC202602-0002</t>
  </si>
  <si>
    <t>SIG202602-0008</t>
  </si>
  <si>
    <t>Acetic acid spot prices firm on planned maintenance</t>
  </si>
  <si>
    <t>ICIS reports planned turnarounds; consider locking domestic contracts and updating FC202602-DOM-ACETYL assumptions for March-April.</t>
  </si>
  <si>
    <t>2026-02-04T12:15:00.000Z</t>
  </si>
  <si>
    <t>SIG202602-0009</t>
  </si>
  <si>
    <t>Lote fluoro suite scheduling constraint for DG packaging</t>
  </si>
  <si>
    <t>Ops flags limited DG packing slots; stagger FLUORO dispatches and reserve bagging windows for BAG25 lots.</t>
  </si>
  <si>
    <t>2026-02-05T05:05:00.000Z</t>
  </si>
  <si>
    <t>EXC202602-0003</t>
  </si>
  <si>
    <t>SIG202602-0010</t>
  </si>
  <si>
    <t>EU pigment customer expects stronger demand for arylide intermediates</t>
  </si>
  <si>
    <t>Customer indicates higher pulls; propose increasing TNK_EUR_ANT safety stock and adjust FC202602-EU-ARYLIDE upward.</t>
  </si>
  <si>
    <t>2026-02-05T13:35:00.000Z</t>
  </si>
  <si>
    <t>FC202602-EU-ARYLIDE</t>
  </si>
  <si>
    <t>SIG202602-0011</t>
  </si>
  <si>
    <t>Rotterdam terminal slot availability reduced for ISO tanks</t>
  </si>
  <si>
    <t>Terminal operator signals fewer ISO20 slots; pre-book arrivals and avoid bunching shipments into TNK_EUR_RTM.</t>
  </si>
  <si>
    <t>2026-02-06T07:20:00.000Z</t>
  </si>
  <si>
    <t>EXC202602-0004</t>
  </si>
  <si>
    <t>SIG202602-0012</t>
  </si>
  <si>
    <t>Domestic inks customer requests higher assay EAA for reformulation</t>
  </si>
  <si>
    <t>Customer needs tighter assay; align allocations to PH/INK grades and update forecast mix for ACETYL-EAA in DOM.</t>
  </si>
  <si>
    <t>2026-02-06T10:50:00.000Z</t>
  </si>
  <si>
    <t>SIG202602-0013</t>
  </si>
  <si>
    <t>US Gulf petrochemical rail delays may extend inland deliveries</t>
  </si>
  <si>
    <t>Platts mentions rail congestion; increase delivery buffers for Midwest and consider stocking WH_US_MID_CHI earlier.</t>
  </si>
  <si>
    <t>2026-02-07T02:25:00.000Z</t>
  </si>
  <si>
    <t>EXC202602-0005</t>
  </si>
  <si>
    <t>SIG202602-0014</t>
  </si>
  <si>
    <t>Customer credit downgrade flagged for one EU distributor</t>
  </si>
  <si>
    <t>Credit team recommends tightening terms for the account; shift to Net 15 or Advance for EU orders until review completes.</t>
  </si>
  <si>
    <t>2026-02-07T14:10:00.000Z</t>
  </si>
  <si>
    <t>EXC202602-0006</t>
  </si>
  <si>
    <t>SIG202602-0015</t>
  </si>
  <si>
    <t>Butanol availability steady; no near-term supply disruption</t>
  </si>
  <si>
    <t>Market commentary suggests stable n-butanol; keep BUTACE forecast assumptions unchanged for February.</t>
  </si>
  <si>
    <t>2026-02-08T06:05:00.000Z</t>
  </si>
  <si>
    <t>SIG202602-0016</t>
  </si>
  <si>
    <t>DKD ester line yields improved after catalyst optimization</t>
  </si>
  <si>
    <t>Ops reports better yields; potential to lift DKD availability for export without increasing feed. Update FC202602-EU-DKD accordingly.</t>
  </si>
  <si>
    <t>2026-02-08T11:55:00.000Z</t>
  </si>
  <si>
    <t>SIG202602-0017</t>
  </si>
  <si>
    <t>Sharjah bonded warehouse adding DG segregation inspections</t>
  </si>
  <si>
    <t>New inspection step may add 1–2 days dwell; build buffer for MEA shipments routed via WH_UAE_SHJ.</t>
  </si>
  <si>
    <t>2026-02-09T09:15:00.000Z</t>
  </si>
  <si>
    <t>EXC202602-0007</t>
  </si>
  <si>
    <t>SIG202602-0018</t>
  </si>
  <si>
    <t>Inquiry surge from APAC for bulk ethyl acetate ISO tanks</t>
  </si>
  <si>
    <t>Sales sees more ISO20 RFQs; pre-allocate ISO tanks and update FC202602-APAC-ACETYL volume expectations.</t>
  </si>
  <si>
    <t>2026-02-09T13:45:00.000Z</t>
  </si>
  <si>
    <t>SIG202602-0019</t>
  </si>
  <si>
    <t>Domestic pharma customer requests expedited delivery for acetic anhydride</t>
  </si>
  <si>
    <t>Customer needs earlier delivery; check WH_IN_GUJ_AHD availability and prioritize dispatch under SLA_STD_DOM_T2.</t>
  </si>
  <si>
    <t>2026-02-10T05:40:00.000Z</t>
  </si>
  <si>
    <t>EXC202602-0008</t>
  </si>
  <si>
    <t>SIG202602-0020</t>
  </si>
  <si>
    <t>EU REACH enforcement focus on SDS accuracy for solvents</t>
  </si>
  <si>
    <t>ICIS compliance note; run SDS/documentation audit for EU lots staged at TNK_EUR_GEN and TNK_EUR_RTM.</t>
  </si>
  <si>
    <t>2026-02-10T12:30:00.000Z</t>
  </si>
  <si>
    <t>EXC202602-0009</t>
  </si>
  <si>
    <t>SIG202602-0021</t>
  </si>
  <si>
    <t>Planned maintenance window proposed for Mahad AA unit mid-March</t>
  </si>
  <si>
    <t>Ops proposes maintenance; consider building buffer inventory in February and updating March forecast for ACETYL-ACEANH.</t>
  </si>
  <si>
    <t>2026-02-11T04:05:00.000Z</t>
  </si>
  <si>
    <t>SIG202602-0022</t>
  </si>
  <si>
    <t>Ocean insurance premiums inch up for DG cargo to EU</t>
  </si>
  <si>
    <t>Insurers signal surcharge for DG; incorporate into EU landed cost model for FLUORO and selected solvents.</t>
  </si>
  <si>
    <t>2026-02-11T16:15:00.000Z</t>
  </si>
  <si>
    <t>SIG202602-0023</t>
  </si>
  <si>
    <t>Antwerp terminal weekend cut-off changes for DG documentation</t>
  </si>
  <si>
    <t>Updated cut-offs may affect documentation sequencing; align export paperwork earlier for TNK_EUR_ANT receipts.</t>
  </si>
  <si>
    <t>2026-02-12T07:35:00.000Z</t>
  </si>
  <si>
    <t>EXC202602-0010</t>
  </si>
  <si>
    <t>SIG202602-0024</t>
  </si>
  <si>
    <t>Distributor reports slower payments in North India coatings cluster</t>
  </si>
  <si>
    <t>Collections risk increasing; recommend Advance for new orders routed via WH_IN_NORTH_BAW until stabilization.</t>
  </si>
  <si>
    <t>2026-02-12T10:05:00.000Z</t>
  </si>
  <si>
    <t>EXC202602-0011</t>
  </si>
  <si>
    <t>SIG202602-0025</t>
  </si>
  <si>
    <t>China demand uptick for specialty blocks amid inventory restocking</t>
  </si>
  <si>
    <t>Platts indicates restocking; consider incremental FLUORO volumes routed via APAC lanes and update FC202602-APAC-FLUORO.</t>
  </si>
  <si>
    <t>2026-02-13T02:50:00.000Z</t>
  </si>
  <si>
    <t>FC202602-APAC-FLUORO</t>
  </si>
  <si>
    <t>SIG202602-0026</t>
  </si>
  <si>
    <t>US customer asks for COA turnaround within 24 hours</t>
  </si>
  <si>
    <t>Customer expects faster COA dispatch; ensure lab release timing aligns with SLA_EXPORT_US_T1_P and staging at CFS_IN_NHAV.</t>
  </si>
  <si>
    <t>2026-02-13T17:20:00.000Z</t>
  </si>
  <si>
    <t>EXC202602-0012</t>
  </si>
  <si>
    <t>SIG202602-0027</t>
  </si>
  <si>
    <t>VOC abatement audit passed; no restrictions for bulk solvent loading</t>
  </si>
  <si>
    <t>Audit outcome positive; supports higher bulk load plan for Feb at MHD and export staging via CFS_IN_NHAV.</t>
  </si>
  <si>
    <t>2026-02-14T06:30:00.000Z</t>
  </si>
  <si>
    <t>SIG202602-0028</t>
  </si>
  <si>
    <t>Diketene logistics constrained; cold-chain slots limited</t>
  </si>
  <si>
    <t>ICIS notes chilled storage scarcity; confirm 2-8°C capacity at LTE and plan receipts earlier to avoid stockouts.</t>
  </si>
  <si>
    <t>2026-02-14T12:05:00.000Z</t>
  </si>
  <si>
    <t>SIG202602-0029</t>
  </si>
  <si>
    <t>US East warehouse labor shortages may slow unloading</t>
  </si>
  <si>
    <t>3PL warns of slower receiving at WH_US_EAST_NJ; route some replenishments to WH_US_MID_CHI if feasible.</t>
  </si>
  <si>
    <t>2026-02-15T09:40:00.000Z</t>
  </si>
  <si>
    <t>EXC202602-0013</t>
  </si>
  <si>
    <t>SIG202602-0030</t>
  </si>
  <si>
    <t>EU customer requests smaller lots; more DR200_UN shipments</t>
  </si>
  <si>
    <t>Shift toward drums increases handling; reserve DG pallet slots at TNK_EUR_RTM and adjust packaging mix forecast.</t>
  </si>
  <si>
    <t>2026-02-15T14:25:00.000Z</t>
  </si>
  <si>
    <t>SIG202602-0031</t>
  </si>
  <si>
    <t>Middle East buyers negotiating lower solvent prices</t>
  </si>
  <si>
    <t>Platts reports softer MEA pricing; protect margins via freight optimization and monitor WH_UAE_SHJ throughput.</t>
  </si>
  <si>
    <t>2026-02-16T03:55:00.000Z</t>
  </si>
  <si>
    <t>SIG202602-0032</t>
  </si>
  <si>
    <t>Domestic adhesive customer requests weekly deliveries to reduce storage</t>
  </si>
  <si>
    <t>Customer wants more frequent drops; validate route capacity from WH_IN_WEST_BHI and consolidate with nearby accounts.</t>
  </si>
  <si>
    <t>2026-02-16T11:10:00.000Z</t>
  </si>
  <si>
    <t>SIG202602-0033</t>
  </si>
  <si>
    <t>Powder bagging line dust collection maintenance scheduled</t>
  </si>
  <si>
    <t>Bagging downtime expected; pre-pack ARYLIDE lots and avoid late-Feb BAG25 commitments.</t>
  </si>
  <si>
    <t>2026-02-17T05:15:00.000Z</t>
  </si>
  <si>
    <t>EXC202602-0014</t>
  </si>
  <si>
    <t>SIG202602-0034</t>
  </si>
  <si>
    <t>Customer payment improved; consider restoring Net 30 selectively</t>
  </si>
  <si>
    <t>Credit team notes improvement for select accounts; allow Net 30 for A-rated customers while keeping C on Advance.</t>
  </si>
  <si>
    <t>2026-02-18T09:05:00.000Z</t>
  </si>
  <si>
    <t>SIG202602-0035</t>
  </si>
  <si>
    <t>Genoa terminal revises hazardous cargo documentation checklist</t>
  </si>
  <si>
    <t>New checklist may cause document rework; ensure SDS/IMO declarations are complete before TNK_EUR_GEN receipt.</t>
  </si>
  <si>
    <t>2026-02-19T07:00:00.000Z</t>
  </si>
  <si>
    <t>EXC202602-0015</t>
  </si>
  <si>
    <t>SIG202602-0036</t>
  </si>
  <si>
    <t>Acetaldehyde handling advisory following regional incident</t>
  </si>
  <si>
    <t>ICIS safety note; re-verify handling SOPs and UN drum integrity for ACE shipments through WH_IN_GUJ_AHD.</t>
  </si>
  <si>
    <t>2026-02-20T04:45:00.000Z</t>
  </si>
  <si>
    <t>EXC202602-0016</t>
  </si>
  <si>
    <t>SIG202602-0037</t>
  </si>
  <si>
    <t>APAC distributor proposes annual contract for DKD intermediates</t>
  </si>
  <si>
    <t>Opportunity to lock volumes; align with LTE DKD capacity and update FC202602-APAC-DKD baseline assumptions.</t>
  </si>
  <si>
    <t>2026-02-21T13:25:00.000Z</t>
  </si>
  <si>
    <t>FC202602-APAC-DKD</t>
  </si>
  <si>
    <t>SIG202602-0038</t>
  </si>
  <si>
    <t>EU customer asks for REACH dossier reference in shipping docs</t>
  </si>
  <si>
    <t>Ensure documentation packet includes REACH references; stage compliant packs at TNK_EUR_ANT to avoid clearance delays.</t>
  </si>
  <si>
    <t>2026-02-23T08:10:00.000Z</t>
  </si>
  <si>
    <t>EXC202602-0017</t>
  </si>
  <si>
    <t>SIG202602-0039</t>
  </si>
  <si>
    <t>Dahej project timeline update; utilities commissioning risk flagged</t>
  </si>
  <si>
    <t>Project memo highlights utility commissioning risk; do not rely on DHJ in near-term capacity planning and keep buffers at MHD/LTE.</t>
  </si>
  <si>
    <t>2026-02-24T06:20:00.000Z</t>
  </si>
  <si>
    <t>SIG202602-0040</t>
  </si>
  <si>
    <t>US customer inventory build for spring season supports solvent uptick</t>
  </si>
  <si>
    <t>Platts indicates seasonal build; increase AMER acetyl volume outlook and pre-position inventory at WH_US_EAST_NJ.</t>
  </si>
  <si>
    <t>2026-02-26T03:35:00.000Z</t>
  </si>
  <si>
    <t>Forecast ID (Primary Key)</t>
  </si>
  <si>
    <t>Demand Region ID (FK)</t>
  </si>
  <si>
    <t>Forecast Date</t>
  </si>
  <si>
    <t>Forecast Horizon</t>
  </si>
  <si>
    <t>Product Family</t>
  </si>
  <si>
    <t>Quantity</t>
  </si>
  <si>
    <t>S&amp;OP Event ID (FK)</t>
  </si>
  <si>
    <t>FC-DOM-ACETYL</t>
  </si>
  <si>
    <t>SOP202603-DOM</t>
  </si>
  <si>
    <t>FC-EU-ACETYL</t>
  </si>
  <si>
    <t>SOP202603-EU</t>
  </si>
  <si>
    <t>FC-AMER-ACETYL</t>
  </si>
  <si>
    <t>SOP202603-AMER</t>
  </si>
  <si>
    <t>FC-APAC-ACETYL</t>
  </si>
  <si>
    <t>SOP202603-APAC</t>
  </si>
  <si>
    <t>FC-MEA-ACETYL</t>
  </si>
  <si>
    <t>SOP202603-MEA</t>
  </si>
  <si>
    <t>FC-ROW-ACETYL</t>
  </si>
  <si>
    <t>SOP202603-ROW</t>
  </si>
  <si>
    <t>FC-DOM-DKD</t>
  </si>
  <si>
    <t>FC-EU-DKD</t>
  </si>
  <si>
    <t>FC-AMER-DKD</t>
  </si>
  <si>
    <t>FC-APAC-DKD</t>
  </si>
  <si>
    <t>FC-MEA-DKD</t>
  </si>
  <si>
    <t>FC-ROW-DKD</t>
  </si>
  <si>
    <t>FC-DOM-ARYLIDE</t>
  </si>
  <si>
    <t>FC-EU-ARYLIDE</t>
  </si>
  <si>
    <t>FC-AMER-ARYLIDE</t>
  </si>
  <si>
    <t>FC-APAC-ARYLIDE</t>
  </si>
  <si>
    <t>FC-MEA-ARYLIDE</t>
  </si>
  <si>
    <t>FC-ROW-ARYLIDE</t>
  </si>
  <si>
    <t>FC-DOM-FLUORO</t>
  </si>
  <si>
    <t>FC-EU-FLUORO</t>
  </si>
  <si>
    <t>FC-AMER-FLUORO</t>
  </si>
  <si>
    <t>FC-APAC-FLUORO</t>
  </si>
  <si>
    <t>FC-MEA-FLUORO</t>
  </si>
  <si>
    <t>FC-ROW-FLUORO</t>
  </si>
  <si>
    <t>S&amp;OP Event ID (Primary Key)</t>
  </si>
  <si>
    <t>Frequency</t>
  </si>
  <si>
    <t>Horizon</t>
  </si>
  <si>
    <t>Region Scope (Region ID FK)</t>
  </si>
  <si>
    <t>Date</t>
  </si>
  <si>
    <t>Minutes</t>
  </si>
  <si>
    <t>SOP202601-DOM</t>
  </si>
  <si>
    <t>1M</t>
  </si>
  <si>
    <t>2026-01-15T18:30:00.000Z</t>
  </si>
  <si>
    <t>Illustrative monthly S&amp;OP (DOM)</t>
  </si>
  <si>
    <t>SOP202601-EU</t>
  </si>
  <si>
    <t>2026-01-16T18:30:00.000Z</t>
  </si>
  <si>
    <t>Illustrative monthly S&amp;OP (EU)</t>
  </si>
  <si>
    <t>SOP202601-AMER</t>
  </si>
  <si>
    <t>2026-01-17T18:30:00.000Z</t>
  </si>
  <si>
    <t>Illustrative monthly S&amp;OP (AMER)</t>
  </si>
  <si>
    <t>SOP202601-APAC</t>
  </si>
  <si>
    <t>2026-01-14T18:30:00.000Z</t>
  </si>
  <si>
    <t>Illustrative monthly S&amp;OP (APAC)</t>
  </si>
  <si>
    <t>SOP202602-DOM</t>
  </si>
  <si>
    <t>2026-02-15T18:30:00.000Z</t>
  </si>
  <si>
    <t>SOP202602-EU</t>
  </si>
  <si>
    <t>2026-02-16T18:30:00.000Z</t>
  </si>
  <si>
    <t>SOP202602-AMER</t>
  </si>
  <si>
    <t>2026-02-17T18:30:00.000Z</t>
  </si>
  <si>
    <t>SOP202602-APAC</t>
  </si>
  <si>
    <t>2026-02-14T18:30:00.000Z</t>
  </si>
  <si>
    <t>2026-03-15T18:30:00.000Z</t>
  </si>
  <si>
    <t>2026-03-16T18:30:00.000Z</t>
  </si>
  <si>
    <t>2026-03-17T18:30:00.000Z</t>
  </si>
  <si>
    <t>2026-03-14T18:30:00.000Z</t>
  </si>
  <si>
    <t>Capacity Reservation ID (Primary Key)</t>
  </si>
  <si>
    <t>Line ID (FK)</t>
  </si>
  <si>
    <t>Reserved Quantity (MT)</t>
  </si>
  <si>
    <t>Planned Start Date</t>
  </si>
  <si>
    <t>Planned End Date</t>
  </si>
  <si>
    <t>Status</t>
  </si>
  <si>
    <t>CR202603-0001</t>
  </si>
  <si>
    <t>LINE_MHD_EA_TRAIN1</t>
  </si>
  <si>
    <t>Draft</t>
  </si>
  <si>
    <t>CR202603-0002</t>
  </si>
  <si>
    <t>LINE_MHD_AA_ANHY</t>
  </si>
  <si>
    <t>CR202603-0003</t>
  </si>
  <si>
    <t>LINE_MHD_SOL_BLEND</t>
  </si>
  <si>
    <t>CR202603-0004</t>
  </si>
  <si>
    <t>CR202603-0005</t>
  </si>
  <si>
    <t>CR202603-0006</t>
  </si>
  <si>
    <t>CR202603-0007</t>
  </si>
  <si>
    <t>CR202603-0008</t>
  </si>
  <si>
    <t>CR202603-0009</t>
  </si>
  <si>
    <t>CR202603-0010</t>
  </si>
  <si>
    <t>CR202603-0011</t>
  </si>
  <si>
    <t>CR202603-0012</t>
  </si>
  <si>
    <t>CR202603-0013</t>
  </si>
  <si>
    <t>CR202603-0014</t>
  </si>
  <si>
    <t>CR202603-0015</t>
  </si>
  <si>
    <t>CR202603-0016</t>
  </si>
  <si>
    <t>Submitted</t>
  </si>
  <si>
    <t>CR202603-0017</t>
  </si>
  <si>
    <t>CR202603-0018</t>
  </si>
  <si>
    <t>CR202603-0019</t>
  </si>
  <si>
    <t>CR202603-0020</t>
  </si>
  <si>
    <t>CR202603-0021</t>
  </si>
  <si>
    <t>CR202603-0022</t>
  </si>
  <si>
    <t>CR202603-0023</t>
  </si>
  <si>
    <t>CR202603-0024</t>
  </si>
  <si>
    <t>CR202603-0025</t>
  </si>
  <si>
    <t>CR202603-0026</t>
  </si>
  <si>
    <t>CR202603-0027</t>
  </si>
  <si>
    <t>CR202603-0028</t>
  </si>
  <si>
    <t>CR202603-0029</t>
  </si>
  <si>
    <t>CR202603-0030</t>
  </si>
  <si>
    <t>CR202603-0031</t>
  </si>
  <si>
    <t>CR202603-0032</t>
  </si>
  <si>
    <t>CR202603-0033</t>
  </si>
  <si>
    <t>CR202603-0034</t>
  </si>
  <si>
    <t>CR202603-0035</t>
  </si>
  <si>
    <t>CR202603-0036</t>
  </si>
  <si>
    <t>Approved</t>
  </si>
  <si>
    <t>CR202603-0037</t>
  </si>
  <si>
    <t>CR202603-0038</t>
  </si>
  <si>
    <t>CR202603-0039</t>
  </si>
  <si>
    <t>CR202603-0040</t>
  </si>
  <si>
    <t>CR202603-0041</t>
  </si>
  <si>
    <t>CR202603-0042</t>
  </si>
  <si>
    <t>CR202603-0043</t>
  </si>
  <si>
    <t>LINE_LTE_ARY_1</t>
  </si>
  <si>
    <t>CR202603-0044</t>
  </si>
  <si>
    <t>LINE_LTE_FLR_BLOCK200</t>
  </si>
  <si>
    <t>CR202603-0045</t>
  </si>
  <si>
    <t>LINE_LTE_DKD_ESTER1</t>
  </si>
  <si>
    <t>CR202603-0046</t>
  </si>
  <si>
    <t>LINE_LTE_DKD_AMIDE1</t>
  </si>
  <si>
    <t>CR202603-0047</t>
  </si>
  <si>
    <t>CR202603-0048</t>
  </si>
  <si>
    <t>CR202603-0049</t>
  </si>
  <si>
    <t>CR202603-0050</t>
  </si>
  <si>
    <t>CR202603-0051</t>
  </si>
  <si>
    <t>CR202603-0052</t>
  </si>
  <si>
    <t>CR202603-0053</t>
  </si>
  <si>
    <t>CR202603-0054</t>
  </si>
  <si>
    <t>CR202603-0055</t>
  </si>
  <si>
    <t>CR202603-0056</t>
  </si>
  <si>
    <t>CR202603-0057</t>
  </si>
  <si>
    <t>CR202603-0058</t>
  </si>
  <si>
    <t>CR202603-0059</t>
  </si>
  <si>
    <t>CR202603-0060</t>
  </si>
  <si>
    <t>MRP ID (Primary Key)</t>
  </si>
  <si>
    <t>Capacity Reservation ID (FK)</t>
  </si>
  <si>
    <t>product_family</t>
  </si>
  <si>
    <t>gross_requirement_qty</t>
  </si>
  <si>
    <t>onhand_qty</t>
  </si>
  <si>
    <t>scheduled_receipts_qty</t>
  </si>
  <si>
    <t>net_requirement_qty</t>
  </si>
  <si>
    <t>std_lead_time_days</t>
  </si>
  <si>
    <t>recommended_order_release_date</t>
  </si>
  <si>
    <t>priority</t>
  </si>
  <si>
    <t>MRP202603-0001</t>
  </si>
  <si>
    <t>RM-ETH-AL-64197</t>
  </si>
  <si>
    <t>Medium</t>
  </si>
  <si>
    <t>ACETYL input RM-ETH-AL-64197; align procurement to March runs; illustrative.</t>
  </si>
  <si>
    <t>MRP202603-0002</t>
  </si>
  <si>
    <t>RM-ETH-AL-64219</t>
  </si>
  <si>
    <t>ACETYL input RM-ETH-AL-64219; align procurement to March runs; illustrative.</t>
  </si>
  <si>
    <t>MRP202603-0003</t>
  </si>
  <si>
    <t>ACETYL input RM-SUL-AC-10477; align procurement to March runs; illustrative.</t>
  </si>
  <si>
    <t>MRP202603-0004</t>
  </si>
  <si>
    <t>ACETYL input RM-ETH-AL-64175; align procurement to March runs; illustrative.</t>
  </si>
  <si>
    <t>MRP202603-0005</t>
  </si>
  <si>
    <t>MRP202603-0006</t>
  </si>
  <si>
    <t>MRP202603-0007</t>
  </si>
  <si>
    <t>ACETYL input RM-AAC-GL-23011; align procurement to March runs; illustrative.</t>
  </si>
  <si>
    <t>MRP202603-0008</t>
  </si>
  <si>
    <t>INT-KET-674828</t>
  </si>
  <si>
    <t>DKD input INT-KET-674828; align procurement to March runs; illustrative.</t>
  </si>
  <si>
    <t>MRP202603-0009</t>
  </si>
  <si>
    <t>ACETYL input RM-BUT-NB-51720; align procurement to March runs; illustrative.</t>
  </si>
  <si>
    <t>MRP202603-0010</t>
  </si>
  <si>
    <t>MRP202603-0011</t>
  </si>
  <si>
    <t>MRP202603-0012</t>
  </si>
  <si>
    <t>ACETYL input RM-NAO-CP-77811; align procurement to March runs; illustrative.</t>
  </si>
  <si>
    <t>MRP202603-0013</t>
  </si>
  <si>
    <t>Low</t>
  </si>
  <si>
    <t>ARYLIDE input RM-ANI-LN-90355; align procurement to March runs; illustrative.</t>
  </si>
  <si>
    <t>MRP202603-0014</t>
  </si>
  <si>
    <t>ACETYL input RM-MTH-AA-40218; align procurement to March runs; illustrative.</t>
  </si>
  <si>
    <t>MRP202603-0015</t>
  </si>
  <si>
    <t>MRP202603-0016</t>
  </si>
  <si>
    <t>MRP202603-0017</t>
  </si>
  <si>
    <t>RM-ETH-AL-64241</t>
  </si>
  <si>
    <t>ACETYL input RM-ETH-AL-64241; align procurement to March runs; illustrative.</t>
  </si>
  <si>
    <t>MRP202603-0018</t>
  </si>
  <si>
    <t>MRP202603-0019</t>
  </si>
  <si>
    <t>MRP202603-0020</t>
  </si>
  <si>
    <t>INT-KET-463514</t>
  </si>
  <si>
    <t>DKD input INT-KET-463514; align procurement to March runs; illustrative.</t>
  </si>
  <si>
    <t>MRP202603-0021</t>
  </si>
  <si>
    <t>MRP202603-0022</t>
  </si>
  <si>
    <t>MRP202603-0023</t>
  </si>
  <si>
    <t>MRP202603-0024</t>
  </si>
  <si>
    <t>DKD input INT-DKD-INT-342781; align procurement to March runs; illustrative.</t>
  </si>
  <si>
    <t>MRP202603-0025</t>
  </si>
  <si>
    <t>MRP202603-0026</t>
  </si>
  <si>
    <t>MRP202603-0027</t>
  </si>
  <si>
    <t>MRP202603-0028</t>
  </si>
  <si>
    <t>High</t>
  </si>
  <si>
    <t>MRP202603-0029</t>
  </si>
  <si>
    <t>MRP202603-0030</t>
  </si>
  <si>
    <t>MRP202603-0031</t>
  </si>
  <si>
    <t>MRP202603-0032</t>
  </si>
  <si>
    <t>MRP202603-0033</t>
  </si>
  <si>
    <t>MRP202603-0034</t>
  </si>
  <si>
    <t>MRP202603-0035</t>
  </si>
  <si>
    <t>ARYLIDE input RM-PCA-AN-77210; align procurement to March runs; illustrative.</t>
  </si>
  <si>
    <t>MRP202603-0036</t>
  </si>
  <si>
    <t>MRP202603-0037</t>
  </si>
  <si>
    <t>MRP202603-0038</t>
  </si>
  <si>
    <t>MRP202603-0039</t>
  </si>
  <si>
    <t>MRP202603-0040</t>
  </si>
  <si>
    <t>MRP202603-0041</t>
  </si>
  <si>
    <t>MRP202603-0042</t>
  </si>
  <si>
    <t>MRP202603-0043</t>
  </si>
  <si>
    <t>ARYLIDE input INT-ARY-INT-558903; align procurement to March runs; illustrative.</t>
  </si>
  <si>
    <t>MRP202603-0044</t>
  </si>
  <si>
    <t>MRP202603-0045</t>
  </si>
  <si>
    <t>MRP202603-0046</t>
  </si>
  <si>
    <t>MRP202603-0047</t>
  </si>
  <si>
    <t>MRP202603-0048</t>
  </si>
  <si>
    <t>MRP202603-0049</t>
  </si>
  <si>
    <t>MRP202603-0050</t>
  </si>
  <si>
    <t>DKD input RM-DIK-ET-88412; align procurement to March runs; illustrative.</t>
  </si>
  <si>
    <t>MRP202603-0051</t>
  </si>
  <si>
    <t>MRP202603-0052</t>
  </si>
  <si>
    <t>MRP202603-0053</t>
  </si>
  <si>
    <t>MRP202603-0054</t>
  </si>
  <si>
    <t>MRP202603-0055</t>
  </si>
  <si>
    <t>MRP202603-0056</t>
  </si>
  <si>
    <t>MRP202603-0057</t>
  </si>
  <si>
    <t>MRP202603-0058</t>
  </si>
  <si>
    <t>MRP202603-0059</t>
  </si>
  <si>
    <t>MRP202603-0060</t>
  </si>
  <si>
    <t>MRP202603-0061</t>
  </si>
  <si>
    <t>MRP202603-0062</t>
  </si>
  <si>
    <t>MRP202603-0063</t>
  </si>
  <si>
    <t>MRP202603-0064</t>
  </si>
  <si>
    <t>MRP202603-0065</t>
  </si>
  <si>
    <t>MRP202603-0066</t>
  </si>
  <si>
    <t>MRP202603-0067</t>
  </si>
  <si>
    <t>MRP202603-0068</t>
  </si>
  <si>
    <t>MRP202603-0069</t>
  </si>
  <si>
    <t>MRP202603-0070</t>
  </si>
  <si>
    <t>MRP202603-0071</t>
  </si>
  <si>
    <t>MRP202603-0072</t>
  </si>
  <si>
    <t>MRP202603-0073</t>
  </si>
  <si>
    <t>MRP202603-0074</t>
  </si>
  <si>
    <t>MRP202603-0075</t>
  </si>
  <si>
    <t>MRP202603-0076</t>
  </si>
  <si>
    <t>MRP202603-0077</t>
  </si>
  <si>
    <t>MRP202603-0078</t>
  </si>
  <si>
    <t>MRP202603-0079</t>
  </si>
  <si>
    <t>MRP202603-0080</t>
  </si>
  <si>
    <t>MRP202603-0081</t>
  </si>
  <si>
    <t>MRP202603-0082</t>
  </si>
  <si>
    <t>MRP202603-0083</t>
  </si>
  <si>
    <t>MRP202603-0084</t>
  </si>
  <si>
    <t>MRP202603-0085</t>
  </si>
  <si>
    <t>MRP202603-0086</t>
  </si>
  <si>
    <t>MRP202603-0087</t>
  </si>
  <si>
    <t>MRP202603-0088</t>
  </si>
  <si>
    <t>MRP202603-0089</t>
  </si>
  <si>
    <t>MRP202603-0090</t>
  </si>
  <si>
    <t>MRP202603-0091</t>
  </si>
  <si>
    <t>MRP202603-0092</t>
  </si>
  <si>
    <t>MRP202603-0093</t>
  </si>
  <si>
    <t>MRP202603-0094</t>
  </si>
  <si>
    <t>MRP202603-0095</t>
  </si>
  <si>
    <t>MRP202603-0096</t>
  </si>
  <si>
    <t>MRP202603-0097</t>
  </si>
  <si>
    <t>MRP202603-0098</t>
  </si>
  <si>
    <t>MRP202603-0099</t>
  </si>
  <si>
    <t>MRP202603-0100</t>
  </si>
  <si>
    <t>FLUORO input INT-FLR-BLK-903117; align procurement to March runs; illustrative.</t>
  </si>
  <si>
    <t>MRP202603-0101</t>
  </si>
  <si>
    <t>MRP202603-0102</t>
  </si>
  <si>
    <t>MRP202603-0103</t>
  </si>
  <si>
    <t>MRP202603-0104</t>
  </si>
  <si>
    <t>MRP202603-0105</t>
  </si>
  <si>
    <t>MRP202603-0106</t>
  </si>
  <si>
    <t>MRP202603-0107</t>
  </si>
  <si>
    <t>MRP202603-0108</t>
  </si>
  <si>
    <t>MRP202603-0109</t>
  </si>
  <si>
    <t>MRP202603-0110</t>
  </si>
  <si>
    <t>MRP202603-0111</t>
  </si>
  <si>
    <t>MRP202603-0112</t>
  </si>
  <si>
    <t>MRP202603-0113</t>
  </si>
  <si>
    <t>MRP202603-0114</t>
  </si>
  <si>
    <t>MRP202603-0115</t>
  </si>
  <si>
    <t>MRP202603-0116</t>
  </si>
  <si>
    <t>MRP202603-0117</t>
  </si>
  <si>
    <t>MRP202603-0118</t>
  </si>
  <si>
    <t>MRP202603-0119</t>
  </si>
  <si>
    <t>MRP202603-0120</t>
  </si>
  <si>
    <t>MRP202603-0121</t>
  </si>
  <si>
    <t>MRP202603-0122</t>
  </si>
  <si>
    <t>MRP202603-0123</t>
  </si>
  <si>
    <t>MRP202603-0124</t>
  </si>
  <si>
    <t>MRP202603-0125</t>
  </si>
  <si>
    <t>MRP202603-0126</t>
  </si>
  <si>
    <t>MRP202603-0127</t>
  </si>
  <si>
    <t>MRP202603-0128</t>
  </si>
  <si>
    <t>MRP202603-0129</t>
  </si>
  <si>
    <t>MRP202603-0130</t>
  </si>
  <si>
    <t>MRP202603-0131</t>
  </si>
  <si>
    <t>MRP202603-0132</t>
  </si>
  <si>
    <t>MRP202603-0133</t>
  </si>
  <si>
    <t>MRP202603-0134</t>
  </si>
  <si>
    <t>MRP202603-0135</t>
  </si>
  <si>
    <t>MRP202603-0136</t>
  </si>
  <si>
    <t>MRP202603-0137</t>
  </si>
  <si>
    <t>MRP202603-0138</t>
  </si>
  <si>
    <t>MRP202603-0139</t>
  </si>
  <si>
    <t>MRP202603-0140</t>
  </si>
  <si>
    <t>MRP202603-0141</t>
  </si>
  <si>
    <t>MRP202603-0142</t>
  </si>
  <si>
    <t>MRP202603-0143</t>
  </si>
  <si>
    <t>MRP202603-0144</t>
  </si>
  <si>
    <t>MRP202603-0145</t>
  </si>
  <si>
    <t>MRP202603-0146</t>
  </si>
  <si>
    <t>MRP202603-0147</t>
  </si>
  <si>
    <t>MRP202603-0148</t>
  </si>
  <si>
    <t>MRP202603-0149</t>
  </si>
  <si>
    <t>MRP202603-0150</t>
  </si>
  <si>
    <t>Production Plan ID (PK)</t>
  </si>
  <si>
    <t>Capacity Reservations (FK)</t>
  </si>
  <si>
    <t>Planned Start</t>
  </si>
  <si>
    <t>Planned End</t>
  </si>
  <si>
    <t>Required Quantity</t>
  </si>
  <si>
    <t>Estimated Scrappage (%)</t>
  </si>
  <si>
    <t>Quality Defect Rate (%)</t>
  </si>
  <si>
    <t>Planned Quantity</t>
  </si>
  <si>
    <t>PP202603-0001</t>
  </si>
  <si>
    <t>LINE_MHD_EA_TRAIN2</t>
  </si>
  <si>
    <t>Completed</t>
  </si>
  <si>
    <t>PP202603-0002</t>
  </si>
  <si>
    <t>PP202603-0003</t>
  </si>
  <si>
    <t>LINE_LTE_DKD_ESTER2</t>
  </si>
  <si>
    <t>PP202603-0004</t>
  </si>
  <si>
    <t>LINE_MHD_BA_BATCH1</t>
  </si>
  <si>
    <t>PP202603-0005</t>
  </si>
  <si>
    <t>PP202603-0006</t>
  </si>
  <si>
    <t>PP202603-0007</t>
  </si>
  <si>
    <t>LINE_MHD_AAEM_REACT1</t>
  </si>
  <si>
    <t>PP202603-0008</t>
  </si>
  <si>
    <t>PP202603-0009</t>
  </si>
  <si>
    <t>PP202603-0010</t>
  </si>
  <si>
    <t>PP202603-0011</t>
  </si>
  <si>
    <t>Released</t>
  </si>
  <si>
    <t>PP202603-0012</t>
  </si>
  <si>
    <t>PP202603-0013</t>
  </si>
  <si>
    <t>PP202603-0014</t>
  </si>
  <si>
    <t>PP202603-0015</t>
  </si>
  <si>
    <t>LINE_LTE_ARY_2</t>
  </si>
  <si>
    <t>PP202603-0016</t>
  </si>
  <si>
    <t>PP202603-0017</t>
  </si>
  <si>
    <t>PP202603-0018</t>
  </si>
  <si>
    <t>PP202603-0019</t>
  </si>
  <si>
    <t>PP202603-0020</t>
  </si>
  <si>
    <t>PP202603-0021</t>
  </si>
  <si>
    <t>PP202603-0022</t>
  </si>
  <si>
    <t>PP202603-0023</t>
  </si>
  <si>
    <t>PP202603-0024</t>
  </si>
  <si>
    <t>PP202603-0025</t>
  </si>
  <si>
    <t>PP202603-0026</t>
  </si>
  <si>
    <t>PP202603-0027</t>
  </si>
  <si>
    <t>PP202603-0028</t>
  </si>
  <si>
    <t>PP202603-0029</t>
  </si>
  <si>
    <t>PP202603-0030</t>
  </si>
  <si>
    <t>PP202603-0031</t>
  </si>
  <si>
    <t>PP202603-0032</t>
  </si>
  <si>
    <t>PP202603-0033</t>
  </si>
  <si>
    <t>PP202603-0034</t>
  </si>
  <si>
    <t>PP202603-0035</t>
  </si>
  <si>
    <t>PP202603-0036</t>
  </si>
  <si>
    <t>PP202603-0037</t>
  </si>
  <si>
    <t>PP202603-0038</t>
  </si>
  <si>
    <t>PP202603-0039</t>
  </si>
  <si>
    <t>PP202603-0040</t>
  </si>
  <si>
    <t>PP202603-0041</t>
  </si>
  <si>
    <t>PP202603-0042</t>
  </si>
  <si>
    <t>PP202603-0043</t>
  </si>
  <si>
    <t>PP202603-0044</t>
  </si>
  <si>
    <t>PP202603-0045</t>
  </si>
  <si>
    <t>PP202603-0046</t>
  </si>
  <si>
    <t>PP202603-0047</t>
  </si>
  <si>
    <t>PP202603-0048</t>
  </si>
  <si>
    <t>PP202603-0049</t>
  </si>
  <si>
    <t>PP202603-0050</t>
  </si>
  <si>
    <t>PP202603-0051</t>
  </si>
  <si>
    <t>PP202603-0052</t>
  </si>
  <si>
    <t>PP202603-0053</t>
  </si>
  <si>
    <t>PP202603-0054</t>
  </si>
  <si>
    <t>PP202603-0055</t>
  </si>
  <si>
    <t>PP202603-0056</t>
  </si>
  <si>
    <t>PP202603-0057</t>
  </si>
  <si>
    <t>PP202603-0058</t>
  </si>
  <si>
    <t>PP202603-0059</t>
  </si>
  <si>
    <t>PP202603-0060</t>
  </si>
  <si>
    <t>PP202603-0061</t>
  </si>
  <si>
    <t>PP202603-0062</t>
  </si>
  <si>
    <t>PP202603-0063</t>
  </si>
  <si>
    <t>PP202603-0064</t>
  </si>
  <si>
    <t>PP202603-0065</t>
  </si>
  <si>
    <t>PP202603-0066</t>
  </si>
  <si>
    <t>PP202603-0067</t>
  </si>
  <si>
    <t>PP202603-0068</t>
  </si>
  <si>
    <t>PP202603-0069</t>
  </si>
  <si>
    <t>PP202603-0070</t>
  </si>
  <si>
    <t>PP202603-0071</t>
  </si>
  <si>
    <t>PP202603-0072</t>
  </si>
  <si>
    <t>PP202603-0073</t>
  </si>
  <si>
    <t>PP202603-0074</t>
  </si>
  <si>
    <t>PP202603-0075</t>
  </si>
  <si>
    <t>PP202603-0076</t>
  </si>
  <si>
    <t>PP202603-0077</t>
  </si>
  <si>
    <t>PP202603-0078</t>
  </si>
  <si>
    <t>PP202603-0079</t>
  </si>
  <si>
    <t>PP202603-0080</t>
  </si>
  <si>
    <t>PP202603-0081</t>
  </si>
  <si>
    <t>PP202603-0082</t>
  </si>
  <si>
    <t>PP202603-0083</t>
  </si>
  <si>
    <t>PP202603-0084</t>
  </si>
  <si>
    <t>PP202603-0085</t>
  </si>
  <si>
    <t>PP202603-0086</t>
  </si>
  <si>
    <t>PP202603-0087</t>
  </si>
  <si>
    <t>PP202603-0088</t>
  </si>
  <si>
    <t>PP202603-0089</t>
  </si>
  <si>
    <t>PP202603-0090</t>
  </si>
  <si>
    <t>PP202603-0091</t>
  </si>
  <si>
    <t>PP202603-0092</t>
  </si>
  <si>
    <t>PP202603-0093</t>
  </si>
  <si>
    <t>PP202603-0094</t>
  </si>
  <si>
    <t>PP202603-0095</t>
  </si>
  <si>
    <t>PP202603-0096</t>
  </si>
  <si>
    <t>PP202603-0097</t>
  </si>
  <si>
    <t>PP202603-0098</t>
  </si>
  <si>
    <t>PP202603-0099</t>
  </si>
  <si>
    <t>PP202603-0100</t>
  </si>
  <si>
    <t>Std Dev</t>
  </si>
  <si>
    <t>5%</t>
  </si>
  <si>
    <t>PR Line ID (PK)</t>
  </si>
  <si>
    <t>Production Plan ID (FK)</t>
  </si>
  <si>
    <t>Requisition Date</t>
  </si>
  <si>
    <t>SKU_id (FK)</t>
  </si>
  <si>
    <t>Need by Date</t>
  </si>
  <si>
    <t>PR202603-0001</t>
  </si>
  <si>
    <t>Rfx released</t>
  </si>
  <si>
    <t>PR202603-0002</t>
  </si>
  <si>
    <t>PR202603-0003</t>
  </si>
  <si>
    <t>2026-03-30</t>
  </si>
  <si>
    <t>PR202603-0004</t>
  </si>
  <si>
    <t>2026-03-25</t>
  </si>
  <si>
    <t>2026-04-07</t>
  </si>
  <si>
    <t>PR202603-0005</t>
  </si>
  <si>
    <t>2026-03-31</t>
  </si>
  <si>
    <t>2026-04-15</t>
  </si>
  <si>
    <t>PR202603-0006</t>
  </si>
  <si>
    <t>PO Issued</t>
  </si>
  <si>
    <t>PR202603-0007</t>
  </si>
  <si>
    <t>PR202603-0008</t>
  </si>
  <si>
    <t>2026-03-28</t>
  </si>
  <si>
    <t>PR202603-0009</t>
  </si>
  <si>
    <t>2026-04-05</t>
  </si>
  <si>
    <t>PR202603-0010</t>
  </si>
  <si>
    <t>2026-04-13</t>
  </si>
  <si>
    <t>PR202603-0011</t>
  </si>
  <si>
    <t>PR202603-0012</t>
  </si>
  <si>
    <t>GRN Issued</t>
  </si>
  <si>
    <t>PR202603-0013</t>
  </si>
  <si>
    <t>2026-03-26</t>
  </si>
  <si>
    <t>PR202603-0014</t>
  </si>
  <si>
    <t>2026-04-03</t>
  </si>
  <si>
    <t>PR202603-0015</t>
  </si>
  <si>
    <t>2026-03-29</t>
  </si>
  <si>
    <t>2026-04-11</t>
  </si>
  <si>
    <t>PR202603-0016</t>
  </si>
  <si>
    <t>PR202603-0017</t>
  </si>
  <si>
    <t>CE</t>
  </si>
  <si>
    <t>PR202603-0018</t>
  </si>
  <si>
    <t>PR202603-0019</t>
  </si>
  <si>
    <t>2026-04-01</t>
  </si>
  <si>
    <t>TE</t>
  </si>
  <si>
    <t>PR202603-0020</t>
  </si>
  <si>
    <t>2026-04-09</t>
  </si>
  <si>
    <t>PR202603-0021</t>
  </si>
  <si>
    <t>PR202603-0022</t>
  </si>
  <si>
    <t>PR202603-0023</t>
  </si>
  <si>
    <t>PR202603-0024</t>
  </si>
  <si>
    <t>PR202603-0025</t>
  </si>
  <si>
    <t>2026-03-27</t>
  </si>
  <si>
    <t>PR202603-0026</t>
  </si>
  <si>
    <t>PR202603-0027</t>
  </si>
  <si>
    <t>PR202603-0028</t>
  </si>
  <si>
    <t>PR202603-0029</t>
  </si>
  <si>
    <t>PR202603-0030</t>
  </si>
  <si>
    <t>PR202603-0031</t>
  </si>
  <si>
    <t>PR202603-0032</t>
  </si>
  <si>
    <t>PR202603-0033</t>
  </si>
  <si>
    <t>PR202603-0034</t>
  </si>
  <si>
    <t>PR202603-0035</t>
  </si>
  <si>
    <t>PR202603-0036</t>
  </si>
  <si>
    <t>PR202603-0037</t>
  </si>
  <si>
    <t>PR202603-0038</t>
  </si>
  <si>
    <t>PR202603-0039</t>
  </si>
  <si>
    <t>PR202603-0040</t>
  </si>
  <si>
    <t>PR202603-0041</t>
  </si>
  <si>
    <t>PR202603-0042</t>
  </si>
  <si>
    <t>PR202603-0043</t>
  </si>
  <si>
    <t>PR202603-0044</t>
  </si>
  <si>
    <t>PR202603-0045</t>
  </si>
  <si>
    <t>PR202603-0046</t>
  </si>
  <si>
    <t>PR202603-0047</t>
  </si>
  <si>
    <t>PR202603-0048</t>
  </si>
  <si>
    <t>PR202603-0049</t>
  </si>
  <si>
    <t>PR202603-0050</t>
  </si>
  <si>
    <t>PR202603-0051</t>
  </si>
  <si>
    <t>PR202603-0052</t>
  </si>
  <si>
    <t>PR202603-0053</t>
  </si>
  <si>
    <t>PR202603-0054</t>
  </si>
  <si>
    <t>PR202603-0055</t>
  </si>
  <si>
    <t>PR202603-0056</t>
  </si>
  <si>
    <t>PR202603-0057</t>
  </si>
  <si>
    <t>PR202603-0058</t>
  </si>
  <si>
    <t>PR202603-0059</t>
  </si>
  <si>
    <t>PR202603-0060</t>
  </si>
  <si>
    <t>2026-04-04</t>
  </si>
  <si>
    <t>PR202603-0061</t>
  </si>
  <si>
    <t>PR202603-0062</t>
  </si>
  <si>
    <t>PR202603-0063</t>
  </si>
  <si>
    <t>PR202603-0064</t>
  </si>
  <si>
    <t>PR202603-0065</t>
  </si>
  <si>
    <t>2026-04-02</t>
  </si>
  <si>
    <t>PR202603-0066</t>
  </si>
  <si>
    <t>PR202603-0067</t>
  </si>
  <si>
    <t>PR202603-0068</t>
  </si>
  <si>
    <t>PR202603-0069</t>
  </si>
  <si>
    <t>PR202603-0070</t>
  </si>
  <si>
    <t>PR202603-0071</t>
  </si>
  <si>
    <t>2026-04-08</t>
  </si>
  <si>
    <t>PR202603-0072</t>
  </si>
  <si>
    <t>PR202603-0073</t>
  </si>
  <si>
    <t>PR202603-0074</t>
  </si>
  <si>
    <t>PR202603-0075</t>
  </si>
  <si>
    <t>PR202603-0076</t>
  </si>
  <si>
    <t>2026-04-06</t>
  </si>
  <si>
    <t>PR202603-0077</t>
  </si>
  <si>
    <t>PR202603-0078</t>
  </si>
  <si>
    <t>PR202603-0079</t>
  </si>
  <si>
    <t>PR202603-0080</t>
  </si>
  <si>
    <t>PR202603-0081</t>
  </si>
  <si>
    <t>PR202603-0082</t>
  </si>
  <si>
    <t>2026-04-12</t>
  </si>
  <si>
    <t>PR202603-0083</t>
  </si>
  <si>
    <t>PR202603-0084</t>
  </si>
  <si>
    <t>PR202603-0085</t>
  </si>
  <si>
    <t>PR202603-0086</t>
  </si>
  <si>
    <t>PR202603-0087</t>
  </si>
  <si>
    <t>2026-04-10</t>
  </si>
  <si>
    <t>PR202603-0088</t>
  </si>
  <si>
    <t>PR202603-0089</t>
  </si>
  <si>
    <t>PR202603-0090</t>
  </si>
  <si>
    <t>PR202603-0091</t>
  </si>
  <si>
    <t>PR202603-0092</t>
  </si>
  <si>
    <t>PR202603-0093</t>
  </si>
  <si>
    <t>PR202603-0094</t>
  </si>
  <si>
    <t>PR202603-0095</t>
  </si>
  <si>
    <t>PR202603-0096</t>
  </si>
  <si>
    <t>PR202603-0097</t>
  </si>
  <si>
    <t>PR202603-0098</t>
  </si>
  <si>
    <t>2026-04-14</t>
  </si>
  <si>
    <t>PR202603-0099</t>
  </si>
  <si>
    <t>PR202603-0100</t>
  </si>
  <si>
    <t>PR202603-0101</t>
  </si>
  <si>
    <t>PR202603-0102</t>
  </si>
  <si>
    <t>PR202603-0103</t>
  </si>
  <si>
    <t>PR202603-0104</t>
  </si>
  <si>
    <t>PR202603-0105</t>
  </si>
  <si>
    <t>PR202603-0106</t>
  </si>
  <si>
    <t>PR202603-0107</t>
  </si>
  <si>
    <t>PR202603-0108</t>
  </si>
  <si>
    <t>PR202603-0109</t>
  </si>
  <si>
    <t>PR202603-0110</t>
  </si>
  <si>
    <t>PR202603-0111</t>
  </si>
  <si>
    <t>PR202603-0112</t>
  </si>
  <si>
    <t>PR202603-0113</t>
  </si>
  <si>
    <t>PR202603-0114</t>
  </si>
  <si>
    <t>PR202603-0115</t>
  </si>
  <si>
    <t>PR202603-0116</t>
  </si>
  <si>
    <t>PR202603-0117</t>
  </si>
  <si>
    <t>PR202603-0118</t>
  </si>
  <si>
    <t>PR202603-0119</t>
  </si>
  <si>
    <t>PR202603-0120</t>
  </si>
  <si>
    <t>PR202603-0121</t>
  </si>
  <si>
    <t>PR202603-0122</t>
  </si>
  <si>
    <t>PR202603-0123</t>
  </si>
  <si>
    <t>PR202603-0124</t>
  </si>
  <si>
    <t>PR202603-0125</t>
  </si>
  <si>
    <t>PR202603-0126</t>
  </si>
  <si>
    <t>PR202603-0127</t>
  </si>
  <si>
    <t>PR202603-0128</t>
  </si>
  <si>
    <t>PR202603-0129</t>
  </si>
  <si>
    <t>PR202603-0130</t>
  </si>
  <si>
    <t>PR202603-0131</t>
  </si>
  <si>
    <t>PR202603-0132</t>
  </si>
  <si>
    <t>PR202603-0133</t>
  </si>
  <si>
    <t>PR202603-0134</t>
  </si>
  <si>
    <t>PR202603-0135</t>
  </si>
  <si>
    <t>PR202603-0136</t>
  </si>
  <si>
    <t>PR202603-0137</t>
  </si>
  <si>
    <t>PR202603-0138</t>
  </si>
  <si>
    <t>PR202603-0139</t>
  </si>
  <si>
    <t>PR202603-0140</t>
  </si>
  <si>
    <t>PR202603-0141</t>
  </si>
  <si>
    <t>PR202603-0142</t>
  </si>
  <si>
    <t>PR202603-0143</t>
  </si>
  <si>
    <t>PR202603-0144</t>
  </si>
  <si>
    <t>PR202603-0145</t>
  </si>
  <si>
    <t>PR202603-0146</t>
  </si>
  <si>
    <t>PR202603-0147</t>
  </si>
  <si>
    <t>PR202603-0148</t>
  </si>
  <si>
    <t>PR202603-0149</t>
  </si>
  <si>
    <t>PR202603-0150</t>
  </si>
  <si>
    <t>PR202603-0151</t>
  </si>
  <si>
    <t>PR202603-0152</t>
  </si>
  <si>
    <t>PR202603-0153</t>
  </si>
  <si>
    <t>PR202603-0154</t>
  </si>
  <si>
    <t>PR202603-0155</t>
  </si>
  <si>
    <t>PR202603-0156</t>
  </si>
  <si>
    <t>PR202603-0157</t>
  </si>
  <si>
    <t>PR202603-0158</t>
  </si>
  <si>
    <t>PR202603-0159</t>
  </si>
  <si>
    <t>PR202603-0160</t>
  </si>
  <si>
    <t>PR202603-0161</t>
  </si>
  <si>
    <t>PR202603-0162</t>
  </si>
  <si>
    <t>PR202603-0163</t>
  </si>
  <si>
    <t>PR202603-0164</t>
  </si>
  <si>
    <t>PR202603-0165</t>
  </si>
  <si>
    <t>PR202603-0166</t>
  </si>
  <si>
    <t>PR202603-0167</t>
  </si>
  <si>
    <t>PR202603-0168</t>
  </si>
  <si>
    <t>PR202603-0169</t>
  </si>
  <si>
    <t>PR202603-0170</t>
  </si>
  <si>
    <t>PR202603-0171</t>
  </si>
  <si>
    <t>PR202603-0172</t>
  </si>
  <si>
    <t>PR202603-0173</t>
  </si>
  <si>
    <t>PR202603-0174</t>
  </si>
  <si>
    <t>PR202603-0175</t>
  </si>
  <si>
    <t>PR202603-0176</t>
  </si>
  <si>
    <t>PR202603-0177</t>
  </si>
  <si>
    <t>PR202603-0178</t>
  </si>
  <si>
    <t>PR202603-0179</t>
  </si>
  <si>
    <t>PR202603-0180</t>
  </si>
  <si>
    <t>PR202603-0181</t>
  </si>
  <si>
    <t>PR202603-0182</t>
  </si>
  <si>
    <t>PR202603-0183</t>
  </si>
  <si>
    <t>PR202603-0184</t>
  </si>
  <si>
    <t>PR202603-0185</t>
  </si>
  <si>
    <t>PR202603-0186</t>
  </si>
  <si>
    <t>PR202603-0187</t>
  </si>
  <si>
    <t>PR202603-0188</t>
  </si>
  <si>
    <t>PR202603-0189</t>
  </si>
  <si>
    <t>PR202603-0190</t>
  </si>
  <si>
    <t>PR202603-0191</t>
  </si>
  <si>
    <t>PR202603-0192</t>
  </si>
  <si>
    <t>PR202603-0193</t>
  </si>
  <si>
    <t>PR202603-0194</t>
  </si>
  <si>
    <t>PR202603-0195</t>
  </si>
  <si>
    <t>PR202603-0196</t>
  </si>
  <si>
    <t>PR202603-0197</t>
  </si>
  <si>
    <t>PR202603-0198</t>
  </si>
  <si>
    <t>PR202603-0199</t>
  </si>
  <si>
    <t>PR202603-0200</t>
  </si>
  <si>
    <t>PR202603-0201</t>
  </si>
  <si>
    <t>PR202603-0202</t>
  </si>
  <si>
    <t>PR202603-0203</t>
  </si>
  <si>
    <t>PR202603-0204</t>
  </si>
  <si>
    <t>PR202603-0205</t>
  </si>
  <si>
    <t>PR202603-0206</t>
  </si>
  <si>
    <t>PR202603-0207</t>
  </si>
  <si>
    <t>PR202603-0208</t>
  </si>
  <si>
    <t>PR202603-0209</t>
  </si>
  <si>
    <t>PR202603-0210</t>
  </si>
  <si>
    <t>PR202603-0211</t>
  </si>
  <si>
    <t>PR202603-0212</t>
  </si>
  <si>
    <t>PR202603-0213</t>
  </si>
  <si>
    <t>PR202603-0214</t>
  </si>
  <si>
    <t>PR202603-0215</t>
  </si>
  <si>
    <t>PR202603-0216</t>
  </si>
  <si>
    <t>PR202603-0217</t>
  </si>
  <si>
    <t>PR202603-0218</t>
  </si>
  <si>
    <t>PR202603-0219</t>
  </si>
  <si>
    <t>PR202603-0220</t>
  </si>
  <si>
    <t>PR202603-0221</t>
  </si>
  <si>
    <t>PR202603-0222</t>
  </si>
  <si>
    <t>PR202603-0223</t>
  </si>
  <si>
    <t>PR202603-0224</t>
  </si>
  <si>
    <t>PR202603-0225</t>
  </si>
  <si>
    <t>PR202603-0226</t>
  </si>
  <si>
    <t>PR202603-0227</t>
  </si>
  <si>
    <t>PR202603-0228</t>
  </si>
  <si>
    <t>PR202603-0229</t>
  </si>
  <si>
    <t>PR202603-0230</t>
  </si>
  <si>
    <t>PR202603-0231</t>
  </si>
  <si>
    <t>PR202603-0232</t>
  </si>
  <si>
    <t>PR202603-0233</t>
  </si>
  <si>
    <t>PR202603-0234</t>
  </si>
  <si>
    <t>PR202603-0235</t>
  </si>
  <si>
    <t>PR202603-0236</t>
  </si>
  <si>
    <t>PR202603-0237</t>
  </si>
  <si>
    <t>PR202603-0238</t>
  </si>
  <si>
    <t>PR202603-0239</t>
  </si>
  <si>
    <t>PR202603-0240</t>
  </si>
  <si>
    <t>PR202603-0241</t>
  </si>
  <si>
    <t>PR202603-0242</t>
  </si>
  <si>
    <t>PR202603-0243</t>
  </si>
  <si>
    <t>PR202603-0244</t>
  </si>
  <si>
    <t>PR202603-0245</t>
  </si>
  <si>
    <t>PR202603-0246</t>
  </si>
  <si>
    <t>PR202603-0247</t>
  </si>
  <si>
    <t>PR202603-0248</t>
  </si>
  <si>
    <t>PR202603-0249</t>
  </si>
  <si>
    <t>PR202603-0250</t>
  </si>
  <si>
    <t>PR202603-0251</t>
  </si>
  <si>
    <t>PR202603-0252</t>
  </si>
  <si>
    <t>PR202603-0253</t>
  </si>
  <si>
    <t>PR202603-0254</t>
  </si>
  <si>
    <t>PR202603-0255</t>
  </si>
  <si>
    <t>PR202603-0256</t>
  </si>
  <si>
    <t>PR202603-0257</t>
  </si>
  <si>
    <t>PR202603-0258</t>
  </si>
  <si>
    <t>PR202603-0259</t>
  </si>
  <si>
    <t>PR202603-0260</t>
  </si>
  <si>
    <t>PR202603-0261</t>
  </si>
  <si>
    <t>PR202603-0262</t>
  </si>
  <si>
    <t>PR202603-0263</t>
  </si>
  <si>
    <t>PR202603-0264</t>
  </si>
  <si>
    <t>PR202603-0265</t>
  </si>
  <si>
    <t>PR202603-0266</t>
  </si>
  <si>
    <t>PR202603-0267</t>
  </si>
  <si>
    <t>PR202603-0268</t>
  </si>
  <si>
    <t>PR202603-0269</t>
  </si>
  <si>
    <t>PR202603-0270</t>
  </si>
  <si>
    <t>PR202603-0271</t>
  </si>
  <si>
    <t>PR202603-0272</t>
  </si>
  <si>
    <t>PR202603-0273</t>
  </si>
  <si>
    <t>PR202603-0274</t>
  </si>
  <si>
    <t>PR202603-0275</t>
  </si>
  <si>
    <t>PR202603-0276</t>
  </si>
  <si>
    <t>PR202603-0277</t>
  </si>
  <si>
    <t>PR202603-0278</t>
  </si>
  <si>
    <t>PR202603-0279</t>
  </si>
  <si>
    <t>PR202603-0280</t>
  </si>
  <si>
    <t>PR202603-0281</t>
  </si>
  <si>
    <t>PR202603-0282</t>
  </si>
  <si>
    <t>PR202603-0283</t>
  </si>
  <si>
    <t>PR202603-0284</t>
  </si>
  <si>
    <t>PR202603-0285</t>
  </si>
  <si>
    <t>PR202603-0286</t>
  </si>
  <si>
    <t>PR202603-0287</t>
  </si>
  <si>
    <t>PR202603-0288</t>
  </si>
  <si>
    <t>PR202603-0289</t>
  </si>
  <si>
    <t>PR202603-0290</t>
  </si>
  <si>
    <t>PR202603-0291</t>
  </si>
  <si>
    <t>PR202603-0292</t>
  </si>
  <si>
    <t>PR202603-0293</t>
  </si>
  <si>
    <t>PR202603-0294</t>
  </si>
  <si>
    <t>PR202603-0295</t>
  </si>
  <si>
    <t>PR202603-0296</t>
  </si>
  <si>
    <t>PR202603-0297</t>
  </si>
  <si>
    <t>PR202603-0298</t>
  </si>
  <si>
    <t>PR202603-0299</t>
  </si>
  <si>
    <t>PR202603-0300</t>
  </si>
  <si>
    <t>PR202603-0301</t>
  </si>
  <si>
    <t>PR202603-0302</t>
  </si>
  <si>
    <t>PR202603-0303</t>
  </si>
  <si>
    <t>PR202603-0304</t>
  </si>
  <si>
    <t>PR202603-0305</t>
  </si>
  <si>
    <t>PR202603-0306</t>
  </si>
  <si>
    <t>PR202603-0307</t>
  </si>
  <si>
    <t>PR202603-0308</t>
  </si>
  <si>
    <t>PR202603-0309</t>
  </si>
  <si>
    <t>PR202603-0310</t>
  </si>
  <si>
    <t>PR202603-0311</t>
  </si>
  <si>
    <t>PR202603-0312</t>
  </si>
  <si>
    <t>PR202603-0313</t>
  </si>
  <si>
    <t>PR202603-0314</t>
  </si>
  <si>
    <t>PR202603-0315</t>
  </si>
  <si>
    <t>PR202603-0316</t>
  </si>
  <si>
    <t>PR202603-0317</t>
  </si>
  <si>
    <t>PR202603-0318</t>
  </si>
  <si>
    <t>PR202603-0319</t>
  </si>
  <si>
    <t>PR202603-0320</t>
  </si>
  <si>
    <t>PR202603-0321</t>
  </si>
  <si>
    <t>PR202603-0322</t>
  </si>
  <si>
    <t>PR202603-0323</t>
  </si>
  <si>
    <t>PR202603-0324</t>
  </si>
  <si>
    <t>PR202603-0325</t>
  </si>
  <si>
    <t>PR202603-0326</t>
  </si>
  <si>
    <t>PR202603-0327</t>
  </si>
  <si>
    <t>PR202603-0328</t>
  </si>
  <si>
    <t>PR202603-0329</t>
  </si>
  <si>
    <t>PR202603-0330</t>
  </si>
  <si>
    <t>PR202603-0331</t>
  </si>
  <si>
    <t>PR202603-0332</t>
  </si>
  <si>
    <t>PR202603-0333</t>
  </si>
  <si>
    <t>PR202603-0334</t>
  </si>
  <si>
    <t>PR202603-0335</t>
  </si>
  <si>
    <t>PR202603-0336</t>
  </si>
  <si>
    <t>PR202603-0337</t>
  </si>
  <si>
    <t>PR202603-0338</t>
  </si>
  <si>
    <t>PR202603-0339</t>
  </si>
  <si>
    <t>PR202603-0340</t>
  </si>
  <si>
    <t>PR202603-0341</t>
  </si>
  <si>
    <t>PR202603-0342</t>
  </si>
  <si>
    <t>PR202603-0343</t>
  </si>
  <si>
    <t>PR202603-0344</t>
  </si>
  <si>
    <t>PR202603-0345</t>
  </si>
  <si>
    <t>PR202603-0346</t>
  </si>
  <si>
    <t>PR202603-0347</t>
  </si>
  <si>
    <t>PR202603-0348</t>
  </si>
  <si>
    <t>PR202603-0349</t>
  </si>
  <si>
    <t>PR202603-0350</t>
  </si>
  <si>
    <t>PR202603-0351</t>
  </si>
  <si>
    <t>PR202603-0352</t>
  </si>
  <si>
    <t>PR202603-0353</t>
  </si>
  <si>
    <t>PR202603-0354</t>
  </si>
  <si>
    <t>PR202603-0355</t>
  </si>
  <si>
    <t>PR202603-0356</t>
  </si>
  <si>
    <t>PR202603-0357</t>
  </si>
  <si>
    <t>PR202603-0358</t>
  </si>
  <si>
    <t>PR202603-0359</t>
  </si>
  <si>
    <t>PR202603-0360</t>
  </si>
  <si>
    <t>plant_code (Primary Key)</t>
  </si>
  <si>
    <t>plant_name</t>
  </si>
  <si>
    <t>district</t>
  </si>
  <si>
    <t>state</t>
  </si>
  <si>
    <t>country</t>
  </si>
  <si>
    <t>latitude</t>
  </si>
  <si>
    <t>longitude</t>
  </si>
  <si>
    <t>operating_status</t>
  </si>
  <si>
    <t>iso_certifications</t>
  </si>
  <si>
    <t>responsible_care</t>
  </si>
  <si>
    <t>port_proximity_km</t>
  </si>
  <si>
    <t>storage_tankage_kl</t>
  </si>
  <si>
    <t>hazardous_waste_facility</t>
  </si>
  <si>
    <t>ehs_notes</t>
  </si>
  <si>
    <t>Mahad Manufacturing Complex</t>
  </si>
  <si>
    <t>Mahad</t>
  </si>
  <si>
    <t>Raigad</t>
  </si>
  <si>
    <t>Maharashtra</t>
  </si>
  <si>
    <t>ISO 9001:2015, ISO 14001:2015, ISO 45001:2018</t>
  </si>
  <si>
    <t>Yes</t>
  </si>
  <si>
    <t>Solvent handling with VOC controls; DG drum yard; firewater ring main.</t>
  </si>
  <si>
    <t>2020-04-01</t>
  </si>
  <si>
    <t>Illustrative site master; aligned to annual report commentary on capacity debottlenecking.</t>
  </si>
  <si>
    <t>Lote Parshuram Specialty Site</t>
  </si>
  <si>
    <t>Lote Parshuram</t>
  </si>
  <si>
    <t>Ratnagiri</t>
  </si>
  <si>
    <t>Fluoro/DG segregation; nitrogen blanketing; low-temp storage (2-8°C) for sensitive inputs.</t>
  </si>
  <si>
    <t>2021-07-01</t>
  </si>
  <si>
    <t>Illustrative; aligned to annual report commentary on specialty expansions and compliance.</t>
  </si>
  <si>
    <t>Dahej Greenfield Project</t>
  </si>
  <si>
    <t>Dahej</t>
  </si>
  <si>
    <t>Bharuch</t>
  </si>
  <si>
    <t>Gujarat</t>
  </si>
  <si>
    <t>Mixed</t>
  </si>
  <si>
    <t>Planned: ISO 9001:2015, ISO 14001:2015, ISO 45001:2018</t>
  </si>
  <si>
    <t>No</t>
  </si>
  <si>
    <t>Planned VOC abatement; hazardous area classification; port-linked bulk logistics.</t>
  </si>
  <si>
    <t>Illustrative greenfield entry; aligned to commentary on future multi-product flexibility.</t>
  </si>
  <si>
    <t>External Distillery Cluster (Partner)</t>
  </si>
  <si>
    <t>External</t>
  </si>
  <si>
    <t>Partner feedstock sourcing; QA sampling at receipt; limited EHS control beyond supplier audits.</t>
  </si>
  <si>
    <t>2020-01-01</t>
  </si>
  <si>
    <t>Illustrative partner location for ethanol/feedstock; aligned to commentary on backward integration sourcing.</t>
  </si>
  <si>
    <t>TPL</t>
  </si>
  <si>
    <t>Tarapur Tolling / Third-Party Site</t>
  </si>
  <si>
    <t>Tarapur</t>
  </si>
  <si>
    <t>Palghar</t>
  </si>
  <si>
    <t>ISO 9001:2015</t>
  </si>
  <si>
    <t>Tolling operations under contract; DG packing per SOP; batch traceability via COA.</t>
  </si>
  <si>
    <t>2022-04-01</t>
  </si>
  <si>
    <t>Illustrative tolling site to manage peak demand; aligned to annual report commentary on flexible manufacturing.</t>
  </si>
  <si>
    <t>line_id (Primary Key)</t>
  </si>
  <si>
    <t>line_name</t>
  </si>
  <si>
    <t>plant_id (FK)</t>
  </si>
  <si>
    <t>area</t>
  </si>
  <si>
    <t>family</t>
  </si>
  <si>
    <t>process</t>
  </si>
  <si>
    <t>design_capacity_tpd</t>
  </si>
  <si>
    <t>pack_out</t>
  </si>
  <si>
    <t>hazard_zone</t>
  </si>
  <si>
    <t>commissioned_on</t>
  </si>
  <si>
    <t>Ethyl Acetate Train 1</t>
  </si>
  <si>
    <t>Solvents Block A</t>
  </si>
  <si>
    <t>Continuous Esterification</t>
  </si>
  <si>
    <t>ISO20,IBC1KL,BULK</t>
  </si>
  <si>
    <t>Flammable (Zone 2)</t>
  </si>
  <si>
    <t>High-volume ester line; VOC abatement; illustrative</t>
  </si>
  <si>
    <t>Ethyl Acetate Train 2</t>
  </si>
  <si>
    <t>Debottlenecked for export grades; illustrative</t>
  </si>
  <si>
    <t>Acetic Anhydride Unit</t>
  </si>
  <si>
    <t>Acid Anhydrides</t>
  </si>
  <si>
    <t>Continuous Dehydration/Distillation</t>
  </si>
  <si>
    <t>ISO20,DR200_UN,BULK</t>
  </si>
  <si>
    <t>Corrosive/Flammable</t>
  </si>
  <si>
    <t>Corrosive service metallurgy; UN packing; illustrative</t>
  </si>
  <si>
    <t>Butyl Acetate Batch 1</t>
  </si>
  <si>
    <t>Solvents Block B</t>
  </si>
  <si>
    <t>Batch Esterification</t>
  </si>
  <si>
    <t>ISO20,DR200,IBC1KL</t>
  </si>
  <si>
    <t>Flexible campaign scheduling; illustrative</t>
  </si>
  <si>
    <t>AAEM Reactor Line 1</t>
  </si>
  <si>
    <t>Acrylates Area</t>
  </si>
  <si>
    <t>Batch Esterification/Polymerizable</t>
  </si>
  <si>
    <t>IBC1KL,DR200</t>
  </si>
  <si>
    <t>Inhibitor dosing &amp; low-temp controls; illustrative</t>
  </si>
  <si>
    <t>DKD Ester Line 1</t>
  </si>
  <si>
    <t>DKD Block</t>
  </si>
  <si>
    <t>Condensation/Isolation</t>
  </si>
  <si>
    <t>Moisture-sensitive handling; chilled utilities; illustrative</t>
  </si>
  <si>
    <t>DKD Ester Line 2</t>
  </si>
  <si>
    <t>Higher purity campaigns; illustrative</t>
  </si>
  <si>
    <t>Arylides Intermediate Line 1</t>
  </si>
  <si>
    <t>Arylides Block</t>
  </si>
  <si>
    <t>Batch Condensation/Isolation</t>
  </si>
  <si>
    <t>Dust/Combustible</t>
  </si>
  <si>
    <t>Dust collection &amp; ATEX practices; illustrative</t>
  </si>
  <si>
    <t>Arylides Intermediate Line 2</t>
  </si>
  <si>
    <t>Wet cake handling; fast turnaround; illustrative</t>
  </si>
  <si>
    <t>Fluoro Block Reactor 200L</t>
  </si>
  <si>
    <t>Fluoro Suites</t>
  </si>
  <si>
    <t>Electrochemical Fluorination</t>
  </si>
  <si>
    <t>DG segregation; dedicated ventilation; illustrative</t>
  </si>
  <si>
    <t>LINE_LTE_FLR_BLOCK500</t>
  </si>
  <si>
    <t>Fluoro Block Reactor 500L</t>
  </si>
  <si>
    <t>Scale-up for export blocks; illustrative</t>
  </si>
  <si>
    <t>LINE_DHJ_SOLV_TRAIN1</t>
  </si>
  <si>
    <t>Dahej Solvents Train 1</t>
  </si>
  <si>
    <t>Bulk Solvents</t>
  </si>
  <si>
    <t>ISO20,BULK</t>
  </si>
  <si>
    <t>Greenfield capacity; port-linked logistics; illustrative</t>
  </si>
  <si>
    <t>LINE_DHJ_DKD_UNIT1</t>
  </si>
  <si>
    <t>Dahej DKD Unit 1</t>
  </si>
  <si>
    <t>DR200,IBC1KL</t>
  </si>
  <si>
    <t>Planned multi-product DKD capability; illustrative</t>
  </si>
  <si>
    <t>LINE_DST_FEED_BLEND</t>
  </si>
  <si>
    <t>Partner Feedstock Blending</t>
  </si>
  <si>
    <t>External Cluster</t>
  </si>
  <si>
    <t>Blending/Receipt Handling</t>
  </si>
  <si>
    <t>BULK,ISO20</t>
  </si>
  <si>
    <t>Third-party blending/receipt; QA at inbound; illustrative</t>
  </si>
  <si>
    <t>Solvent Blending &amp; Loading</t>
  </si>
  <si>
    <t>Blending/Dispatch</t>
  </si>
  <si>
    <t>Blending/Loading Operations</t>
  </si>
  <si>
    <t>ISO20,IBC1KL,DR200,BULK</t>
  </si>
  <si>
    <t>Blending skid for customer-specific solvent grades; illustrative</t>
  </si>
  <si>
    <t>DKD Amidation Line 1</t>
  </si>
  <si>
    <t>Amidation/Condensation</t>
  </si>
  <si>
    <t>Specialty DKD derivatives line; campaign-based; illustrative</t>
  </si>
  <si>
    <t>Production Run ID (PK)</t>
  </si>
  <si>
    <t>Quantity Produced</t>
  </si>
  <si>
    <t>Scrappage (%)</t>
  </si>
  <si>
    <t>Quality Defects (%)</t>
  </si>
  <si>
    <t>Usable Quantity</t>
  </si>
  <si>
    <t>Start DateTime</t>
  </si>
  <si>
    <t>End DateTime</t>
  </si>
  <si>
    <t>RUN202603-0001</t>
  </si>
  <si>
    <t>2026-03-10T10:05:00.000Z</t>
  </si>
  <si>
    <t>2026-03-11T01:05:00.000Z</t>
  </si>
  <si>
    <t>RUN202603-0002</t>
  </si>
  <si>
    <t>2026-03-31T17:37:00.000Z</t>
  </si>
  <si>
    <t>2026-04-01T11:37:00.000Z</t>
  </si>
  <si>
    <t>RUN202603-0003</t>
  </si>
  <si>
    <t>2026-03-30T10:04:00.000Z</t>
  </si>
  <si>
    <t>2026-03-31T02:04:00.000Z</t>
  </si>
  <si>
    <t>RUN202603-0004</t>
  </si>
  <si>
    <t>2026-03-05T12:25:00.000Z</t>
  </si>
  <si>
    <t>2026-03-05T22:25:00.000Z</t>
  </si>
  <si>
    <t>RUN202603-0005</t>
  </si>
  <si>
    <t>2026-03-09T08:18:00.000Z</t>
  </si>
  <si>
    <t>2026-03-09T15:18:00.000Z</t>
  </si>
  <si>
    <t>RUN202603-0006</t>
  </si>
  <si>
    <t>2026-03-31T09:12:00.000Z</t>
  </si>
  <si>
    <t>2026-03-31T20:12:00.000Z</t>
  </si>
  <si>
    <t>RUN202603-0007</t>
  </si>
  <si>
    <t>2026-03-19T08:06:00.000Z</t>
  </si>
  <si>
    <t>2026-03-20T02:06:00.000Z</t>
  </si>
  <si>
    <t>RUN202603-0008</t>
  </si>
  <si>
    <t>2026-03-03T12:00:00.000Z</t>
  </si>
  <si>
    <t>2026-03-04T06:00:00.000Z</t>
  </si>
  <si>
    <t>RUN202603-0009</t>
  </si>
  <si>
    <t>2026-03-31T12:54:00.000Z</t>
  </si>
  <si>
    <t>2026-03-31T23:54:00.000Z</t>
  </si>
  <si>
    <t>RUN202603-0010</t>
  </si>
  <si>
    <t>2026-03-09T07:58:00.000Z</t>
  </si>
  <si>
    <t>2026-03-09T19:58:00.000Z</t>
  </si>
  <si>
    <t>RUN202603-0011</t>
  </si>
  <si>
    <t>2026-03-29T05:32:00.000Z</t>
  </si>
  <si>
    <t>2026-03-29T22:32:00.000Z</t>
  </si>
  <si>
    <t>RUN202603-0012</t>
  </si>
  <si>
    <t>2026-03-28T02:44:00.000Z</t>
  </si>
  <si>
    <t>2026-03-28T20:44:00.000Z</t>
  </si>
  <si>
    <t>RUN202603-0013</t>
  </si>
  <si>
    <t>2026-03-01T11:22:00.000Z</t>
  </si>
  <si>
    <t>2026-03-01T18:22:00.000Z</t>
  </si>
  <si>
    <t>RUN202603-0014</t>
  </si>
  <si>
    <t>2026-03-14T04:31:00.000Z</t>
  </si>
  <si>
    <t>2026-03-14T19:31:00.000Z</t>
  </si>
  <si>
    <t>RUN202603-0015</t>
  </si>
  <si>
    <t>2026-03-08T21:01:00.000Z</t>
  </si>
  <si>
    <t>2026-03-09T05:01:00.000Z</t>
  </si>
  <si>
    <t>RUN202603-0016</t>
  </si>
  <si>
    <t>2026-03-22T10:37:00.000Z</t>
  </si>
  <si>
    <t>2026-03-22T18:37:00.000Z</t>
  </si>
  <si>
    <t>RUN202603-0017</t>
  </si>
  <si>
    <t>2026-03-01T09:33:00.000Z</t>
  </si>
  <si>
    <t>2026-03-01T19:33:00.000Z</t>
  </si>
  <si>
    <t>RUN202603-0018</t>
  </si>
  <si>
    <t>2026-03-06T13:24:00.000Z</t>
  </si>
  <si>
    <t>2026-03-07T00:24:00.000Z</t>
  </si>
  <si>
    <t>RUN202603-0019</t>
  </si>
  <si>
    <t>2026-03-04T04:28:00.000Z</t>
  </si>
  <si>
    <t>2026-03-04T18:28:00.000Z</t>
  </si>
  <si>
    <t>RUN202603-0020</t>
  </si>
  <si>
    <t>2026-03-09T07:24:00.000Z</t>
  </si>
  <si>
    <t>2026-03-10T01:24:00.000Z</t>
  </si>
  <si>
    <t>RUN202603-0021</t>
  </si>
  <si>
    <t>2026-03-08T09:30:00.000Z</t>
  </si>
  <si>
    <t>2026-03-08T22:30:00.000Z</t>
  </si>
  <si>
    <t>RUN202603-0022</t>
  </si>
  <si>
    <t>2026-03-21T07:50:00.000Z</t>
  </si>
  <si>
    <t>2026-03-21T21:50:00.000Z</t>
  </si>
  <si>
    <t>RUN202603-0023</t>
  </si>
  <si>
    <t>2026-03-18T12:34:00.000Z</t>
  </si>
  <si>
    <t>2026-03-19T03:34:00.000Z</t>
  </si>
  <si>
    <t>RUN202603-0024</t>
  </si>
  <si>
    <t>2026-03-26T19:07:00.000Z</t>
  </si>
  <si>
    <t>2026-03-27T05:07:00.000Z</t>
  </si>
  <si>
    <t>RUN202603-0025</t>
  </si>
  <si>
    <t>2026-03-10T09:50:00.000Z</t>
  </si>
  <si>
    <t>2026-03-11T03:50:00.000Z</t>
  </si>
  <si>
    <t>RUN202603-0026</t>
  </si>
  <si>
    <t>2026-03-04T23:08:00.000Z</t>
  </si>
  <si>
    <t>2026-03-05T17:08:00.000Z</t>
  </si>
  <si>
    <t>RUN202603-0027</t>
  </si>
  <si>
    <t>2026-03-11T06:19:00.000Z</t>
  </si>
  <si>
    <t>2026-03-11T19:19:00.000Z</t>
  </si>
  <si>
    <t>RUN202603-0028</t>
  </si>
  <si>
    <t>2026-03-09T22:54:00.000Z</t>
  </si>
  <si>
    <t>2026-03-10T09:54:00.000Z</t>
  </si>
  <si>
    <t>RUN202603-0029</t>
  </si>
  <si>
    <t>2026-03-06T10:19:00.000Z</t>
  </si>
  <si>
    <t>2026-03-06T16:19:00.000Z</t>
  </si>
  <si>
    <t>RUN202603-0030</t>
  </si>
  <si>
    <t>2026-03-29T04:48:00.000Z</t>
  </si>
  <si>
    <t>2026-03-29T12:48:00.000Z</t>
  </si>
  <si>
    <t>RUN202603-0031</t>
  </si>
  <si>
    <t>2026-03-07T20:16:00.000Z</t>
  </si>
  <si>
    <t>2026-03-08T05:16:00.000Z</t>
  </si>
  <si>
    <t>RUN202603-0032</t>
  </si>
  <si>
    <t>2026-03-28T16:37:00.000Z</t>
  </si>
  <si>
    <t>2026-03-29T04:37:00.000Z</t>
  </si>
  <si>
    <t>RUN202603-0033</t>
  </si>
  <si>
    <t>2026-03-06T14:41:00.000Z</t>
  </si>
  <si>
    <t>2026-03-06T20:41:00.000Z</t>
  </si>
  <si>
    <t>RUN202603-0034</t>
  </si>
  <si>
    <t>2026-03-05T16:23:00.000Z</t>
  </si>
  <si>
    <t>2026-03-06T10:23:00.000Z</t>
  </si>
  <si>
    <t>RUN202603-0035</t>
  </si>
  <si>
    <t>2026-03-18T19:12:00.000Z</t>
  </si>
  <si>
    <t>2026-03-19T06:12:00.000Z</t>
  </si>
  <si>
    <t>RUN202603-0036</t>
  </si>
  <si>
    <t>2026-03-18T19:22:00.000Z</t>
  </si>
  <si>
    <t>2026-03-19T02:22:00.000Z</t>
  </si>
  <si>
    <t>RUN202603-0037</t>
  </si>
  <si>
    <t>2026-03-08T10:38:00.000Z</t>
  </si>
  <si>
    <t>2026-03-09T04:38:00.000Z</t>
  </si>
  <si>
    <t>RUN202603-0038</t>
  </si>
  <si>
    <t>2026-03-19T19:03:00.000Z</t>
  </si>
  <si>
    <t>2026-03-20T07:03:00.000Z</t>
  </si>
  <si>
    <t>RUN202603-0039</t>
  </si>
  <si>
    <t>2026-03-17T19:55:00.000Z</t>
  </si>
  <si>
    <t>2026-03-18T08:55:00.000Z</t>
  </si>
  <si>
    <t>RUN202603-0040</t>
  </si>
  <si>
    <t>2026-03-17T12:54:00.000Z</t>
  </si>
  <si>
    <t>2026-03-18T03:54:00.000Z</t>
  </si>
  <si>
    <t>RUN202603-0041</t>
  </si>
  <si>
    <t>2026-03-03T14:17:00.000Z</t>
  </si>
  <si>
    <t>2026-03-04T05:17:00.000Z</t>
  </si>
  <si>
    <t>RUN202603-0042</t>
  </si>
  <si>
    <t>2026-03-12T04:11:00.000Z</t>
  </si>
  <si>
    <t>2026-03-12T11:11:00.000Z</t>
  </si>
  <si>
    <t>RUN202603-0043</t>
  </si>
  <si>
    <t>2026-03-28T08:15:00.000Z</t>
  </si>
  <si>
    <t>2026-03-28T21:15:00.000Z</t>
  </si>
  <si>
    <t>RUN202603-0044</t>
  </si>
  <si>
    <t>2026-03-19T07:29:00.000Z</t>
  </si>
  <si>
    <t>2026-03-19T23:29:00.000Z</t>
  </si>
  <si>
    <t>RUN202603-0045</t>
  </si>
  <si>
    <t>2026-03-25T08:06:00.000Z</t>
  </si>
  <si>
    <t>2026-03-25T15:06:00.000Z</t>
  </si>
  <si>
    <t>RUN202603-0046</t>
  </si>
  <si>
    <t>2026-03-25T02:34:00.000Z</t>
  </si>
  <si>
    <t>2026-03-25T10:34:00.000Z</t>
  </si>
  <si>
    <t>RUN202603-0047</t>
  </si>
  <si>
    <t>2026-03-17T12:11:00.000Z</t>
  </si>
  <si>
    <t>2026-03-18T04:11:00.000Z</t>
  </si>
  <si>
    <t>RUN202603-0048</t>
  </si>
  <si>
    <t>2026-03-03T14:45:00.000Z</t>
  </si>
  <si>
    <t>2026-03-03T20:45:00.000Z</t>
  </si>
  <si>
    <t>RUN202603-0049</t>
  </si>
  <si>
    <t>2026-03-02T18:36:00.000Z</t>
  </si>
  <si>
    <t>2026-03-03T04:36:00.000Z</t>
  </si>
  <si>
    <t>RUN202603-0050</t>
  </si>
  <si>
    <t>2026-03-03T16:57:00.000Z</t>
  </si>
  <si>
    <t>2026-03-04T04:57:00.000Z</t>
  </si>
  <si>
    <t>RUN202603-0051</t>
  </si>
  <si>
    <t>2026-03-17T17:07:00.000Z</t>
  </si>
  <si>
    <t>2026-03-18T04:07:00.000Z</t>
  </si>
  <si>
    <t>RUN202603-0052</t>
  </si>
  <si>
    <t>2026-03-13T18:41:00.000Z</t>
  </si>
  <si>
    <t>2026-03-14T04:41:00.000Z</t>
  </si>
  <si>
    <t>RUN202603-0053</t>
  </si>
  <si>
    <t>2026-03-02T19:25:00.000Z</t>
  </si>
  <si>
    <t>2026-03-03T11:25:00.000Z</t>
  </si>
  <si>
    <t>RUN202603-0054</t>
  </si>
  <si>
    <t>2026-03-30T06:58:00.000Z</t>
  </si>
  <si>
    <t>2026-03-30T21:58:00.000Z</t>
  </si>
  <si>
    <t>RUN202603-0055</t>
  </si>
  <si>
    <t>2026-03-03T20:24:00.000Z</t>
  </si>
  <si>
    <t>2026-03-04T11:24:00.000Z</t>
  </si>
  <si>
    <t>RUN202603-0056</t>
  </si>
  <si>
    <t>2026-03-14T10:34:00.000Z</t>
  </si>
  <si>
    <t>2026-03-14T23:34:00.000Z</t>
  </si>
  <si>
    <t>RUN202603-0057</t>
  </si>
  <si>
    <t>2026-03-16T13:44:00.000Z</t>
  </si>
  <si>
    <t>2026-03-17T07:44:00.000Z</t>
  </si>
  <si>
    <t>RUN202603-0058</t>
  </si>
  <si>
    <t>2026-03-19T00:54:00.000Z</t>
  </si>
  <si>
    <t>2026-03-19T12:54:00.000Z</t>
  </si>
  <si>
    <t>RUN202603-0059</t>
  </si>
  <si>
    <t>2026-03-03T05:35:00.000Z</t>
  </si>
  <si>
    <t>2026-03-03T17:35:00.000Z</t>
  </si>
  <si>
    <t>RUN202603-0060</t>
  </si>
  <si>
    <t>2026-03-13T02:45:00.000Z</t>
  </si>
  <si>
    <t>2026-03-13T14:45:00.000Z</t>
  </si>
  <si>
    <t>RUN202603-0061</t>
  </si>
  <si>
    <t>2026-03-01T15:01:00.000Z</t>
  </si>
  <si>
    <t>2026-03-02T09:01:00.000Z</t>
  </si>
  <si>
    <t>RUN202603-0062</t>
  </si>
  <si>
    <t>2026-03-07T02:31:00.000Z</t>
  </si>
  <si>
    <t>2026-03-07T19:31:00.000Z</t>
  </si>
  <si>
    <t>RUN202603-0063</t>
  </si>
  <si>
    <t>2026-03-30T07:24:00.000Z</t>
  </si>
  <si>
    <t>2026-03-30T23:24:00.000Z</t>
  </si>
  <si>
    <t>RUN202603-0064</t>
  </si>
  <si>
    <t>2026-03-31T14:22:00.000Z</t>
  </si>
  <si>
    <t>2026-03-31T21:22:00.000Z</t>
  </si>
  <si>
    <t>RUN202603-0065</t>
  </si>
  <si>
    <t>2026-03-28T11:36:00.000Z</t>
  </si>
  <si>
    <t>2026-03-29T00:36:00.000Z</t>
  </si>
  <si>
    <t>RUN202603-0066</t>
  </si>
  <si>
    <t>2026-03-29T18:15:00.000Z</t>
  </si>
  <si>
    <t>2026-03-30T12:15:00.000Z</t>
  </si>
  <si>
    <t>RUN202603-0067</t>
  </si>
  <si>
    <t>2026-03-18T12:04:00.000Z</t>
  </si>
  <si>
    <t>2026-03-18T23:04:00.000Z</t>
  </si>
  <si>
    <t>RUN202603-0068</t>
  </si>
  <si>
    <t>2026-03-24T11:37:00.000Z</t>
  </si>
  <si>
    <t>2026-03-24T22:37:00.000Z</t>
  </si>
  <si>
    <t>RUN202603-0069</t>
  </si>
  <si>
    <t>2026-03-19T19:28:00.000Z</t>
  </si>
  <si>
    <t>2026-03-20T07:28:00.000Z</t>
  </si>
  <si>
    <t>RUN202603-0070</t>
  </si>
  <si>
    <t>2026-03-08T09:04:00.000Z</t>
  </si>
  <si>
    <t>2026-03-08T16:04:00.000Z</t>
  </si>
  <si>
    <t>RUN202603-0071</t>
  </si>
  <si>
    <t>2026-03-05T19:25:00.000Z</t>
  </si>
  <si>
    <t>2026-03-06T06:25:00.000Z</t>
  </si>
  <si>
    <t>RUN202603-0072</t>
  </si>
  <si>
    <t>2026-03-06T03:58:00.000Z</t>
  </si>
  <si>
    <t>2026-03-06T20:58:00.000Z</t>
  </si>
  <si>
    <t>RUN202603-0073</t>
  </si>
  <si>
    <t>2026-03-16T00:22:00.000Z</t>
  </si>
  <si>
    <t>2026-03-16T15:22:00.000Z</t>
  </si>
  <si>
    <t>RUN202603-0074</t>
  </si>
  <si>
    <t>2026-03-15T17:15:00.000Z</t>
  </si>
  <si>
    <t>2026-03-16T00:15:00.000Z</t>
  </si>
  <si>
    <t>RUN202603-0075</t>
  </si>
  <si>
    <t>2026-03-22T11:21:00.000Z</t>
  </si>
  <si>
    <t>2026-03-22T22:21:00.000Z</t>
  </si>
  <si>
    <t>RUN202603-0076</t>
  </si>
  <si>
    <t>2026-03-22T19:32:00.000Z</t>
  </si>
  <si>
    <t>2026-03-23T02:32:00.000Z</t>
  </si>
  <si>
    <t>RUN202603-0077</t>
  </si>
  <si>
    <t>2026-03-15T14:13:00.000Z</t>
  </si>
  <si>
    <t>2026-03-16T00:13:00.000Z</t>
  </si>
  <si>
    <t>RUN202603-0078</t>
  </si>
  <si>
    <t>2026-03-22T15:37:00.000Z</t>
  </si>
  <si>
    <t>2026-03-23T03:37:00.000Z</t>
  </si>
  <si>
    <t>RUN202603-0079</t>
  </si>
  <si>
    <t>2026-03-30T07:02:00.000Z</t>
  </si>
  <si>
    <t>2026-03-30T23:02:00.000Z</t>
  </si>
  <si>
    <t>RUN202603-0080</t>
  </si>
  <si>
    <t>2026-03-31T12:34:00.000Z</t>
  </si>
  <si>
    <t>2026-04-01T00:34:00.000Z</t>
  </si>
  <si>
    <t>RUN202603-0081</t>
  </si>
  <si>
    <t>2026-03-11T23:13:00.000Z</t>
  </si>
  <si>
    <t>2026-03-12T16:13:00.000Z</t>
  </si>
  <si>
    <t>RUN202603-0082</t>
  </si>
  <si>
    <t>2026-03-09T22:59:00.000Z</t>
  </si>
  <si>
    <t>2026-03-10T09:59:00.000Z</t>
  </si>
  <si>
    <t>RUN202603-0083</t>
  </si>
  <si>
    <t>2026-03-11T10:20:00.000Z</t>
  </si>
  <si>
    <t>2026-03-12T03:20:00.000Z</t>
  </si>
  <si>
    <t>RUN202603-0084</t>
  </si>
  <si>
    <t>2026-03-24T18:34:00.000Z</t>
  </si>
  <si>
    <t>2026-03-25T05:34:00.000Z</t>
  </si>
  <si>
    <t>RUN202603-0085</t>
  </si>
  <si>
    <t>2026-03-15T07:10:00.000Z</t>
  </si>
  <si>
    <t>2026-03-15T22:10:00.000Z</t>
  </si>
  <si>
    <t>RUN202603-0086</t>
  </si>
  <si>
    <t>2026-03-12T10:55:00.000Z</t>
  </si>
  <si>
    <t>2026-03-13T01:55:00.000Z</t>
  </si>
  <si>
    <t>RUN202603-0087</t>
  </si>
  <si>
    <t>2026-03-19T09:09:00.000Z</t>
  </si>
  <si>
    <t>2026-03-19T18:09:00.000Z</t>
  </si>
  <si>
    <t>RUN202603-0088</t>
  </si>
  <si>
    <t>2026-03-10T03:41:00.000Z</t>
  </si>
  <si>
    <t>2026-03-10T10:41:00.000Z</t>
  </si>
  <si>
    <t>RUN202603-0089</t>
  </si>
  <si>
    <t>2026-03-02T12:00:00.000Z</t>
  </si>
  <si>
    <t>2026-03-02T18:00:00.000Z</t>
  </si>
  <si>
    <t>RUN202603-0090</t>
  </si>
  <si>
    <t>2026-03-07T05:03:00.000Z</t>
  </si>
  <si>
    <t>2026-03-07T14:03:00.000Z</t>
  </si>
  <si>
    <t>RUN202603-0091</t>
  </si>
  <si>
    <t>2026-03-22T19:45:00.000Z</t>
  </si>
  <si>
    <t>2026-03-23T12:45:00.000Z</t>
  </si>
  <si>
    <t>RUN202603-0092</t>
  </si>
  <si>
    <t>2026-03-18T08:21:00.000Z</t>
  </si>
  <si>
    <t>2026-03-18T15:21:00.000Z</t>
  </si>
  <si>
    <t>RUN202603-0093</t>
  </si>
  <si>
    <t>2026-03-18T21:34:00.000Z</t>
  </si>
  <si>
    <t>2026-03-19T08:34:00.000Z</t>
  </si>
  <si>
    <t>RUN202603-0094</t>
  </si>
  <si>
    <t>2026-03-12T05:40:00.000Z</t>
  </si>
  <si>
    <t>2026-03-12T16:40:00.000Z</t>
  </si>
  <si>
    <t>RUN202603-0095</t>
  </si>
  <si>
    <t>2026-03-12T06:07:00.000Z</t>
  </si>
  <si>
    <t>2026-03-12T18:07:00.000Z</t>
  </si>
  <si>
    <t>RUN202603-0096</t>
  </si>
  <si>
    <t>2026-03-28T12:16:00.000Z</t>
  </si>
  <si>
    <t>2026-03-28T18:16:00.000Z</t>
  </si>
  <si>
    <t>RUN202603-0097</t>
  </si>
  <si>
    <t>2026-03-27T18:05:00.000Z</t>
  </si>
  <si>
    <t>2026-03-28T06:05:00.000Z</t>
  </si>
  <si>
    <t>RUN202603-0098</t>
  </si>
  <si>
    <t>2026-03-27T14:00:00.000Z</t>
  </si>
  <si>
    <t>2026-03-28T03:00:00.000Z</t>
  </si>
  <si>
    <t>RUN202603-0099</t>
  </si>
  <si>
    <t>2026-03-27T03:06:00.000Z</t>
  </si>
  <si>
    <t>2026-03-27T11:06:00.000Z</t>
  </si>
  <si>
    <t>RUN202603-0100</t>
  </si>
  <si>
    <t>2026-03-18T22:13:00.000Z</t>
  </si>
  <si>
    <t>2026-03-19T10:13:00.000Z</t>
  </si>
  <si>
    <t>RUN202603-0101</t>
  </si>
  <si>
    <t>2026-03-10T11:39:00.000Z</t>
  </si>
  <si>
    <t>2026-03-11T00:39:00.000Z</t>
  </si>
  <si>
    <t>RUN202603-0102</t>
  </si>
  <si>
    <t>2026-03-30T20:45:00.000Z</t>
  </si>
  <si>
    <t>2026-03-31T07:45:00.000Z</t>
  </si>
  <si>
    <t>RUN202603-0103</t>
  </si>
  <si>
    <t>2026-03-12T03:51:00.000Z</t>
  </si>
  <si>
    <t>2026-03-12T21:51:00.000Z</t>
  </si>
  <si>
    <t>RUN202603-0104</t>
  </si>
  <si>
    <t>2026-03-08T18:18:00.000Z</t>
  </si>
  <si>
    <t>2026-03-09T01:18:00.000Z</t>
  </si>
  <si>
    <t>RUN202603-0105</t>
  </si>
  <si>
    <t>2026-03-21T09:04:00.000Z</t>
  </si>
  <si>
    <t>2026-03-21T16:04:00.000Z</t>
  </si>
  <si>
    <t>RUN202603-0106</t>
  </si>
  <si>
    <t>2026-03-15T13:38:00.000Z</t>
  </si>
  <si>
    <t>2026-03-16T04:38:00.000Z</t>
  </si>
  <si>
    <t>RUN202603-0107</t>
  </si>
  <si>
    <t>2026-03-06T04:34:00.000Z</t>
  </si>
  <si>
    <t>2026-03-06T11:34:00.000Z</t>
  </si>
  <si>
    <t>RUN202603-0108</t>
  </si>
  <si>
    <t>2026-03-24T02:36:00.000Z</t>
  </si>
  <si>
    <t>2026-03-24T17:36:00.000Z</t>
  </si>
  <si>
    <t>RUN202603-0109</t>
  </si>
  <si>
    <t>2026-03-02T10:40:00.000Z</t>
  </si>
  <si>
    <t>2026-03-03T03:40:00.000Z</t>
  </si>
  <si>
    <t>RUN202603-0110</t>
  </si>
  <si>
    <t>2026-03-04T13:03:00.000Z</t>
  </si>
  <si>
    <t>2026-03-05T07:03:00.000Z</t>
  </si>
  <si>
    <t>RUN202603-0111</t>
  </si>
  <si>
    <t>2026-03-22T20:01:00.000Z</t>
  </si>
  <si>
    <t>2026-03-23T12:01:00.000Z</t>
  </si>
  <si>
    <t>RUN202603-0112</t>
  </si>
  <si>
    <t>2026-03-15T00:30:00.000Z</t>
  </si>
  <si>
    <t>2026-03-15T14:30:00.000Z</t>
  </si>
  <si>
    <t>RUN202603-0113</t>
  </si>
  <si>
    <t>2026-03-06T05:52:00.000Z</t>
  </si>
  <si>
    <t>2026-03-06T21:52:00.000Z</t>
  </si>
  <si>
    <t>RUN202603-0114</t>
  </si>
  <si>
    <t>2026-03-14T21:02:00.000Z</t>
  </si>
  <si>
    <t>2026-03-15T05:02:00.000Z</t>
  </si>
  <si>
    <t>RUN202603-0115</t>
  </si>
  <si>
    <t>2026-03-03T08:56:00.000Z</t>
  </si>
  <si>
    <t>2026-03-03T19:56:00.000Z</t>
  </si>
  <si>
    <t>RUN202603-0116</t>
  </si>
  <si>
    <t>2026-03-27T15:46:00.000Z</t>
  </si>
  <si>
    <t>2026-03-27T21:46:00.000Z</t>
  </si>
  <si>
    <t>RUN202603-0117</t>
  </si>
  <si>
    <t>2026-03-10T14:41:00.000Z</t>
  </si>
  <si>
    <t>2026-03-10T20:41:00.000Z</t>
  </si>
  <si>
    <t>RUN202603-0118</t>
  </si>
  <si>
    <t>2026-03-12T13:15:00.000Z</t>
  </si>
  <si>
    <t>2026-03-12T21:15:00.000Z</t>
  </si>
  <si>
    <t>RUN202603-0119</t>
  </si>
  <si>
    <t>2026-03-13T16:20:00.000Z</t>
  </si>
  <si>
    <t>2026-03-13T22:20:00.000Z</t>
  </si>
  <si>
    <t>RUN202603-0120</t>
  </si>
  <si>
    <t>2026-03-22T02:33:00.000Z</t>
  </si>
  <si>
    <t>2026-03-22T09:33:00.000Z</t>
  </si>
  <si>
    <t>RUN202603-0121</t>
  </si>
  <si>
    <t>2026-03-29T04:30:00.000Z</t>
  </si>
  <si>
    <t>2026-03-29T14:30:00.000Z</t>
  </si>
  <si>
    <t>RUN202603-0122</t>
  </si>
  <si>
    <t>2026-03-25T04:33:00.000Z</t>
  </si>
  <si>
    <t>2026-03-25T17:33:00.000Z</t>
  </si>
  <si>
    <t>RUN202603-0123</t>
  </si>
  <si>
    <t>2026-03-11T21:40:00.000Z</t>
  </si>
  <si>
    <t>RUN202603-0124</t>
  </si>
  <si>
    <t>2026-03-18T17:49:00.000Z</t>
  </si>
  <si>
    <t>2026-03-19T02:49:00.000Z</t>
  </si>
  <si>
    <t>RUN202603-0125</t>
  </si>
  <si>
    <t>2026-03-11T00:44:00.000Z</t>
  </si>
  <si>
    <t>2026-03-11T09:44:00.000Z</t>
  </si>
  <si>
    <t>RUN202603-0126</t>
  </si>
  <si>
    <t>2026-03-23T03:24:00.000Z</t>
  </si>
  <si>
    <t>2026-03-23T13:24:00.000Z</t>
  </si>
  <si>
    <t>RUN202603-0127</t>
  </si>
  <si>
    <t>2026-03-26T19:53:00.000Z</t>
  </si>
  <si>
    <t>2026-03-27T02:53:00.000Z</t>
  </si>
  <si>
    <t>RUN202603-0128</t>
  </si>
  <si>
    <t>2026-03-11T18:31:00.000Z</t>
  </si>
  <si>
    <t>2026-03-12T05:31:00.000Z</t>
  </si>
  <si>
    <t>RUN202603-0129</t>
  </si>
  <si>
    <t>2026-03-23T11:16:00.000Z</t>
  </si>
  <si>
    <t>2026-03-24T00:16:00.000Z</t>
  </si>
  <si>
    <t>RUN202603-0130</t>
  </si>
  <si>
    <t>2026-03-09T08:24:00.000Z</t>
  </si>
  <si>
    <t>2026-03-09T21:24:00.000Z</t>
  </si>
  <si>
    <t>RUN202603-0131</t>
  </si>
  <si>
    <t>2026-03-04T15:04:00.000Z</t>
  </si>
  <si>
    <t>2026-03-05T02:04:00.000Z</t>
  </si>
  <si>
    <t>RUN202603-0132</t>
  </si>
  <si>
    <t>2026-03-19T20:04:00.000Z</t>
  </si>
  <si>
    <t>2026-03-20T07:04:00.000Z</t>
  </si>
  <si>
    <t>RUN202603-0133</t>
  </si>
  <si>
    <t>2026-03-17T14:41:00.000Z</t>
  </si>
  <si>
    <t>2026-03-18T02:41:00.000Z</t>
  </si>
  <si>
    <t>RUN202603-0134</t>
  </si>
  <si>
    <t>2026-03-05T10:14:00.000Z</t>
  </si>
  <si>
    <t>2026-03-06T01:14:00.000Z</t>
  </si>
  <si>
    <t>RUN202603-0135</t>
  </si>
  <si>
    <t>2026-03-16T18:27:00.000Z</t>
  </si>
  <si>
    <t>2026-03-17T08:27:00.000Z</t>
  </si>
  <si>
    <t>RUN202603-0136</t>
  </si>
  <si>
    <t>2026-03-15T19:33:00.000Z</t>
  </si>
  <si>
    <t>2026-03-16T07:33:00.000Z</t>
  </si>
  <si>
    <t>RUN202603-0137</t>
  </si>
  <si>
    <t>2026-03-24T10:42:00.000Z</t>
  </si>
  <si>
    <t>2026-03-25T01:42:00.000Z</t>
  </si>
  <si>
    <t>RUN202603-0138</t>
  </si>
  <si>
    <t>2026-03-20T13:15:00.000Z</t>
  </si>
  <si>
    <t>2026-03-20T19:15:00.000Z</t>
  </si>
  <si>
    <t>RUN202603-0139</t>
  </si>
  <si>
    <t>2026-03-11T21:23:00.000Z</t>
  </si>
  <si>
    <t>2026-03-12T04:23:00.000Z</t>
  </si>
  <si>
    <t>RUN202603-0140</t>
  </si>
  <si>
    <t>2026-03-13T05:43:00.000Z</t>
  </si>
  <si>
    <t>2026-03-13T18:43:00.000Z</t>
  </si>
  <si>
    <t>RUN202603-0141</t>
  </si>
  <si>
    <t>2026-03-02T20:33:00.000Z</t>
  </si>
  <si>
    <t>2026-03-03T12:33:00.000Z</t>
  </si>
  <si>
    <t>RUN202603-0142</t>
  </si>
  <si>
    <t>2026-03-06T15:21:00.000Z</t>
  </si>
  <si>
    <t>2026-03-07T05:21:00.000Z</t>
  </si>
  <si>
    <t>RUN202603-0143</t>
  </si>
  <si>
    <t>2026-03-29T05:04:00.000Z</t>
  </si>
  <si>
    <t>2026-03-29T15:04:00.000Z</t>
  </si>
  <si>
    <t>RUN202603-0144</t>
  </si>
  <si>
    <t>2026-03-17T11:01:00.000Z</t>
  </si>
  <si>
    <t>2026-03-17T23:01:00.000Z</t>
  </si>
  <si>
    <t>RUN202603-0145</t>
  </si>
  <si>
    <t>2026-03-04T00:53:00.000Z</t>
  </si>
  <si>
    <t>2026-03-04T09:53:00.000Z</t>
  </si>
  <si>
    <t>RUN202603-0146</t>
  </si>
  <si>
    <t>2026-03-04T23:36:00.000Z</t>
  </si>
  <si>
    <t>2026-03-05T17:36:00.000Z</t>
  </si>
  <si>
    <t>RUN202603-0147</t>
  </si>
  <si>
    <t>2026-03-30T21:02:00.000Z</t>
  </si>
  <si>
    <t>2026-03-31T14:02:00.000Z</t>
  </si>
  <si>
    <t>RUN202603-0148</t>
  </si>
  <si>
    <t>2026-03-26T19:50:00.000Z</t>
  </si>
  <si>
    <t>2026-03-27T13:50:00.000Z</t>
  </si>
  <si>
    <t>RUN202603-0149</t>
  </si>
  <si>
    <t>2026-03-14T19:32:00.000Z</t>
  </si>
  <si>
    <t>2026-03-15T12:32:00.000Z</t>
  </si>
  <si>
    <t>RUN202603-0150</t>
  </si>
  <si>
    <t>2026-03-31T19:15:00.000Z</t>
  </si>
  <si>
    <t>2026-04-01T08:15:00.000Z</t>
  </si>
  <si>
    <t>RUN202603-0151</t>
  </si>
  <si>
    <t>2026-03-11T11:27:00.000Z</t>
  </si>
  <si>
    <t>2026-03-12T05:27:00.000Z</t>
  </si>
  <si>
    <t>RUN202603-0152</t>
  </si>
  <si>
    <t>2026-03-08T08:54:00.000Z</t>
  </si>
  <si>
    <t>2026-03-08T15:54:00.000Z</t>
  </si>
  <si>
    <t>RUN202603-0153</t>
  </si>
  <si>
    <t>2026-03-01T09:28:00.000Z</t>
  </si>
  <si>
    <t>2026-03-02T02:28:00.000Z</t>
  </si>
  <si>
    <t>RUN202603-0154</t>
  </si>
  <si>
    <t>2026-03-18T13:48:00.000Z</t>
  </si>
  <si>
    <t>2026-03-19T04:48:00.000Z</t>
  </si>
  <si>
    <t>RUN202603-0155</t>
  </si>
  <si>
    <t>2026-03-10T00:58:00.000Z</t>
  </si>
  <si>
    <t>2026-03-10T13:58:00.000Z</t>
  </si>
  <si>
    <t>RUN202603-0156</t>
  </si>
  <si>
    <t>2026-03-16T20:35:00.000Z</t>
  </si>
  <si>
    <t>2026-03-17T05:35:00.000Z</t>
  </si>
  <si>
    <t>RUN202603-0157</t>
  </si>
  <si>
    <t>2026-03-11T11:25:00.000Z</t>
  </si>
  <si>
    <t>2026-03-11T18:25:00.000Z</t>
  </si>
  <si>
    <t>RUN202603-0158</t>
  </si>
  <si>
    <t>2026-03-22T08:07:00.000Z</t>
  </si>
  <si>
    <t>2026-03-22T22:07:00.000Z</t>
  </si>
  <si>
    <t>RUN202603-0159</t>
  </si>
  <si>
    <t>2026-03-19T14:37:00.000Z</t>
  </si>
  <si>
    <t>2026-03-20T00:37:00.000Z</t>
  </si>
  <si>
    <t>RUN202603-0160</t>
  </si>
  <si>
    <t>2026-03-05T02:23:00.000Z</t>
  </si>
  <si>
    <t>RUN202603-0161</t>
  </si>
  <si>
    <t>2026-03-15T05:11:00.000Z</t>
  </si>
  <si>
    <t>2026-03-15T11:11:00.000Z</t>
  </si>
  <si>
    <t>RUN202603-0162</t>
  </si>
  <si>
    <t>2026-03-14T01:08:00.000Z</t>
  </si>
  <si>
    <t>2026-03-14T09:08:00.000Z</t>
  </si>
  <si>
    <t>RUN202603-0163</t>
  </si>
  <si>
    <t>2026-03-18T06:57:00.000Z</t>
  </si>
  <si>
    <t>2026-03-18T17:57:00.000Z</t>
  </si>
  <si>
    <t>RUN202603-0164</t>
  </si>
  <si>
    <t>2026-03-05T23:52:00.000Z</t>
  </si>
  <si>
    <t>RUN202603-0165</t>
  </si>
  <si>
    <t>2026-03-11T06:41:00.000Z</t>
  </si>
  <si>
    <t>RUN202603-0166</t>
  </si>
  <si>
    <t>2026-03-31T20:24:00.000Z</t>
  </si>
  <si>
    <t>2026-04-01T05:24:00.000Z</t>
  </si>
  <si>
    <t>RUN202603-0167</t>
  </si>
  <si>
    <t>2026-03-09T13:29:00.000Z</t>
  </si>
  <si>
    <t>2026-03-09T21:29:00.000Z</t>
  </si>
  <si>
    <t>RUN202603-0168</t>
  </si>
  <si>
    <t>2026-03-02T13:57:00.000Z</t>
  </si>
  <si>
    <t>2026-03-03T04:57:00.000Z</t>
  </si>
  <si>
    <t>RUN202603-0169</t>
  </si>
  <si>
    <t>2026-03-24T16:57:00.000Z</t>
  </si>
  <si>
    <t>2026-03-25T03:57:00.000Z</t>
  </si>
  <si>
    <t>RUN202603-0170</t>
  </si>
  <si>
    <t>2026-03-17T21:31:00.000Z</t>
  </si>
  <si>
    <t>2026-03-18T04:31:00.000Z</t>
  </si>
  <si>
    <t>RUN202603-0171</t>
  </si>
  <si>
    <t>2026-03-09T22:02:00.000Z</t>
  </si>
  <si>
    <t>2026-03-10T06:02:00.000Z</t>
  </si>
  <si>
    <t>RUN202603-0172</t>
  </si>
  <si>
    <t>2026-03-18T23:15:00.000Z</t>
  </si>
  <si>
    <t>2026-03-19T15:15:00.000Z</t>
  </si>
  <si>
    <t>RUN202603-0173</t>
  </si>
  <si>
    <t>2026-03-15T09:06:00.000Z</t>
  </si>
  <si>
    <t>2026-03-16T02:06:00.000Z</t>
  </si>
  <si>
    <t>RUN202603-0174</t>
  </si>
  <si>
    <t>2026-03-02T16:17:00.000Z</t>
  </si>
  <si>
    <t>2026-03-03T10:17:00.000Z</t>
  </si>
  <si>
    <t>RUN202603-0175</t>
  </si>
  <si>
    <t>2026-03-18T03:38:00.000Z</t>
  </si>
  <si>
    <t>2026-03-18T18:38:00.000Z</t>
  </si>
  <si>
    <t>RUN202603-0176</t>
  </si>
  <si>
    <t>2026-03-05T12:43:00.000Z</t>
  </si>
  <si>
    <t>2026-03-06T05:43:00.000Z</t>
  </si>
  <si>
    <t>RUN202603-0177</t>
  </si>
  <si>
    <t>2026-03-31T08:29:00.000Z</t>
  </si>
  <si>
    <t>2026-03-31T15:29:00.000Z</t>
  </si>
  <si>
    <t>RUN202603-0178</t>
  </si>
  <si>
    <t>2026-03-21T08:05:00.000Z</t>
  </si>
  <si>
    <t>2026-03-21T20:05:00.000Z</t>
  </si>
  <si>
    <t>RUN202603-0179</t>
  </si>
  <si>
    <t>2026-03-25T15:01:00.000Z</t>
  </si>
  <si>
    <t>2026-03-26T01:01:00.000Z</t>
  </si>
  <si>
    <t>RUN202603-0180</t>
  </si>
  <si>
    <t>2026-03-18T21:10:00.000Z</t>
  </si>
  <si>
    <t>2026-03-19T12:10:00.000Z</t>
  </si>
  <si>
    <t>RUN202603-0181</t>
  </si>
  <si>
    <t>2026-03-21T03:55:00.000Z</t>
  </si>
  <si>
    <t>2026-03-21T18:55:00.000Z</t>
  </si>
  <si>
    <t>RUN202603-0182</t>
  </si>
  <si>
    <t>2026-03-27T00:54:00.000Z</t>
  </si>
  <si>
    <t>2026-03-27T14:54:00.000Z</t>
  </si>
  <si>
    <t>RUN202603-0183</t>
  </si>
  <si>
    <t>2026-03-16T11:00:00.000Z</t>
  </si>
  <si>
    <t>2026-03-16T17:00:00.000Z</t>
  </si>
  <si>
    <t>RUN202603-0184</t>
  </si>
  <si>
    <t>2026-03-04T21:59:00.000Z</t>
  </si>
  <si>
    <t>2026-03-05T08:59:00.000Z</t>
  </si>
  <si>
    <t>RUN202603-0185</t>
  </si>
  <si>
    <t>2026-03-27T23:34:00.000Z</t>
  </si>
  <si>
    <t>2026-03-28T16:34:00.000Z</t>
  </si>
  <si>
    <t>RUN202603-0186</t>
  </si>
  <si>
    <t>2026-03-31T12:40:00.000Z</t>
  </si>
  <si>
    <t>2026-04-01T06:40:00.000Z</t>
  </si>
  <si>
    <t>RUN202603-0187</t>
  </si>
  <si>
    <t>2026-03-02T15:01:00.000Z</t>
  </si>
  <si>
    <t>2026-03-03T03:01:00.000Z</t>
  </si>
  <si>
    <t>RUN202603-0188</t>
  </si>
  <si>
    <t>2026-03-18T01:26:00.000Z</t>
  </si>
  <si>
    <t>2026-03-18T17:26:00.000Z</t>
  </si>
  <si>
    <t>RUN202603-0189</t>
  </si>
  <si>
    <t>2026-03-04T14:41:00.000Z</t>
  </si>
  <si>
    <t>2026-03-05T01:41:00.000Z</t>
  </si>
  <si>
    <t>RUN202603-0190</t>
  </si>
  <si>
    <t>2026-03-23T10:24:00.000Z</t>
  </si>
  <si>
    <t>2026-03-24T04:24:00.000Z</t>
  </si>
  <si>
    <t>RUN202603-0191</t>
  </si>
  <si>
    <t>2026-03-28T20:47:00.000Z</t>
  </si>
  <si>
    <t>2026-03-29T09:47:00.000Z</t>
  </si>
  <si>
    <t>RUN202603-0192</t>
  </si>
  <si>
    <t>2026-03-30T15:13:00.000Z</t>
  </si>
  <si>
    <t>2026-03-31T07:13:00.000Z</t>
  </si>
  <si>
    <t>RUN202603-0193</t>
  </si>
  <si>
    <t>2026-03-09T23:47:00.000Z</t>
  </si>
  <si>
    <t>2026-03-10T15:47:00.000Z</t>
  </si>
  <si>
    <t>RUN202603-0194</t>
  </si>
  <si>
    <t>2026-03-11T13:53:00.000Z</t>
  </si>
  <si>
    <t>2026-03-12T07:53:00.000Z</t>
  </si>
  <si>
    <t>RUN202603-0195</t>
  </si>
  <si>
    <t>2026-03-06T14:00:00.000Z</t>
  </si>
  <si>
    <t>2026-03-07T08:00:00.000Z</t>
  </si>
  <si>
    <t>RUN202603-0196</t>
  </si>
  <si>
    <t>2026-03-05T05:10:00.000Z</t>
  </si>
  <si>
    <t>2026-03-05T23:10:00.000Z</t>
  </si>
  <si>
    <t>RUN202603-0197</t>
  </si>
  <si>
    <t>2026-03-23T01:26:00.000Z</t>
  </si>
  <si>
    <t>2026-03-23T11:26:00.000Z</t>
  </si>
  <si>
    <t>RUN202603-0198</t>
  </si>
  <si>
    <t>2026-03-04T09:50:00.000Z</t>
  </si>
  <si>
    <t>2026-03-04T22:50:00.000Z</t>
  </si>
  <si>
    <t>RUN202603-0199</t>
  </si>
  <si>
    <t>2026-03-24T15:14:00.000Z</t>
  </si>
  <si>
    <t>2026-03-25T04:14:00.000Z</t>
  </si>
  <si>
    <t>RUN202603-0200</t>
  </si>
  <si>
    <t>2026-03-18T03:21:00.000Z</t>
  </si>
  <si>
    <t>2026-03-18T09:21:00.000Z</t>
  </si>
  <si>
    <t>RUN202603-0201</t>
  </si>
  <si>
    <t>2026-03-10T17:55:00.000Z</t>
  </si>
  <si>
    <t>2026-03-11T00:55:00.000Z</t>
  </si>
  <si>
    <t>RUN202603-0202</t>
  </si>
  <si>
    <t>2026-03-03T00:13:00.000Z</t>
  </si>
  <si>
    <t>2026-03-03T16:13:00.000Z</t>
  </si>
  <si>
    <t>RUN202603-0203</t>
  </si>
  <si>
    <t>2026-03-08T10:33:00.000Z</t>
  </si>
  <si>
    <t>2026-03-09T00:33:00.000Z</t>
  </si>
  <si>
    <t>RUN202603-0204</t>
  </si>
  <si>
    <t>2026-03-11T15:52:00.000Z</t>
  </si>
  <si>
    <t>2026-03-12T08:52:00.000Z</t>
  </si>
  <si>
    <t>RUN202603-0205</t>
  </si>
  <si>
    <t>2026-03-28T10:40:00.000Z</t>
  </si>
  <si>
    <t>2026-03-29T01:40:00.000Z</t>
  </si>
  <si>
    <t>RUN202603-0206</t>
  </si>
  <si>
    <t>2026-03-31T12:46:00.000Z</t>
  </si>
  <si>
    <t>2026-03-31T22:46:00.000Z</t>
  </si>
  <si>
    <t>RUN202603-0207</t>
  </si>
  <si>
    <t>2026-03-18T20:41:00.000Z</t>
  </si>
  <si>
    <t>2026-03-19T13:41:00.000Z</t>
  </si>
  <si>
    <t>RUN202603-0208</t>
  </si>
  <si>
    <t>2026-03-08T05:14:00.000Z</t>
  </si>
  <si>
    <t>2026-03-08T22:14:00.000Z</t>
  </si>
  <si>
    <t>RUN202603-0209</t>
  </si>
  <si>
    <t>2026-03-28T17:49:00.000Z</t>
  </si>
  <si>
    <t>2026-03-29T09:49:00.000Z</t>
  </si>
  <si>
    <t>RUN202603-0210</t>
  </si>
  <si>
    <t>2026-03-08T22:54:00.000Z</t>
  </si>
  <si>
    <t>2026-03-09T15:54:00.000Z</t>
  </si>
  <si>
    <t>RUN202603-0211</t>
  </si>
  <si>
    <t>2026-03-02T16:33:00.000Z</t>
  </si>
  <si>
    <t>2026-03-03T04:33:00.000Z</t>
  </si>
  <si>
    <t>RUN202603-0212</t>
  </si>
  <si>
    <t>2026-03-22T14:56:00.000Z</t>
  </si>
  <si>
    <t>2026-03-23T01:56:00.000Z</t>
  </si>
  <si>
    <t>RUN202603-0213</t>
  </si>
  <si>
    <t>2026-03-26T01:41:00.000Z</t>
  </si>
  <si>
    <t>2026-03-26T12:41:00.000Z</t>
  </si>
  <si>
    <t>RUN202603-0214</t>
  </si>
  <si>
    <t>2026-03-07T08:50:00.000Z</t>
  </si>
  <si>
    <t>2026-03-07T17:50:00.000Z</t>
  </si>
  <si>
    <t>RUN202603-0215</t>
  </si>
  <si>
    <t>2026-03-15T14:32:00.000Z</t>
  </si>
  <si>
    <t>2026-03-16T04:32:00.000Z</t>
  </si>
  <si>
    <t>RUN202603-0216</t>
  </si>
  <si>
    <t>2026-03-30T13:41:00.000Z</t>
  </si>
  <si>
    <t>2026-03-31T03:41:00.000Z</t>
  </si>
  <si>
    <t>RUN202603-0217</t>
  </si>
  <si>
    <t>2026-03-25T17:49:00.000Z</t>
  </si>
  <si>
    <t>2026-03-26T05:49:00.000Z</t>
  </si>
  <si>
    <t>RUN202603-0218</t>
  </si>
  <si>
    <t>2026-03-28T06:27:00.000Z</t>
  </si>
  <si>
    <t>2026-03-28T16:27:00.000Z</t>
  </si>
  <si>
    <t>RUN202603-0219</t>
  </si>
  <si>
    <t>2026-03-04T02:58:00.000Z</t>
  </si>
  <si>
    <t>2026-03-04T08:58:00.000Z</t>
  </si>
  <si>
    <t>RUN202603-0220</t>
  </si>
  <si>
    <t>2026-03-09T06:28:00.000Z</t>
  </si>
  <si>
    <t>2026-03-09T21:28:00.000Z</t>
  </si>
  <si>
    <t>RUN202603-0221</t>
  </si>
  <si>
    <t>2026-03-22T05:43:00.000Z</t>
  </si>
  <si>
    <t>2026-03-22T18:43:00.000Z</t>
  </si>
  <si>
    <t>RUN202603-0222</t>
  </si>
  <si>
    <t>2026-03-10T00:02:00.000Z</t>
  </si>
  <si>
    <t>2026-03-10T13:02:00.000Z</t>
  </si>
  <si>
    <t>RUN202603-0223</t>
  </si>
  <si>
    <t>2026-03-24T09:22:00.000Z</t>
  </si>
  <si>
    <t>2026-03-24T23:22:00.000Z</t>
  </si>
  <si>
    <t>RUN202603-0224</t>
  </si>
  <si>
    <t>2026-03-14T21:30:00.000Z</t>
  </si>
  <si>
    <t>2026-03-15T05:30:00.000Z</t>
  </si>
  <si>
    <t>RUN202603-0225</t>
  </si>
  <si>
    <t>2026-03-20T03:52:00.000Z</t>
  </si>
  <si>
    <t>2026-03-20T12:52:00.000Z</t>
  </si>
  <si>
    <t>RUN202603-0226</t>
  </si>
  <si>
    <t>2026-03-24T10:14:00.000Z</t>
  </si>
  <si>
    <t>2026-03-24T16:14:00.000Z</t>
  </si>
  <si>
    <t>RUN202603-0227</t>
  </si>
  <si>
    <t>2026-03-14T13:45:00.000Z</t>
  </si>
  <si>
    <t>2026-03-14T19:45:00.000Z</t>
  </si>
  <si>
    <t>RUN202603-0228</t>
  </si>
  <si>
    <t>2026-03-12T14:20:00.000Z</t>
  </si>
  <si>
    <t>2026-03-13T03:20:00.000Z</t>
  </si>
  <si>
    <t>RUN202603-0229</t>
  </si>
  <si>
    <t>2026-03-28T18:22:00.000Z</t>
  </si>
  <si>
    <t>2026-03-29T03:22:00.000Z</t>
  </si>
  <si>
    <t>RUN202603-0230</t>
  </si>
  <si>
    <t>2026-03-24T18:47:00.000Z</t>
  </si>
  <si>
    <t>2026-03-25T05:47:00.000Z</t>
  </si>
  <si>
    <t>RUN202603-0231</t>
  </si>
  <si>
    <t>2026-03-15T04:58:00.000Z</t>
  </si>
  <si>
    <t>2026-03-15T21:58:00.000Z</t>
  </si>
  <si>
    <t>RUN202603-0232</t>
  </si>
  <si>
    <t>2026-03-04T14:06:00.000Z</t>
  </si>
  <si>
    <t>2026-03-04T20:06:00.000Z</t>
  </si>
  <si>
    <t>RUN202603-0233</t>
  </si>
  <si>
    <t>2026-03-29T23:05:00.000Z</t>
  </si>
  <si>
    <t>2026-03-30T17:05:00.000Z</t>
  </si>
  <si>
    <t>RUN202603-0234</t>
  </si>
  <si>
    <t>2026-03-18T08:41:00.000Z</t>
  </si>
  <si>
    <t>RUN202603-0235</t>
  </si>
  <si>
    <t>2026-03-20T06:42:00.000Z</t>
  </si>
  <si>
    <t>2026-03-21T00:42:00.000Z</t>
  </si>
  <si>
    <t>RUN202603-0236</t>
  </si>
  <si>
    <t>2026-03-01T08:35:00.000Z</t>
  </si>
  <si>
    <t>2026-03-01T22:35:00.000Z</t>
  </si>
  <si>
    <t>RUN202603-0237</t>
  </si>
  <si>
    <t>2026-03-10T00:46:00.000Z</t>
  </si>
  <si>
    <t>2026-03-10T16:46:00.000Z</t>
  </si>
  <si>
    <t>RUN202603-0238</t>
  </si>
  <si>
    <t>2026-03-10T22:57:00.000Z</t>
  </si>
  <si>
    <t>2026-03-11T11:57:00.000Z</t>
  </si>
  <si>
    <t>RUN202603-0239</t>
  </si>
  <si>
    <t>2026-03-20T04:42:00.000Z</t>
  </si>
  <si>
    <t>2026-03-20T13:42:00.000Z</t>
  </si>
  <si>
    <t>RUN202603-0240</t>
  </si>
  <si>
    <t>2026-03-21T00:18:00.000Z</t>
  </si>
  <si>
    <t>2026-03-21T13:18:00.000Z</t>
  </si>
  <si>
    <t>RUN202603-0241</t>
  </si>
  <si>
    <t>2026-03-05T01:52:00.000Z</t>
  </si>
  <si>
    <t>2026-03-05T09:52:00.000Z</t>
  </si>
  <si>
    <t>RUN202603-0242</t>
  </si>
  <si>
    <t>2026-03-28T09:21:00.000Z</t>
  </si>
  <si>
    <t>2026-03-28T20:21:00.000Z</t>
  </si>
  <si>
    <t>RUN202603-0243</t>
  </si>
  <si>
    <t>2026-03-28T07:30:00.000Z</t>
  </si>
  <si>
    <t>2026-03-28T20:30:00.000Z</t>
  </si>
  <si>
    <t>RUN202603-0244</t>
  </si>
  <si>
    <t>2026-03-15T18:12:00.000Z</t>
  </si>
  <si>
    <t>2026-03-16T02:12:00.000Z</t>
  </si>
  <si>
    <t>RUN202603-0245</t>
  </si>
  <si>
    <t>2026-03-26T04:19:00.000Z</t>
  </si>
  <si>
    <t>2026-03-26T21:19:00.000Z</t>
  </si>
  <si>
    <t>RUN202603-0246</t>
  </si>
  <si>
    <t>2026-03-25T14:28:00.000Z</t>
  </si>
  <si>
    <t>2026-03-26T00:28:00.000Z</t>
  </si>
  <si>
    <t>RUN202603-0247</t>
  </si>
  <si>
    <t>2026-03-05T17:37:00.000Z</t>
  </si>
  <si>
    <t>2026-03-06T01:37:00.000Z</t>
  </si>
  <si>
    <t>RUN202603-0248</t>
  </si>
  <si>
    <t>2026-03-24T02:24:00.000Z</t>
  </si>
  <si>
    <t>2026-03-24T08:24:00.000Z</t>
  </si>
  <si>
    <t>RUN202603-0249</t>
  </si>
  <si>
    <t>2026-03-29T07:38:00.000Z</t>
  </si>
  <si>
    <t>2026-03-29T14:38:00.000Z</t>
  </si>
  <si>
    <t>RUN202603-0250</t>
  </si>
  <si>
    <t>2026-03-14T10:55:00.000Z</t>
  </si>
  <si>
    <t>2026-03-15T03:55:00.000Z</t>
  </si>
  <si>
    <t>RUN202603-0251</t>
  </si>
  <si>
    <t>2026-03-08T11:44:00.000Z</t>
  </si>
  <si>
    <t>2026-03-08T22:44:00.000Z</t>
  </si>
  <si>
    <t>RUN202603-0252</t>
  </si>
  <si>
    <t>2026-03-08T02:07:00.000Z</t>
  </si>
  <si>
    <t>2026-03-08T09:07:00.000Z</t>
  </si>
  <si>
    <t>RUN202603-0253</t>
  </si>
  <si>
    <t>2026-03-21T01:51:00.000Z</t>
  </si>
  <si>
    <t>2026-03-21T14:51:00.000Z</t>
  </si>
  <si>
    <t>RUN202603-0254</t>
  </si>
  <si>
    <t>2026-03-04T14:00:00.000Z</t>
  </si>
  <si>
    <t>2026-03-05T03:00:00.000Z</t>
  </si>
  <si>
    <t>RUN202603-0255</t>
  </si>
  <si>
    <t>2026-03-07T12:51:00.000Z</t>
  </si>
  <si>
    <t>2026-03-07T23:51:00.000Z</t>
  </si>
  <si>
    <t>RUN202603-0256</t>
  </si>
  <si>
    <t>2026-03-07T18:42:00.000Z</t>
  </si>
  <si>
    <t>2026-03-08T01:42:00.000Z</t>
  </si>
  <si>
    <t>RUN202603-0257</t>
  </si>
  <si>
    <t>2026-03-08T15:10:00.000Z</t>
  </si>
  <si>
    <t>2026-03-09T03:10:00.000Z</t>
  </si>
  <si>
    <t>RUN202603-0258</t>
  </si>
  <si>
    <t>2026-03-15T22:47:00.000Z</t>
  </si>
  <si>
    <t>2026-03-16T12:47:00.000Z</t>
  </si>
  <si>
    <t>RUN202603-0259</t>
  </si>
  <si>
    <t>2026-03-17T10:59:00.000Z</t>
  </si>
  <si>
    <t>2026-03-17T20:59:00.000Z</t>
  </si>
  <si>
    <t>RUN202603-0260</t>
  </si>
  <si>
    <t>2026-03-05T08:34:00.000Z</t>
  </si>
  <si>
    <t>2026-03-06T01:34:00.000Z</t>
  </si>
  <si>
    <t>RUN202603-0261</t>
  </si>
  <si>
    <t>2026-03-31T16:30:00.000Z</t>
  </si>
  <si>
    <t>2026-03-31T23:30:00.000Z</t>
  </si>
  <si>
    <t>RUN202603-0262</t>
  </si>
  <si>
    <t>2026-03-25T07:16:00.000Z</t>
  </si>
  <si>
    <t>2026-03-25T20:16:00.000Z</t>
  </si>
  <si>
    <t>RUN202603-0263</t>
  </si>
  <si>
    <t>2026-03-08T07:02:00.000Z</t>
  </si>
  <si>
    <t>2026-03-08T19:02:00.000Z</t>
  </si>
  <si>
    <t>RUN202603-0264</t>
  </si>
  <si>
    <t>2026-03-07T21:12:00.000Z</t>
  </si>
  <si>
    <t>2026-03-08T15:12:00.000Z</t>
  </si>
  <si>
    <t>RUN202603-0265</t>
  </si>
  <si>
    <t>2026-03-27T22:19:00.000Z</t>
  </si>
  <si>
    <t>2026-03-28T15:19:00.000Z</t>
  </si>
  <si>
    <t>RUN202603-0266</t>
  </si>
  <si>
    <t>2026-03-14T14:37:00.000Z</t>
  </si>
  <si>
    <t>2026-03-14T21:37:00.000Z</t>
  </si>
  <si>
    <t>RUN202603-0267</t>
  </si>
  <si>
    <t>2026-03-31T06:02:00.000Z</t>
  </si>
  <si>
    <t>2026-03-31T20:02:00.000Z</t>
  </si>
  <si>
    <t>RUN202603-0268</t>
  </si>
  <si>
    <t>2026-03-05T15:45:00.000Z</t>
  </si>
  <si>
    <t>2026-03-05T21:45:00.000Z</t>
  </si>
  <si>
    <t>RUN202603-0269</t>
  </si>
  <si>
    <t>2026-03-12T20:04:00.000Z</t>
  </si>
  <si>
    <t>2026-03-13T08:04:00.000Z</t>
  </si>
  <si>
    <t>RUN202603-0270</t>
  </si>
  <si>
    <t>2026-03-14T20:10:00.000Z</t>
  </si>
  <si>
    <t>2026-03-15T04:10:00.000Z</t>
  </si>
  <si>
    <t>RUN202603-0271</t>
  </si>
  <si>
    <t>2026-03-15T13:42:00.000Z</t>
  </si>
  <si>
    <t>2026-03-16T00:42:00.000Z</t>
  </si>
  <si>
    <t>RUN202603-0272</t>
  </si>
  <si>
    <t>2026-03-10T19:42:00.000Z</t>
  </si>
  <si>
    <t>2026-03-11T12:42:00.000Z</t>
  </si>
  <si>
    <t>RUN202603-0273</t>
  </si>
  <si>
    <t>2026-03-13T17:34:00.000Z</t>
  </si>
  <si>
    <t>2026-03-13T23:34:00.000Z</t>
  </si>
  <si>
    <t>RUN202603-0274</t>
  </si>
  <si>
    <t>2026-03-14T05:46:00.000Z</t>
  </si>
  <si>
    <t>2026-03-14T12:46:00.000Z</t>
  </si>
  <si>
    <t>RUN202603-0275</t>
  </si>
  <si>
    <t>2026-03-01T04:04:00.000Z</t>
  </si>
  <si>
    <t>2026-03-01T11:04:00.000Z</t>
  </si>
  <si>
    <t>RUN202603-0276</t>
  </si>
  <si>
    <t>2026-03-29T10:48:00.000Z</t>
  </si>
  <si>
    <t>2026-03-30T00:48:00.000Z</t>
  </si>
  <si>
    <t>RUN202603-0277</t>
  </si>
  <si>
    <t>2026-03-17T09:55:00.000Z</t>
  </si>
  <si>
    <t>2026-03-18T00:55:00.000Z</t>
  </si>
  <si>
    <t>RUN202603-0278</t>
  </si>
  <si>
    <t>2026-03-31T03:52:00.000Z</t>
  </si>
  <si>
    <t>2026-03-31T09:52:00.000Z</t>
  </si>
  <si>
    <t>RUN202603-0279</t>
  </si>
  <si>
    <t>2026-03-29T06:47:00.000Z</t>
  </si>
  <si>
    <t>RUN202603-0280</t>
  </si>
  <si>
    <t>2026-03-02T02:11:00.000Z</t>
  </si>
  <si>
    <t>2026-03-02T11:11:00.000Z</t>
  </si>
  <si>
    <t>RUN202603-0281</t>
  </si>
  <si>
    <t>2026-03-05T10:52:00.000Z</t>
  </si>
  <si>
    <t>2026-03-05T18:52:00.000Z</t>
  </si>
  <si>
    <t>RUN202603-0282</t>
  </si>
  <si>
    <t>2026-03-03T19:17:00.000Z</t>
  </si>
  <si>
    <t>2026-03-04T06:17:00.000Z</t>
  </si>
  <si>
    <t>RUN202603-0283</t>
  </si>
  <si>
    <t>2026-03-08T15:00:00.000Z</t>
  </si>
  <si>
    <t>2026-03-09T08:00:00.000Z</t>
  </si>
  <si>
    <t>RUN202603-0284</t>
  </si>
  <si>
    <t>2026-03-11T18:07:00.000Z</t>
  </si>
  <si>
    <t>2026-03-12T04:07:00.000Z</t>
  </si>
  <si>
    <t>RUN202603-0285</t>
  </si>
  <si>
    <t>2026-03-03T10:32:00.000Z</t>
  </si>
  <si>
    <t>2026-03-03T22:32:00.000Z</t>
  </si>
  <si>
    <t>RUN202603-0286</t>
  </si>
  <si>
    <t>2026-03-26T19:31:00.000Z</t>
  </si>
  <si>
    <t>2026-03-27T06:31:00.000Z</t>
  </si>
  <si>
    <t>RUN202603-0287</t>
  </si>
  <si>
    <t>2026-03-03T06:15:00.000Z</t>
  </si>
  <si>
    <t>2026-03-03T15:15:00.000Z</t>
  </si>
  <si>
    <t>RUN202603-0288</t>
  </si>
  <si>
    <t>2026-03-25T12:27:00.000Z</t>
  </si>
  <si>
    <t>2026-03-26T04:27:00.000Z</t>
  </si>
  <si>
    <t>RUN202603-0289</t>
  </si>
  <si>
    <t>2026-03-05T19:15:00.000Z</t>
  </si>
  <si>
    <t>2026-03-06T02:15:00.000Z</t>
  </si>
  <si>
    <t>RUN202603-0290</t>
  </si>
  <si>
    <t>2026-03-29T04:01:00.000Z</t>
  </si>
  <si>
    <t>2026-03-29T18:01:00.000Z</t>
  </si>
  <si>
    <t>RUN202603-0291</t>
  </si>
  <si>
    <t>2026-03-11T18:47:00.000Z</t>
  </si>
  <si>
    <t>2026-03-12T00:47:00.000Z</t>
  </si>
  <si>
    <t>RUN202603-0292</t>
  </si>
  <si>
    <t>2026-03-19T17:53:00.000Z</t>
  </si>
  <si>
    <t>2026-03-20T11:53:00.000Z</t>
  </si>
  <si>
    <t>RUN202603-0293</t>
  </si>
  <si>
    <t>2026-03-03T02:33:00.000Z</t>
  </si>
  <si>
    <t>2026-03-03T17:33:00.000Z</t>
  </si>
  <si>
    <t>RUN202603-0294</t>
  </si>
  <si>
    <t>2026-03-18T18:56:00.000Z</t>
  </si>
  <si>
    <t>2026-03-19T11:56:00.000Z</t>
  </si>
  <si>
    <t>RUN202603-0295</t>
  </si>
  <si>
    <t>2026-03-12T08:44:00.000Z</t>
  </si>
  <si>
    <t>2026-03-13T01:44:00.000Z</t>
  </si>
  <si>
    <t>RUN202603-0296</t>
  </si>
  <si>
    <t>2026-03-27T20:12:00.000Z</t>
  </si>
  <si>
    <t>2026-03-28T09:12:00.000Z</t>
  </si>
  <si>
    <t>RUN202603-0297</t>
  </si>
  <si>
    <t>2026-03-02T00:52:00.000Z</t>
  </si>
  <si>
    <t>2026-03-02T09:52:00.000Z</t>
  </si>
  <si>
    <t>RUN202603-0298</t>
  </si>
  <si>
    <t>2026-03-23T04:14:00.000Z</t>
  </si>
  <si>
    <t>2026-03-23T10:14:00.000Z</t>
  </si>
  <si>
    <t>RUN202603-0299</t>
  </si>
  <si>
    <t>2026-03-30T00:52:00.000Z</t>
  </si>
  <si>
    <t>2026-03-30T06:52:00.000Z</t>
  </si>
  <si>
    <t>RUN202603-0300</t>
  </si>
  <si>
    <t>2026-03-12T22:01:00.000Z</t>
  </si>
  <si>
    <t>2026-03-13T08:01:00.000Z</t>
  </si>
  <si>
    <t>Production Run ID (FK)</t>
  </si>
  <si>
    <t>PR Line Item_ID (FK)</t>
  </si>
  <si>
    <t>Date of Manufacture/Delivery</t>
  </si>
  <si>
    <t>BATFG202603-0001</t>
  </si>
  <si>
    <t>BATFG202603-0002</t>
  </si>
  <si>
    <t>BATFG202603-0003</t>
  </si>
  <si>
    <t>BATFG202603-0004</t>
  </si>
  <si>
    <t>BATFG202603-0005</t>
  </si>
  <si>
    <t>BATFG202603-0006</t>
  </si>
  <si>
    <t>BATFG202603-0007</t>
  </si>
  <si>
    <t>BATFG202603-0008</t>
  </si>
  <si>
    <t>BATFG202603-0009</t>
  </si>
  <si>
    <t>BATFG202603-0010</t>
  </si>
  <si>
    <t>BATFG202603-0011</t>
  </si>
  <si>
    <t>BATFG202603-0012</t>
  </si>
  <si>
    <t>BATFG202603-0013</t>
  </si>
  <si>
    <t>BATFG202603-0014</t>
  </si>
  <si>
    <t>BATFG202603-0015</t>
  </si>
  <si>
    <t>BATFG202603-0016</t>
  </si>
  <si>
    <t>BATFG202603-0017</t>
  </si>
  <si>
    <t>BATFG202603-0018</t>
  </si>
  <si>
    <t>BATFG202603-0019</t>
  </si>
  <si>
    <t>BATFG202603-0020</t>
  </si>
  <si>
    <t>BATFG202603-0021</t>
  </si>
  <si>
    <t>BATFG202603-0022</t>
  </si>
  <si>
    <t>BATFG202603-0023</t>
  </si>
  <si>
    <t>BATFG202603-0024</t>
  </si>
  <si>
    <t>BATFG202603-0025</t>
  </si>
  <si>
    <t>BATFG202603-0026</t>
  </si>
  <si>
    <t>BATFG202603-0027</t>
  </si>
  <si>
    <t>BATFG202603-0028</t>
  </si>
  <si>
    <t>BATFG202603-0029</t>
  </si>
  <si>
    <t>BATFG202603-0030</t>
  </si>
  <si>
    <t>BATFG202603-0031</t>
  </si>
  <si>
    <t>BATFG202603-0032</t>
  </si>
  <si>
    <t>BATFG202603-0033</t>
  </si>
  <si>
    <t>BATFG202603-0034</t>
  </si>
  <si>
    <t>BATFG202603-0035</t>
  </si>
  <si>
    <t>BATFG202603-0036</t>
  </si>
  <si>
    <t>BATFG202603-0037</t>
  </si>
  <si>
    <t>BATFG202603-0038</t>
  </si>
  <si>
    <t>BATFG202603-0039</t>
  </si>
  <si>
    <t>BATFG202603-0040</t>
  </si>
  <si>
    <t>BATFG202603-0041</t>
  </si>
  <si>
    <t>BATFG202603-0042</t>
  </si>
  <si>
    <t>BATFG202603-0043</t>
  </si>
  <si>
    <t>BATFG202603-0044</t>
  </si>
  <si>
    <t>BATFG202603-0045</t>
  </si>
  <si>
    <t>BATFG202603-0046</t>
  </si>
  <si>
    <t>BATFG202603-0047</t>
  </si>
  <si>
    <t>BATFG202603-0048</t>
  </si>
  <si>
    <t>BATFG202603-0049</t>
  </si>
  <si>
    <t>BATFG202603-0050</t>
  </si>
  <si>
    <t>BATFG202603-0051</t>
  </si>
  <si>
    <t>BATFG202603-0052</t>
  </si>
  <si>
    <t>BATFG202603-0053</t>
  </si>
  <si>
    <t>BATFG202603-0054</t>
  </si>
  <si>
    <t>BATFG202603-0055</t>
  </si>
  <si>
    <t>BATFG202603-0056</t>
  </si>
  <si>
    <t>BATFG202603-0057</t>
  </si>
  <si>
    <t>BATFG202603-0058</t>
  </si>
  <si>
    <t>BATFG202603-0059</t>
  </si>
  <si>
    <t>BATFG202603-0060</t>
  </si>
  <si>
    <t>BATFG202603-0061</t>
  </si>
  <si>
    <t>BATFG202603-0062</t>
  </si>
  <si>
    <t>BATFG202603-0063</t>
  </si>
  <si>
    <t>BATFG202603-0064</t>
  </si>
  <si>
    <t>BATFG202603-0065</t>
  </si>
  <si>
    <t>BATFG202603-0066</t>
  </si>
  <si>
    <t>BATFG202603-0067</t>
  </si>
  <si>
    <t>BATFG202603-0068</t>
  </si>
  <si>
    <t>BATFG202603-0069</t>
  </si>
  <si>
    <t>BATFG202603-0070</t>
  </si>
  <si>
    <t>BATFG202603-0071</t>
  </si>
  <si>
    <t>BATFG202603-0072</t>
  </si>
  <si>
    <t>BATFG202603-0073</t>
  </si>
  <si>
    <t>BATFG202603-0074</t>
  </si>
  <si>
    <t>BATFG202603-0075</t>
  </si>
  <si>
    <t>BATFG202603-0076</t>
  </si>
  <si>
    <t>BATFG202603-0077</t>
  </si>
  <si>
    <t>BATFG202603-0078</t>
  </si>
  <si>
    <t>BATFG202603-0079</t>
  </si>
  <si>
    <t>BATFG202603-0080</t>
  </si>
  <si>
    <t>BATFG202603-0081</t>
  </si>
  <si>
    <t>BATFG202603-0082</t>
  </si>
  <si>
    <t>BATFG202603-0083</t>
  </si>
  <si>
    <t>BATFG202603-0084</t>
  </si>
  <si>
    <t>BATFG202603-0085</t>
  </si>
  <si>
    <t>BATFG202603-0086</t>
  </si>
  <si>
    <t>BATFG202603-0087</t>
  </si>
  <si>
    <t>BATFG202603-0088</t>
  </si>
  <si>
    <t>BATFG202603-0089</t>
  </si>
  <si>
    <t>BATFG202603-0090</t>
  </si>
  <si>
    <t>BATFG202603-0091</t>
  </si>
  <si>
    <t>BATFG202603-0092</t>
  </si>
  <si>
    <t>BATFG202603-0093</t>
  </si>
  <si>
    <t>BATFG202603-0094</t>
  </si>
  <si>
    <t>BATFG202603-0095</t>
  </si>
  <si>
    <t>BATFG202603-0096</t>
  </si>
  <si>
    <t>BATFG202603-0097</t>
  </si>
  <si>
    <t>BATFG202603-0098</t>
  </si>
  <si>
    <t>BATFG202603-0099</t>
  </si>
  <si>
    <t>BATFG202603-0100</t>
  </si>
  <si>
    <t>BATFG202603-0101</t>
  </si>
  <si>
    <t>BATFG202603-0102</t>
  </si>
  <si>
    <t>BATFG202603-0103</t>
  </si>
  <si>
    <t>BATFG202603-0104</t>
  </si>
  <si>
    <t>BATFG202603-0105</t>
  </si>
  <si>
    <t>BATFG202603-0106</t>
  </si>
  <si>
    <t>BATFG202603-0107</t>
  </si>
  <si>
    <t>BATFG202603-0108</t>
  </si>
  <si>
    <t>BATFG202603-0109</t>
  </si>
  <si>
    <t>BATFG202603-0110</t>
  </si>
  <si>
    <t>BATFG202603-0111</t>
  </si>
  <si>
    <t>BATFG202603-0112</t>
  </si>
  <si>
    <t>BATFG202603-0113</t>
  </si>
  <si>
    <t>BATFG202603-0114</t>
  </si>
  <si>
    <t>BATFG202603-0115</t>
  </si>
  <si>
    <t>BATFG202603-0116</t>
  </si>
  <si>
    <t>BATFG202603-0117</t>
  </si>
  <si>
    <t>BATFG202603-0118</t>
  </si>
  <si>
    <t>BATFG202603-0119</t>
  </si>
  <si>
    <t>BATFG202603-0120</t>
  </si>
  <si>
    <t>BATFG202603-0121</t>
  </si>
  <si>
    <t>BATFG202603-0122</t>
  </si>
  <si>
    <t>BATFG202603-0123</t>
  </si>
  <si>
    <t>BATFG202603-0124</t>
  </si>
  <si>
    <t>BATFG202603-0125</t>
  </si>
  <si>
    <t>BATFG202603-0126</t>
  </si>
  <si>
    <t>BATFG202603-0127</t>
  </si>
  <si>
    <t>BATFG202603-0128</t>
  </si>
  <si>
    <t>BATFG202603-0129</t>
  </si>
  <si>
    <t>BATFG202603-0130</t>
  </si>
  <si>
    <t>BATFG202603-0131</t>
  </si>
  <si>
    <t>BATFG202603-0132</t>
  </si>
  <si>
    <t>BATFG202603-0133</t>
  </si>
  <si>
    <t>BATFG202603-0134</t>
  </si>
  <si>
    <t>BATFG202603-0135</t>
  </si>
  <si>
    <t>BATFG202603-0136</t>
  </si>
  <si>
    <t>BATFG202603-0137</t>
  </si>
  <si>
    <t>BATFG202603-0138</t>
  </si>
  <si>
    <t>BATFG202603-0139</t>
  </si>
  <si>
    <t>BATFG202603-0140</t>
  </si>
  <si>
    <t>BATFG202603-0141</t>
  </si>
  <si>
    <t>BATFG202603-0142</t>
  </si>
  <si>
    <t>BATFG202603-0143</t>
  </si>
  <si>
    <t>BATFG202603-0144</t>
  </si>
  <si>
    <t>BATFG202603-0145</t>
  </si>
  <si>
    <t>BATFG202603-0146</t>
  </si>
  <si>
    <t>BATFG202603-0147</t>
  </si>
  <si>
    <t>BATFG202603-0148</t>
  </si>
  <si>
    <t>BATFG202603-0149</t>
  </si>
  <si>
    <t>BATFG202603-0150</t>
  </si>
  <si>
    <t>BATFG202603-0151</t>
  </si>
  <si>
    <t>BATFG202603-0152</t>
  </si>
  <si>
    <t>BATFG202603-0153</t>
  </si>
  <si>
    <t>BATFG202603-0154</t>
  </si>
  <si>
    <t>BATFG202603-0155</t>
  </si>
  <si>
    <t>BATFG202603-0156</t>
  </si>
  <si>
    <t>BATFG202603-0157</t>
  </si>
  <si>
    <t>BATFG202603-0158</t>
  </si>
  <si>
    <t>BATFG202603-0159</t>
  </si>
  <si>
    <t>BATFG202603-0160</t>
  </si>
  <si>
    <t>BATFG202603-0161</t>
  </si>
  <si>
    <t>BATFG202603-0162</t>
  </si>
  <si>
    <t>BATFG202603-0163</t>
  </si>
  <si>
    <t>BATFG202603-0164</t>
  </si>
  <si>
    <t>BATFG202603-0165</t>
  </si>
  <si>
    <t>BATFG202603-0166</t>
  </si>
  <si>
    <t>BATFG202603-0167</t>
  </si>
  <si>
    <t>BATFG202603-0168</t>
  </si>
  <si>
    <t>BATFG202603-0169</t>
  </si>
  <si>
    <t>BATFG202603-0170</t>
  </si>
  <si>
    <t>BATFG202603-0171</t>
  </si>
  <si>
    <t>BATFG202603-0172</t>
  </si>
  <si>
    <t>BATFG202603-0173</t>
  </si>
  <si>
    <t>BATFG202603-0174</t>
  </si>
  <si>
    <t>BATFG202603-0175</t>
  </si>
  <si>
    <t>BATFG202603-0176</t>
  </si>
  <si>
    <t>BATFG202603-0177</t>
  </si>
  <si>
    <t>BATFG202603-0178</t>
  </si>
  <si>
    <t>BATFG202603-0179</t>
  </si>
  <si>
    <t>BATFG202603-0180</t>
  </si>
  <si>
    <t>BATFG202603-0181</t>
  </si>
  <si>
    <t>BATFG202603-0182</t>
  </si>
  <si>
    <t>BATFG202603-0183</t>
  </si>
  <si>
    <t>BATFG202603-0184</t>
  </si>
  <si>
    <t>BATFG202603-0185</t>
  </si>
  <si>
    <t>BATFG202603-0186</t>
  </si>
  <si>
    <t>BATFG202603-0187</t>
  </si>
  <si>
    <t>BATFG202603-0188</t>
  </si>
  <si>
    <t>BATFG202603-0189</t>
  </si>
  <si>
    <t>BATFG202603-0190</t>
  </si>
  <si>
    <t>BATFG202603-0191</t>
  </si>
  <si>
    <t>BATFG202603-0192</t>
  </si>
  <si>
    <t>BATFG202603-0193</t>
  </si>
  <si>
    <t>BATFG202603-0194</t>
  </si>
  <si>
    <t>BATFG202603-0195</t>
  </si>
  <si>
    <t>BATFG202603-0196</t>
  </si>
  <si>
    <t>BATFG202603-0197</t>
  </si>
  <si>
    <t>BATFG202603-0198</t>
  </si>
  <si>
    <t>BATFG202603-0199</t>
  </si>
  <si>
    <t>BATFG202603-0200</t>
  </si>
  <si>
    <t>BATFG202603-0201</t>
  </si>
  <si>
    <t>BATFG202603-0202</t>
  </si>
  <si>
    <t>BATFG202603-0203</t>
  </si>
  <si>
    <t>BATFG202603-0204</t>
  </si>
  <si>
    <t>BATFG202603-0205</t>
  </si>
  <si>
    <t>BATFG202603-0206</t>
  </si>
  <si>
    <t>BATFG202603-0207</t>
  </si>
  <si>
    <t>BATFG202603-0208</t>
  </si>
  <si>
    <t>BATFG202603-0209</t>
  </si>
  <si>
    <t>BATFG202603-0210</t>
  </si>
  <si>
    <t>BATFG202603-0211</t>
  </si>
  <si>
    <t>BATFG202603-0212</t>
  </si>
  <si>
    <t>BATFG202603-0213</t>
  </si>
  <si>
    <t>BATFG202603-0214</t>
  </si>
  <si>
    <t>BATFG202603-0215</t>
  </si>
  <si>
    <t>BATFG202603-0216</t>
  </si>
  <si>
    <t>BATFG202603-0217</t>
  </si>
  <si>
    <t>BATFG202603-0218</t>
  </si>
  <si>
    <t>BATFG202603-0219</t>
  </si>
  <si>
    <t>BATFG202603-0220</t>
  </si>
  <si>
    <t>BATFG202603-0221</t>
  </si>
  <si>
    <t>BATFG202603-0222</t>
  </si>
  <si>
    <t>BATFG202603-0223</t>
  </si>
  <si>
    <t>BATFG202603-0224</t>
  </si>
  <si>
    <t>BATFG202603-0225</t>
  </si>
  <si>
    <t>BATFG202603-0226</t>
  </si>
  <si>
    <t>BATFG202603-0227</t>
  </si>
  <si>
    <t>BATFG202603-0228</t>
  </si>
  <si>
    <t>BATFG202603-0229</t>
  </si>
  <si>
    <t>BATFG202603-0230</t>
  </si>
  <si>
    <t>BATFG202603-0231</t>
  </si>
  <si>
    <t>BATFG202603-0232</t>
  </si>
  <si>
    <t>BATFG202603-0233</t>
  </si>
  <si>
    <t>BATFG202603-0234</t>
  </si>
  <si>
    <t>BATFG202603-0235</t>
  </si>
  <si>
    <t>BATFG202603-0236</t>
  </si>
  <si>
    <t>BATFG202603-0237</t>
  </si>
  <si>
    <t>BATFG202603-0238</t>
  </si>
  <si>
    <t>BATFG202603-0239</t>
  </si>
  <si>
    <t>BATFG202603-0240</t>
  </si>
  <si>
    <t>BATFG202603-0241</t>
  </si>
  <si>
    <t>BATFG202603-0242</t>
  </si>
  <si>
    <t>BATFG202603-0243</t>
  </si>
  <si>
    <t>BATFG202603-0244</t>
  </si>
  <si>
    <t>BATFG202603-0245</t>
  </si>
  <si>
    <t>BATFG202603-0246</t>
  </si>
  <si>
    <t>BATFG202603-0247</t>
  </si>
  <si>
    <t>BATFG202603-0248</t>
  </si>
  <si>
    <t>BATFG202603-0249</t>
  </si>
  <si>
    <t>BATFG202603-0250</t>
  </si>
  <si>
    <t>BATFG202603-0251</t>
  </si>
  <si>
    <t>BATFG202603-0252</t>
  </si>
  <si>
    <t>BATFG202603-0253</t>
  </si>
  <si>
    <t>BATFG202603-0254</t>
  </si>
  <si>
    <t>BATFG202603-0255</t>
  </si>
  <si>
    <t>BATFG202603-0256</t>
  </si>
  <si>
    <t>BATFG202603-0257</t>
  </si>
  <si>
    <t>BATFG202603-0258</t>
  </si>
  <si>
    <t>BATFG202603-0259</t>
  </si>
  <si>
    <t>BATFG202603-0260</t>
  </si>
  <si>
    <t>BATFG202603-0261</t>
  </si>
  <si>
    <t>BATFG202603-0262</t>
  </si>
  <si>
    <t>BATFG202603-0263</t>
  </si>
  <si>
    <t>BATFG202603-0264</t>
  </si>
  <si>
    <t>BATFG202603-0265</t>
  </si>
  <si>
    <t>BATFG202603-0266</t>
  </si>
  <si>
    <t>BATFG202603-0267</t>
  </si>
  <si>
    <t>BATFG202603-0268</t>
  </si>
  <si>
    <t>BATFG202603-0269</t>
  </si>
  <si>
    <t>BATFG202603-0270</t>
  </si>
  <si>
    <t>BATFG202603-0271</t>
  </si>
  <si>
    <t>BATFG202603-0272</t>
  </si>
  <si>
    <t>BATFG202603-0273</t>
  </si>
  <si>
    <t>BATFG202603-0274</t>
  </si>
  <si>
    <t>BATFG202603-0275</t>
  </si>
  <si>
    <t>BATFG202603-0276</t>
  </si>
  <si>
    <t>BATFG202603-0277</t>
  </si>
  <si>
    <t>BATFG202603-0278</t>
  </si>
  <si>
    <t>BATFG202603-0279</t>
  </si>
  <si>
    <t>BATFG202603-0280</t>
  </si>
  <si>
    <t>BATFG202603-0281</t>
  </si>
  <si>
    <t>BATFG202603-0282</t>
  </si>
  <si>
    <t>BATFG202603-0283</t>
  </si>
  <si>
    <t>BATFG202603-0284</t>
  </si>
  <si>
    <t>BATFG202603-0285</t>
  </si>
  <si>
    <t>BATFG202603-0286</t>
  </si>
  <si>
    <t>BATFG202603-0287</t>
  </si>
  <si>
    <t>BATFG202603-0288</t>
  </si>
  <si>
    <t>BATFG202603-0289</t>
  </si>
  <si>
    <t>BATFG202603-0290</t>
  </si>
  <si>
    <t>BATFG202603-0291</t>
  </si>
  <si>
    <t>BATFG202603-0292</t>
  </si>
  <si>
    <t>BATFG202603-0293</t>
  </si>
  <si>
    <t>BATFG202603-0294</t>
  </si>
  <si>
    <t>BATFG202603-0295</t>
  </si>
  <si>
    <t>BATFG202603-0296</t>
  </si>
  <si>
    <t>BATFG202603-0297</t>
  </si>
  <si>
    <t>BATFG202603-0298</t>
  </si>
  <si>
    <t>BATFG202603-0299</t>
  </si>
  <si>
    <t>BATFG202603-0300</t>
  </si>
  <si>
    <t>BATFG202603-0301</t>
  </si>
  <si>
    <t>BATFG202603-0302</t>
  </si>
  <si>
    <t>BATFG202603-0303</t>
  </si>
  <si>
    <t>BATFG202603-0304</t>
  </si>
  <si>
    <t>BATFG202603-0305</t>
  </si>
  <si>
    <t>BATFG202603-0306</t>
  </si>
  <si>
    <t>BATFG202603-0307</t>
  </si>
  <si>
    <t>BATFG202603-0308</t>
  </si>
  <si>
    <t>BATFG202603-0309</t>
  </si>
  <si>
    <t>BATFG202603-0310</t>
  </si>
  <si>
    <t>BATFG202603-0311</t>
  </si>
  <si>
    <t>BATFG202603-0312</t>
  </si>
  <si>
    <t>BATFG202603-0313</t>
  </si>
  <si>
    <t>BATFG202603-0314</t>
  </si>
  <si>
    <t>BATFG202603-0315</t>
  </si>
  <si>
    <t>BATFG202603-0316</t>
  </si>
  <si>
    <t>BATFG202603-0317</t>
  </si>
  <si>
    <t>BATFG202603-0318</t>
  </si>
  <si>
    <t>BATFG202603-0319</t>
  </si>
  <si>
    <t>BATFG202603-0320</t>
  </si>
  <si>
    <t>BATFG202603-0321</t>
  </si>
  <si>
    <t>BATFG202603-0322</t>
  </si>
  <si>
    <t>BATFG202603-0323</t>
  </si>
  <si>
    <t>BATFG202603-0324</t>
  </si>
  <si>
    <t>BATFG202603-0325</t>
  </si>
  <si>
    <t>BATFG202603-0326</t>
  </si>
  <si>
    <t>BATFG202603-0327</t>
  </si>
  <si>
    <t>BATFG202603-0328</t>
  </si>
  <si>
    <t>BATFG202603-0329</t>
  </si>
  <si>
    <t>BATFG202603-0330</t>
  </si>
  <si>
    <t>BATFG202603-0331</t>
  </si>
  <si>
    <t>BATFG202603-0332</t>
  </si>
  <si>
    <t>BATFG202603-0333</t>
  </si>
  <si>
    <t>BATFG202603-0334</t>
  </si>
  <si>
    <t>BATFG202603-0335</t>
  </si>
  <si>
    <t>BATFG202603-0336</t>
  </si>
  <si>
    <t>BATFG202603-0337</t>
  </si>
  <si>
    <t>BATFG202603-0338</t>
  </si>
  <si>
    <t>BATFG202603-0339</t>
  </si>
  <si>
    <t>BATFG202603-0340</t>
  </si>
  <si>
    <t>BATFG202603-0341</t>
  </si>
  <si>
    <t>BATFG202603-0342</t>
  </si>
  <si>
    <t>BATFG202603-0343</t>
  </si>
  <si>
    <t>BATFG202603-0344</t>
  </si>
  <si>
    <t>BATFG202603-0345</t>
  </si>
  <si>
    <t>BATFG202603-0346</t>
  </si>
  <si>
    <t>BATFG202603-0347</t>
  </si>
  <si>
    <t>BATFG202603-0348</t>
  </si>
  <si>
    <t>BATFG202603-0349</t>
  </si>
  <si>
    <t>BATFG202603-0350</t>
  </si>
  <si>
    <t>BATFG202603-0351</t>
  </si>
  <si>
    <t>BATFG202603-0352</t>
  </si>
  <si>
    <t>BATFG202603-0353</t>
  </si>
  <si>
    <t>BATFG202603-0354</t>
  </si>
  <si>
    <t>BATFG202603-0355</t>
  </si>
  <si>
    <t>BATFG202603-0356</t>
  </si>
  <si>
    <t>BATFG202603-0357</t>
  </si>
  <si>
    <t>BATFG202603-0358</t>
  </si>
  <si>
    <t>BATFG202603-0359</t>
  </si>
  <si>
    <t>BATFG202603-0360</t>
  </si>
  <si>
    <t>BATFG202603-0361</t>
  </si>
  <si>
    <t>BATFG202603-0362</t>
  </si>
  <si>
    <t>BATFG202603-0363</t>
  </si>
  <si>
    <t>BATFG202603-0364</t>
  </si>
  <si>
    <t>BATFG202603-0365</t>
  </si>
  <si>
    <t>BATFG202603-0366</t>
  </si>
  <si>
    <t>BATFG202603-0367</t>
  </si>
  <si>
    <t>BATFG202603-0368</t>
  </si>
  <si>
    <t>BATFG202603-0369</t>
  </si>
  <si>
    <t>BATFG202603-0370</t>
  </si>
  <si>
    <t>BATFG202603-0371</t>
  </si>
  <si>
    <t>BATFG202603-0372</t>
  </si>
  <si>
    <t>BATFG202603-0373</t>
  </si>
  <si>
    <t>BATFG202603-0374</t>
  </si>
  <si>
    <t>BATFG202603-0375</t>
  </si>
  <si>
    <t>BATFG202603-0376</t>
  </si>
  <si>
    <t>BATFG202603-0377</t>
  </si>
  <si>
    <t>BATFG202603-0378</t>
  </si>
  <si>
    <t>BATFG202603-0379</t>
  </si>
  <si>
    <t>BATFG202603-0380</t>
  </si>
  <si>
    <t>BATFG202603-0381</t>
  </si>
  <si>
    <t>BATFG202603-0382</t>
  </si>
  <si>
    <t>BATFG202603-0383</t>
  </si>
  <si>
    <t>BATFG202603-0384</t>
  </si>
  <si>
    <t>BATFG202603-0385</t>
  </si>
  <si>
    <t>BATFG202603-0386</t>
  </si>
  <si>
    <t>BATFG202603-0387</t>
  </si>
  <si>
    <t>BATFG202603-0388</t>
  </si>
  <si>
    <t>BATFG202603-0389</t>
  </si>
  <si>
    <t>BATFG202603-0390</t>
  </si>
  <si>
    <t>BATFG202603-0391</t>
  </si>
  <si>
    <t>BATFG202603-0392</t>
  </si>
  <si>
    <t>BATFG202603-0393</t>
  </si>
  <si>
    <t>BATFG202603-0394</t>
  </si>
  <si>
    <t>BATFG202603-0395</t>
  </si>
  <si>
    <t>BATFG202603-0396</t>
  </si>
  <si>
    <t>BATFG202603-0397</t>
  </si>
  <si>
    <t>BATFG202603-0398</t>
  </si>
  <si>
    <t>BATFG202603-0399</t>
  </si>
  <si>
    <t>BATFG202603-0400</t>
  </si>
  <si>
    <t>BATRW202603-0001</t>
  </si>
  <si>
    <t>BATRW202603-0002</t>
  </si>
  <si>
    <t>BATRW202603-0003</t>
  </si>
  <si>
    <t>BATRW202603-0004</t>
  </si>
  <si>
    <t>BATRW202603-0005</t>
  </si>
  <si>
    <t>BATRW202603-0006</t>
  </si>
  <si>
    <t>BATRW202603-0007</t>
  </si>
  <si>
    <t>BATRW202603-0008</t>
  </si>
  <si>
    <t>BATRW202603-0009</t>
  </si>
  <si>
    <t>BATRW202603-0010</t>
  </si>
  <si>
    <t>BATRW202603-0011</t>
  </si>
  <si>
    <t>BATRW202603-0012</t>
  </si>
  <si>
    <t>BATRW202603-0013</t>
  </si>
  <si>
    <t>BATRW202603-0014</t>
  </si>
  <si>
    <t>BATRW202603-0015</t>
  </si>
  <si>
    <t>BATRW202603-0016</t>
  </si>
  <si>
    <t>BATRW202603-0017</t>
  </si>
  <si>
    <t>BATRW202603-0018</t>
  </si>
  <si>
    <t>BATRW202603-0019</t>
  </si>
  <si>
    <t>BATRW202603-0020</t>
  </si>
  <si>
    <t>BATRW202603-0021</t>
  </si>
  <si>
    <t>BATRW202603-0022</t>
  </si>
  <si>
    <t>BATRW202603-0023</t>
  </si>
  <si>
    <t>BATRW202603-0024</t>
  </si>
  <si>
    <t>BATRW202603-0025</t>
  </si>
  <si>
    <t>BATRW202603-0026</t>
  </si>
  <si>
    <t>BATRW202603-0027</t>
  </si>
  <si>
    <t>BATRW202603-0028</t>
  </si>
  <si>
    <t>BATRW202603-0029</t>
  </si>
  <si>
    <t>BATRW202603-0030</t>
  </si>
  <si>
    <t>BATRW202603-0031</t>
  </si>
  <si>
    <t>BATRW202603-0032</t>
  </si>
  <si>
    <t>BATRW202603-0033</t>
  </si>
  <si>
    <t>BATRW202603-0034</t>
  </si>
  <si>
    <t>BATRW202603-0035</t>
  </si>
  <si>
    <t>BATRW202603-0036</t>
  </si>
  <si>
    <t>BATRW202603-0037</t>
  </si>
  <si>
    <t>BATRW202603-0038</t>
  </si>
  <si>
    <t>BATRW202603-0039</t>
  </si>
  <si>
    <t>BATRW202603-0040</t>
  </si>
  <si>
    <t>BATRW202603-0041</t>
  </si>
  <si>
    <t>BATRW202603-0042</t>
  </si>
  <si>
    <t>BATRW202603-0043</t>
  </si>
  <si>
    <t>BATRW202603-0044</t>
  </si>
  <si>
    <t>BATRW202603-0045</t>
  </si>
  <si>
    <t>BATRW202603-0046</t>
  </si>
  <si>
    <t>BATRW202603-0047</t>
  </si>
  <si>
    <t>BATRW202603-0048</t>
  </si>
  <si>
    <t>BATRW202603-0049</t>
  </si>
  <si>
    <t>BATRW202603-0050</t>
  </si>
  <si>
    <t>BATRW202603-0051</t>
  </si>
  <si>
    <t>BATRW202603-0052</t>
  </si>
  <si>
    <t>BATRW202603-0053</t>
  </si>
  <si>
    <t>BATRW202603-0054</t>
  </si>
  <si>
    <t>BATRW202603-0055</t>
  </si>
  <si>
    <t>BATRW202603-0056</t>
  </si>
  <si>
    <t>BATRW202603-0057</t>
  </si>
  <si>
    <t>BATRW202603-0058</t>
  </si>
  <si>
    <t>BATRW202603-0059</t>
  </si>
  <si>
    <t>BATRW202603-0060</t>
  </si>
  <si>
    <t>BATRW202603-0061</t>
  </si>
  <si>
    <t>BATRW202603-0062</t>
  </si>
  <si>
    <t>BATRW202603-0063</t>
  </si>
  <si>
    <t>BATRW202603-0064</t>
  </si>
  <si>
    <t>BATRW202603-0065</t>
  </si>
  <si>
    <t>BATRW202603-0066</t>
  </si>
  <si>
    <t>BATRW202603-0067</t>
  </si>
  <si>
    <t>BATRW202603-0068</t>
  </si>
  <si>
    <t>BATRW202603-0069</t>
  </si>
  <si>
    <t>BATRW202603-0070</t>
  </si>
  <si>
    <t>BATRW202603-0071</t>
  </si>
  <si>
    <t>BATRW202603-0072</t>
  </si>
  <si>
    <t>BATRW202603-0073</t>
  </si>
  <si>
    <t>BATRW202603-0074</t>
  </si>
  <si>
    <t>BATRW202603-0075</t>
  </si>
  <si>
    <t>BATRW202603-0076</t>
  </si>
  <si>
    <t>BATRW202603-0077</t>
  </si>
  <si>
    <t>BATRW202603-0078</t>
  </si>
  <si>
    <t>BATRW202603-0079</t>
  </si>
  <si>
    <t>BATRW202603-0080</t>
  </si>
  <si>
    <t>BATRW202603-0081</t>
  </si>
  <si>
    <t>BATRW202603-0082</t>
  </si>
  <si>
    <t>BATRW202603-0083</t>
  </si>
  <si>
    <t>BATRW202603-0084</t>
  </si>
  <si>
    <t>BATRW202603-0085</t>
  </si>
  <si>
    <t>BATRW202603-0086</t>
  </si>
  <si>
    <t>BATRW202603-0087</t>
  </si>
  <si>
    <t>BATRW202603-0088</t>
  </si>
  <si>
    <t>BATRW202603-0089</t>
  </si>
  <si>
    <t>BATRW202603-0090</t>
  </si>
  <si>
    <t>BATRW202603-0091</t>
  </si>
  <si>
    <t>BATRW202603-0092</t>
  </si>
  <si>
    <t>BATRW202603-0093</t>
  </si>
  <si>
    <t>BATRW202603-0094</t>
  </si>
  <si>
    <t>BATRW202603-0095</t>
  </si>
  <si>
    <t>BATRW202603-0096</t>
  </si>
  <si>
    <t>BATRW202603-0097</t>
  </si>
  <si>
    <t>BATRW202603-0098</t>
  </si>
  <si>
    <t>BATRW202603-0099</t>
  </si>
  <si>
    <t>BATRW202603-0100</t>
  </si>
  <si>
    <t>node_id (Primary Key)</t>
  </si>
  <si>
    <t>node_name</t>
  </si>
  <si>
    <t>node_type</t>
  </si>
  <si>
    <t>operator</t>
  </si>
  <si>
    <t>pack_supported</t>
  </si>
  <si>
    <t>families_supported</t>
  </si>
  <si>
    <t>dg_classes_supported</t>
  </si>
  <si>
    <t>licenses</t>
  </si>
  <si>
    <t>docs_capability</t>
  </si>
  <si>
    <t>capacity_kl</t>
  </si>
  <si>
    <t>pallet_positions</t>
  </si>
  <si>
    <t>throughput_tpm</t>
  </si>
  <si>
    <t>Rotterdam Tank Terminal</t>
  </si>
  <si>
    <t>Tank Terminal</t>
  </si>
  <si>
    <t>Vopak (illustrative)</t>
  </si>
  <si>
    <t>3,8</t>
  </si>
  <si>
    <t>ADR,IMDG,Seveso</t>
  </si>
  <si>
    <t>SDS,COA,REACH,BL</t>
  </si>
  <si>
    <t>EU hub terminal; IMO-ready lanes; illustrative</t>
  </si>
  <si>
    <t>Antwerp Chemical Tank Farm</t>
  </si>
  <si>
    <t>ADPO (illustrative)</t>
  </si>
  <si>
    <t>SDS,COA,REACH,CMR</t>
  </si>
  <si>
    <t>Benelux distribution; customs brokerage supported; illustrative</t>
  </si>
  <si>
    <t>Genoa Port Tank Terminal</t>
  </si>
  <si>
    <t>Genoa</t>
  </si>
  <si>
    <t>PSA (illustrative)</t>
  </si>
  <si>
    <t>ADR,IMDG</t>
  </si>
  <si>
    <t>SDS,COA,BL</t>
  </si>
  <si>
    <t>Mediterranean hub; coastal feeder connectivity; illustrative</t>
  </si>
  <si>
    <t>WH_EU_DEU_HAM</t>
  </si>
  <si>
    <t>Hamburg Chemical Warehouse</t>
  </si>
  <si>
    <t>Warehouse</t>
  </si>
  <si>
    <t>Hamburg</t>
  </si>
  <si>
    <t>Kuehne+Nagel (illustrative)</t>
  </si>
  <si>
    <t>DR200_UN,DR200,IBC1KL,BAG25</t>
  </si>
  <si>
    <t>ACETYL,ARYLIDE,FLUORO</t>
  </si>
  <si>
    <t>3,6.1,8</t>
  </si>
  <si>
    <t>EU inland consolidation; DG segregation; illustrative</t>
  </si>
  <si>
    <t>JNPT / Nhava Sheva CFS</t>
  </si>
  <si>
    <t>Port/CFS</t>
  </si>
  <si>
    <t>Navi Mumbai</t>
  </si>
  <si>
    <t>DP World CFS (illustrative)</t>
  </si>
  <si>
    <t>Yard/Warehouse</t>
  </si>
  <si>
    <t>ISO20,DR200_UN,DR200,IBC1KL,BAG25,BULK</t>
  </si>
  <si>
    <t>Customs Bonded,CFS License</t>
  </si>
  <si>
    <t>SDS,COA,Invoice,Packing List,BL</t>
  </si>
  <si>
    <t>Export stuffing/de-stuffing; bonded operations; illustrative</t>
  </si>
  <si>
    <t>Bhiwandi Distribution Center</t>
  </si>
  <si>
    <t>Bhiwandi</t>
  </si>
  <si>
    <t>3PL West (illustrative)</t>
  </si>
  <si>
    <t>State Warehouse License,PESO (DG)</t>
  </si>
  <si>
    <t>Mumbai metro servicing; cross-dock to customers; illustrative</t>
  </si>
  <si>
    <t>Ahmedabad Chemicals Warehouse</t>
  </si>
  <si>
    <t>3PL Gujarat (illustrative)</t>
  </si>
  <si>
    <t>State Warehouse License</t>
  </si>
  <si>
    <t>Gujarat industrial belt coverage; DG compliant bays; illustrative</t>
  </si>
  <si>
    <t>Hyderabad Regional Warehouse</t>
  </si>
  <si>
    <t>3PL South (illustrative)</t>
  </si>
  <si>
    <t>DR200,IBC1KL,BAG25</t>
  </si>
  <si>
    <t>South India servicing; powder and liquid zones; illustrative</t>
  </si>
  <si>
    <t>Bhiwadi/Gurgaon Logistics Hub</t>
  </si>
  <si>
    <t>Bhiwadi</t>
  </si>
  <si>
    <t>3PL North (illustrative)</t>
  </si>
  <si>
    <t>ACETYL,ARYLIDE</t>
  </si>
  <si>
    <t>NCR coverage; faster deliveries to North customers; illustrative</t>
  </si>
  <si>
    <t>WH_IN_EAST_KOL</t>
  </si>
  <si>
    <t>Kolkata Warehouse (East)</t>
  </si>
  <si>
    <t>3PL East (illustrative)</t>
  </si>
  <si>
    <t>Eastern corridor support; port-adjacent distribution; illustrative</t>
  </si>
  <si>
    <t>US East Warehouse (New Jersey)</t>
  </si>
  <si>
    <t>Newark, NJ</t>
  </si>
  <si>
    <t>3PL US East (illustrative)</t>
  </si>
  <si>
    <t>DR200_UN,DR200,IBC1KL</t>
  </si>
  <si>
    <t>DOT HazMat,OSHA</t>
  </si>
  <si>
    <t>SDS,COA,Commercial Invoice,US customs docs</t>
  </si>
  <si>
    <t>East coast import distribution; HazMat compliant; illustrative</t>
  </si>
  <si>
    <t>US Midwest Warehouse (Chicago)</t>
  </si>
  <si>
    <t>Chicago, IL</t>
  </si>
  <si>
    <t>3PL US Midwest (illustrative)</t>
  </si>
  <si>
    <t>SDS,COA,US inland POD</t>
  </si>
  <si>
    <t>Midwest coverage; LTL-friendly operations; illustrative</t>
  </si>
  <si>
    <t>Sharjah Bonded Warehouse</t>
  </si>
  <si>
    <t>Bonded Warehouse</t>
  </si>
  <si>
    <t>Freezone Operator (illustrative)</t>
  </si>
  <si>
    <t>DR200_UN,IBC1KL,BAG25</t>
  </si>
  <si>
    <t>FTZ Bonded,Customs</t>
  </si>
  <si>
    <t>SDS,COA,Invoice,Packing List</t>
  </si>
  <si>
    <t>GCC re-export node; LC/documentation support; illustrative</t>
  </si>
  <si>
    <t>WH_CHN_SHA</t>
  </si>
  <si>
    <t>Shanghai Chemical Warehouse</t>
  </si>
  <si>
    <t>3PL China (illustrative)</t>
  </si>
  <si>
    <t>ACETYL,FLUORO</t>
  </si>
  <si>
    <t>China DG Warehouse License</t>
  </si>
  <si>
    <t>SDS,COA,CIQ/Customs docs</t>
  </si>
  <si>
    <t>China distribution; local DG compliance; illustrative</t>
  </si>
  <si>
    <t>bin_id (Primary Key)</t>
  </si>
  <si>
    <t>node_id (FK)</t>
  </si>
  <si>
    <t>zone</t>
  </si>
  <si>
    <t>aisle</t>
  </si>
  <si>
    <t>rack</t>
  </si>
  <si>
    <t>level</t>
  </si>
  <si>
    <t>position</t>
  </si>
  <si>
    <t>bin_type</t>
  </si>
  <si>
    <t>families_allowed</t>
  </si>
  <si>
    <t>dg_allowed</t>
  </si>
  <si>
    <t>temp_control</t>
  </si>
  <si>
    <t>max_units</t>
  </si>
  <si>
    <t>max_weight_kg</t>
  </si>
  <si>
    <t>segregation_class</t>
  </si>
  <si>
    <t>TNK_EUR_RTM_TB01</t>
  </si>
  <si>
    <t>TANK</t>
  </si>
  <si>
    <t>-</t>
  </si>
  <si>
    <t>TANK_BAY</t>
  </si>
  <si>
    <t>DG per IMDG (Bulk)</t>
  </si>
  <si>
    <t>DG_Bulk</t>
  </si>
  <si>
    <t>Tank bay (bulk liquids); illustrative</t>
  </si>
  <si>
    <t>TNK_EUR_RTM_TB02</t>
  </si>
  <si>
    <t>TNK_EUR_RTM_TB03</t>
  </si>
  <si>
    <t>TNK_EUR_RTM_TB04</t>
  </si>
  <si>
    <t>TNK_EUR_RTM_TB05</t>
  </si>
  <si>
    <t>TNK_EUR_RTM_TB06</t>
  </si>
  <si>
    <t>TNK_EUR_RTM_TB07</t>
  </si>
  <si>
    <t>TNK_EUR_RTM_TB08</t>
  </si>
  <si>
    <t>TNK_EUR_RTM_DZ-A-01</t>
  </si>
  <si>
    <t>DRUM</t>
  </si>
  <si>
    <t>R01</t>
  </si>
  <si>
    <t>PALLET_SLOT</t>
  </si>
  <si>
    <t>Flammable Liquids; Corrosive; DG per IMDG</t>
  </si>
  <si>
    <t>DG_Pallet</t>
  </si>
  <si>
    <t>DG pallet slot (drums/IBCs); illustrative</t>
  </si>
  <si>
    <t>TNK_EUR_RTM_DZ-A-02</t>
  </si>
  <si>
    <t>TNK_EUR_RTM_DZ-A-03</t>
  </si>
  <si>
    <t>TNK_EUR_RTM_DZ-A-04</t>
  </si>
  <si>
    <t>TNK_EUR_RTM_DZ-A-05</t>
  </si>
  <si>
    <t>R02</t>
  </si>
  <si>
    <t>TNK_EUR_RTM_DZ-A-06</t>
  </si>
  <si>
    <t>TNK_EUR_RTM_DZ-A-07</t>
  </si>
  <si>
    <t>TNK_EUR_RTM_DZ-A-08</t>
  </si>
  <si>
    <t>TNK_EUR_RTM_DZ-A-09</t>
  </si>
  <si>
    <t>R03</t>
  </si>
  <si>
    <t>TNK_EUR_RTM_DZ-A-10</t>
  </si>
  <si>
    <t>TNK_EUR_RTM_DZ-B-01</t>
  </si>
  <si>
    <t>TNK_EUR_RTM_DZ-B-02</t>
  </si>
  <si>
    <t>TNK_EUR_RTM_DZ-B-03</t>
  </si>
  <si>
    <t>TNK_EUR_RTM_DZ-B-04</t>
  </si>
  <si>
    <t>TNK_EUR_RTM_DZ-B-05</t>
  </si>
  <si>
    <t>TNK_EUR_RTM_DZ-B-06</t>
  </si>
  <si>
    <t>TNK_EUR_RTM_DZ-B-07</t>
  </si>
  <si>
    <t>TNK_EUR_RTM_DZ-B-08</t>
  </si>
  <si>
    <t>TNK_EUR_RTM_DZ-B-09</t>
  </si>
  <si>
    <t>TNK_EUR_RTM_DZ-B-10</t>
  </si>
  <si>
    <t>TNK_EUR_RTM_DZ-C-01</t>
  </si>
  <si>
    <t>TNK_EUR_RTM_DZ-C-02</t>
  </si>
  <si>
    <t>TNK_EUR_RTM_DZ-C-03</t>
  </si>
  <si>
    <t>TNK_EUR_RTM_DZ-C-04</t>
  </si>
  <si>
    <t>TNK_EUR_RTM_DZ-C-05</t>
  </si>
  <si>
    <t>TNK_EUR_RTM_DZ-C-06</t>
  </si>
  <si>
    <t>TNK_EUR_RTM_DZ-C-07</t>
  </si>
  <si>
    <t>TNK_EUR_RTM_DZ-C-08</t>
  </si>
  <si>
    <t>TNK_EUR_RTM_DZ-C-09</t>
  </si>
  <si>
    <t>TNK_EUR_RTM_DZ-C-10</t>
  </si>
  <si>
    <t>TNK_EUR_RTM_DZ-D-01</t>
  </si>
  <si>
    <t>D</t>
  </si>
  <si>
    <t>TNK_EUR_RTM_DZ-D-02</t>
  </si>
  <si>
    <t>TNK_EUR_RTM_DZ-D-03</t>
  </si>
  <si>
    <t>TNK_EUR_RTM_DZ-D-04</t>
  </si>
  <si>
    <t>TNK_EUR_RTM_DZ-D-05</t>
  </si>
  <si>
    <t>TNK_EUR_RTM_DZ-D-06</t>
  </si>
  <si>
    <t>TNK_EUR_RTM_DZ-D-07</t>
  </si>
  <si>
    <t>TNK_EUR_RTM_DZ-D-08</t>
  </si>
  <si>
    <t>TNK_EUR_RTM_DZ-D-09</t>
  </si>
  <si>
    <t>TNK_EUR_RTM_DZ-D-10</t>
  </si>
  <si>
    <t>TNK_EUR_RTM_BZ-A-01</t>
  </si>
  <si>
    <t>BAG</t>
  </si>
  <si>
    <t>Dust/Combustible; DG per IMDG (as applicable)</t>
  </si>
  <si>
    <t>SOLID_BAG</t>
  </si>
  <si>
    <t>Pallet slot for bags/solids; illustrative</t>
  </si>
  <si>
    <t>TNK_EUR_RTM_BZ-A-02</t>
  </si>
  <si>
    <t>TNK_EUR_RTM_BZ-A-03</t>
  </si>
  <si>
    <t>TNK_EUR_RTM_BZ-A-04</t>
  </si>
  <si>
    <t>TNK_EUR_RTM_BZ-A-05</t>
  </si>
  <si>
    <t>TNK_EUR_RTM_BZ-A-06</t>
  </si>
  <si>
    <t>TNK_EUR_RTM_BZ-A-07</t>
  </si>
  <si>
    <t>TNK_EUR_RTM_BZ-A-08</t>
  </si>
  <si>
    <t>TNK_EUR_RTM_BZ-A-09</t>
  </si>
  <si>
    <t>TNK_EUR_RTM_BZ-A-10</t>
  </si>
  <si>
    <t>TNK_EUR_RTM_BZ-B-01</t>
  </si>
  <si>
    <t>TNK_EUR_RTM_BZ-B-02</t>
  </si>
  <si>
    <t>TNK_EUR_RTM_BZ-B-03</t>
  </si>
  <si>
    <t>TNK_EUR_RTM_BZ-B-04</t>
  </si>
  <si>
    <t>TNK_EUR_RTM_BZ-B-05</t>
  </si>
  <si>
    <t>TNK_EUR_RTM_BZ-B-06</t>
  </si>
  <si>
    <t>TNK_EUR_RTM_BZ-B-07</t>
  </si>
  <si>
    <t>TNK_EUR_RTM_BZ-B-08</t>
  </si>
  <si>
    <t>TNK_EUR_RTM_BZ-B-09</t>
  </si>
  <si>
    <t>TNK_EUR_RTM_BZ-B-10</t>
  </si>
  <si>
    <t>TNK_EUR_ANT_TB01</t>
  </si>
  <si>
    <t>TNK_EUR_ANT_TB02</t>
  </si>
  <si>
    <t>TNK_EUR_ANT_TB03</t>
  </si>
  <si>
    <t>TNK_EUR_ANT_TB04</t>
  </si>
  <si>
    <t>TNK_EUR_ANT_TB05</t>
  </si>
  <si>
    <t>TNK_EUR_ANT_TB06</t>
  </si>
  <si>
    <t>TNK_EUR_ANT_TB07</t>
  </si>
  <si>
    <t>TNK_EUR_ANT_TB08</t>
  </si>
  <si>
    <t>TNK_EUR_ANT_DZ-A-01</t>
  </si>
  <si>
    <t>TNK_EUR_ANT_DZ-A-02</t>
  </si>
  <si>
    <t>TNK_EUR_ANT_DZ-A-03</t>
  </si>
  <si>
    <t>TNK_EUR_ANT_DZ-A-04</t>
  </si>
  <si>
    <t>TNK_EUR_ANT_DZ-A-05</t>
  </si>
  <si>
    <t>TNK_EUR_ANT_DZ-A-06</t>
  </si>
  <si>
    <t>TNK_EUR_ANT_DZ-A-07</t>
  </si>
  <si>
    <t>TNK_EUR_ANT_DZ-A-08</t>
  </si>
  <si>
    <t>TNK_EUR_ANT_DZ-A-09</t>
  </si>
  <si>
    <t>TNK_EUR_ANT_DZ-A-10</t>
  </si>
  <si>
    <t>TNK_EUR_ANT_DZ-B-01</t>
  </si>
  <si>
    <t>TNK_EUR_ANT_DZ-B-02</t>
  </si>
  <si>
    <t>TNK_EUR_ANT_DZ-B-03</t>
  </si>
  <si>
    <t>TNK_EUR_ANT_DZ-B-04</t>
  </si>
  <si>
    <t>TNK_EUR_ANT_DZ-B-05</t>
  </si>
  <si>
    <t>TNK_EUR_ANT_DZ-B-06</t>
  </si>
  <si>
    <t>TNK_EUR_ANT_DZ-B-07</t>
  </si>
  <si>
    <t>TNK_EUR_ANT_DZ-B-08</t>
  </si>
  <si>
    <t>TNK_EUR_ANT_DZ-B-09</t>
  </si>
  <si>
    <t>TNK_EUR_ANT_DZ-B-10</t>
  </si>
  <si>
    <t>TNK_EUR_ANT_DZ-C-01</t>
  </si>
  <si>
    <t>TNK_EUR_ANT_DZ-C-02</t>
  </si>
  <si>
    <t>TNK_EUR_ANT_DZ-C-03</t>
  </si>
  <si>
    <t>TNK_EUR_ANT_DZ-C-04</t>
  </si>
  <si>
    <t>TNK_EUR_ANT_DZ-C-05</t>
  </si>
  <si>
    <t>TNK_EUR_ANT_DZ-C-06</t>
  </si>
  <si>
    <t>TNK_EUR_ANT_DZ-C-07</t>
  </si>
  <si>
    <t>TNK_EUR_ANT_DZ-C-08</t>
  </si>
  <si>
    <t>TNK_EUR_ANT_DZ-C-09</t>
  </si>
  <si>
    <t>TNK_EUR_ANT_DZ-C-10</t>
  </si>
  <si>
    <t>TNK_EUR_ANT_DZ-D-01</t>
  </si>
  <si>
    <t>TNK_EUR_ANT_DZ-D-02</t>
  </si>
  <si>
    <t>TNK_EUR_ANT_DZ-D-03</t>
  </si>
  <si>
    <t>TNK_EUR_ANT_DZ-D-04</t>
  </si>
  <si>
    <t>TNK_EUR_ANT_DZ-D-05</t>
  </si>
  <si>
    <t>TNK_EUR_ANT_DZ-D-06</t>
  </si>
  <si>
    <t>TNK_EUR_ANT_DZ-D-07</t>
  </si>
  <si>
    <t>TNK_EUR_ANT_DZ-D-08</t>
  </si>
  <si>
    <t>TNK_EUR_ANT_DZ-D-09</t>
  </si>
  <si>
    <t>TNK_EUR_ANT_DZ-D-10</t>
  </si>
  <si>
    <t>TNK_EUR_ANT_BZ-A-01</t>
  </si>
  <si>
    <t>TNK_EUR_ANT_BZ-A-02</t>
  </si>
  <si>
    <t>TNK_EUR_ANT_BZ-A-03</t>
  </si>
  <si>
    <t>TNK_EUR_ANT_BZ-A-04</t>
  </si>
  <si>
    <t>TNK_EUR_ANT_BZ-A-05</t>
  </si>
  <si>
    <t>TNK_EUR_ANT_BZ-A-06</t>
  </si>
  <si>
    <t>TNK_EUR_ANT_BZ-A-07</t>
  </si>
  <si>
    <t>TNK_EUR_ANT_BZ-A-08</t>
  </si>
  <si>
    <t>TNK_EUR_ANT_BZ-A-09</t>
  </si>
  <si>
    <t>TNK_EUR_ANT_BZ-A-10</t>
  </si>
  <si>
    <t>TNK_EUR_ANT_BZ-B-01</t>
  </si>
  <si>
    <t>TNK_EUR_ANT_BZ-B-02</t>
  </si>
  <si>
    <t>TNK_EUR_ANT_BZ-B-03</t>
  </si>
  <si>
    <t>TNK_EUR_ANT_BZ-B-04</t>
  </si>
  <si>
    <t>TNK_EUR_ANT_BZ-B-05</t>
  </si>
  <si>
    <t>TNK_EUR_ANT_BZ-B-06</t>
  </si>
  <si>
    <t>TNK_EUR_ANT_BZ-B-07</t>
  </si>
  <si>
    <t>TNK_EUR_ANT_BZ-B-08</t>
  </si>
  <si>
    <t>TNK_EUR_ANT_BZ-B-09</t>
  </si>
  <si>
    <t>TNK_EUR_ANT_BZ-B-10</t>
  </si>
  <si>
    <t>TNK_EUR_GEN_TB01</t>
  </si>
  <si>
    <t>TNK_EUR_GEN_TB02</t>
  </si>
  <si>
    <t>TNK_EUR_GEN_TB03</t>
  </si>
  <si>
    <t>TNK_EUR_GEN_TB04</t>
  </si>
  <si>
    <t>TNK_EUR_GEN_TB05</t>
  </si>
  <si>
    <t>TNK_EUR_GEN_TB06</t>
  </si>
  <si>
    <t>TNK_EUR_GEN_TB07</t>
  </si>
  <si>
    <t>TNK_EUR_GEN_TB08</t>
  </si>
  <si>
    <t>TNK_EUR_GEN_DZ-A-01</t>
  </si>
  <si>
    <t>TNK_EUR_GEN_DZ-A-02</t>
  </si>
  <si>
    <t>TNK_EUR_GEN_DZ-A-03</t>
  </si>
  <si>
    <t>TNK_EUR_GEN_DZ-A-04</t>
  </si>
  <si>
    <t>TNK_EUR_GEN_DZ-A-05</t>
  </si>
  <si>
    <t>TNK_EUR_GEN_DZ-A-06</t>
  </si>
  <si>
    <t>TNK_EUR_GEN_DZ-A-07</t>
  </si>
  <si>
    <t>TNK_EUR_GEN_DZ-A-08</t>
  </si>
  <si>
    <t>TNK_EUR_GEN_DZ-A-09</t>
  </si>
  <si>
    <t>TNK_EUR_GEN_DZ-A-10</t>
  </si>
  <si>
    <t>TNK_EUR_GEN_DZ-B-01</t>
  </si>
  <si>
    <t>TNK_EUR_GEN_DZ-B-02</t>
  </si>
  <si>
    <t>TNK_EUR_GEN_DZ-B-03</t>
  </si>
  <si>
    <t>TNK_EUR_GEN_DZ-B-04</t>
  </si>
  <si>
    <t>TNK_EUR_GEN_DZ-B-05</t>
  </si>
  <si>
    <t>TNK_EUR_GEN_DZ-B-06</t>
  </si>
  <si>
    <t>TNK_EUR_GEN_DZ-B-07</t>
  </si>
  <si>
    <t>TNK_EUR_GEN_DZ-B-08</t>
  </si>
  <si>
    <t>TNK_EUR_GEN_DZ-B-09</t>
  </si>
  <si>
    <t>TNK_EUR_GEN_DZ-B-10</t>
  </si>
  <si>
    <t>TNK_EUR_GEN_DZ-C-01</t>
  </si>
  <si>
    <t>TNK_EUR_GEN_DZ-C-02</t>
  </si>
  <si>
    <t>TNK_EUR_GEN_DZ-C-03</t>
  </si>
  <si>
    <t>TNK_EUR_GEN_DZ-C-04</t>
  </si>
  <si>
    <t>TNK_EUR_GEN_DZ-C-05</t>
  </si>
  <si>
    <t>TNK_EUR_GEN_DZ-C-06</t>
  </si>
  <si>
    <t>TNK_EUR_GEN_DZ-C-07</t>
  </si>
  <si>
    <t>TNK_EUR_GEN_DZ-C-08</t>
  </si>
  <si>
    <t>TNK_EUR_GEN_DZ-C-09</t>
  </si>
  <si>
    <t>TNK_EUR_GEN_DZ-C-10</t>
  </si>
  <si>
    <t>TNK_EUR_GEN_DZ-D-01</t>
  </si>
  <si>
    <t>TNK_EUR_GEN_DZ-D-02</t>
  </si>
  <si>
    <t>TNK_EUR_GEN_DZ-D-03</t>
  </si>
  <si>
    <t>TNK_EUR_GEN_DZ-D-04</t>
  </si>
  <si>
    <t>TNK_EUR_GEN_DZ-D-05</t>
  </si>
  <si>
    <t>TNK_EUR_GEN_DZ-D-06</t>
  </si>
  <si>
    <t>TNK_EUR_GEN_DZ-D-07</t>
  </si>
  <si>
    <t>TNK_EUR_GEN_DZ-D-08</t>
  </si>
  <si>
    <t>TNK_EUR_GEN_DZ-D-09</t>
  </si>
  <si>
    <t>TNK_EUR_GEN_DZ-D-10</t>
  </si>
  <si>
    <t>TNK_EUR_GEN_BZ-A-01</t>
  </si>
  <si>
    <t>TNK_EUR_GEN_BZ-A-02</t>
  </si>
  <si>
    <t>TNK_EUR_GEN_BZ-A-03</t>
  </si>
  <si>
    <t>TNK_EUR_GEN_BZ-A-04</t>
  </si>
  <si>
    <t>TNK_EUR_GEN_BZ-A-05</t>
  </si>
  <si>
    <t>TNK_EUR_GEN_BZ-A-06</t>
  </si>
  <si>
    <t>TNK_EUR_GEN_BZ-A-07</t>
  </si>
  <si>
    <t>TNK_EUR_GEN_BZ-A-08</t>
  </si>
  <si>
    <t>TNK_EUR_GEN_BZ-A-09</t>
  </si>
  <si>
    <t>TNK_EUR_GEN_BZ-A-10</t>
  </si>
  <si>
    <t>TNK_EUR_GEN_BZ-B-01</t>
  </si>
  <si>
    <t>TNK_EUR_GEN_BZ-B-02</t>
  </si>
  <si>
    <t>TNK_EUR_GEN_BZ-B-03</t>
  </si>
  <si>
    <t>TNK_EUR_GEN_BZ-B-04</t>
  </si>
  <si>
    <t>TNK_EUR_GEN_BZ-B-05</t>
  </si>
  <si>
    <t>TNK_EUR_GEN_BZ-B-06</t>
  </si>
  <si>
    <t>TNK_EUR_GEN_BZ-B-07</t>
  </si>
  <si>
    <t>TNK_EUR_GEN_BZ-B-08</t>
  </si>
  <si>
    <t>TNK_EUR_GEN_BZ-B-09</t>
  </si>
  <si>
    <t>TNK_EUR_GEN_BZ-B-10</t>
  </si>
  <si>
    <t>WH_IN_WEST_BHI_DZ-A-01</t>
  </si>
  <si>
    <t>DG per IMDG (Fluoro); Flammable Liquids</t>
  </si>
  <si>
    <t>Warehouse pallet slot (drums/IBCs); illustrative</t>
  </si>
  <si>
    <t>WH_IN_WEST_BHI_DZ-B-02</t>
  </si>
  <si>
    <t>WH_IN_WEST_BHI_DZ-C-03</t>
  </si>
  <si>
    <t>WH_IN_WEST_BHI_DZ-A-04</t>
  </si>
  <si>
    <t>WH_IN_WEST_BHI_DZ-B-05</t>
  </si>
  <si>
    <t>WH_IN_WEST_BHI_DZ-C-06</t>
  </si>
  <si>
    <t>WH_IN_WEST_BHI_DZ-A-07</t>
  </si>
  <si>
    <t>WH_IN_WEST_BHI_BZ-A-01</t>
  </si>
  <si>
    <t>Dust/Combustible; DG as applicable</t>
  </si>
  <si>
    <t>Warehouse pallet slot (bags/solids); illustrative</t>
  </si>
  <si>
    <t>WH_IN_WEST_BHI_BZ-B-02</t>
  </si>
  <si>
    <t>WH_IN_GUJ_AHD_DZ-A-01</t>
  </si>
  <si>
    <t>Flammable Liquids; Corrosive (as applicable)</t>
  </si>
  <si>
    <t>WH_IN_GUJ_AHD_DZ-B-02</t>
  </si>
  <si>
    <t>WH_IN_GUJ_AHD_DZ-C-03</t>
  </si>
  <si>
    <t>WH_IN_GUJ_AHD_DZ-A-04</t>
  </si>
  <si>
    <t>WH_IN_GUJ_AHD_DZ-B-05</t>
  </si>
  <si>
    <t>WH_IN_GUJ_AHD_DZ-C-06</t>
  </si>
  <si>
    <t>WH_IN_GUJ_AHD_DZ-A-07</t>
  </si>
  <si>
    <t>WH_IN_GUJ_AHD_BZ-A-01</t>
  </si>
  <si>
    <t>WH_IN_GUJ_AHD_BZ-B-02</t>
  </si>
  <si>
    <t>WH_IN_SOUTH_HYD_DZ-A-01</t>
  </si>
  <si>
    <t>WH_IN_SOUTH_HYD_DZ-B-02</t>
  </si>
  <si>
    <t>WH_IN_SOUTH_HYD_DZ-C-03</t>
  </si>
  <si>
    <t>WH_IN_SOUTH_HYD_DZ-A-04</t>
  </si>
  <si>
    <t>WH_IN_SOUTH_HYD_DZ-B-05</t>
  </si>
  <si>
    <t>WH_IN_SOUTH_HYD_DZ-C-06</t>
  </si>
  <si>
    <t>WH_IN_SOUTH_HYD_DZ-A-07</t>
  </si>
  <si>
    <t>WH_IN_SOUTH_HYD_BZ-A-01</t>
  </si>
  <si>
    <t>WH_IN_SOUTH_HYD_BZ-B-02</t>
  </si>
  <si>
    <t>WH_IN_NORTH_BAW_DZ-A-01</t>
  </si>
  <si>
    <t>WH_IN_NORTH_BAW_DZ-B-02</t>
  </si>
  <si>
    <t>WH_IN_NORTH_BAW_DZ-C-03</t>
  </si>
  <si>
    <t>WH_IN_NORTH_BAW_DZ-A-04</t>
  </si>
  <si>
    <t>WH_IN_NORTH_BAW_DZ-B-05</t>
  </si>
  <si>
    <t>WH_IN_NORTH_BAW_DZ-C-06</t>
  </si>
  <si>
    <t>WH_IN_NORTH_BAW_DZ-A-07</t>
  </si>
  <si>
    <t>WH_IN_NORTH_BAW_BZ-A-01</t>
  </si>
  <si>
    <t>WH_IN_NORTH_BAW_BZ-B-02</t>
  </si>
  <si>
    <t>WH_UAE_SHJ_DZ-A-01</t>
  </si>
  <si>
    <t>WH_UAE_SHJ_DZ-B-02</t>
  </si>
  <si>
    <t>WH_UAE_SHJ_DZ-C-03</t>
  </si>
  <si>
    <t>WH_UAE_SHJ_DZ-A-04</t>
  </si>
  <si>
    <t>WH_UAE_SHJ_DZ-B-05</t>
  </si>
  <si>
    <t>WH_UAE_SHJ_DZ-C-06</t>
  </si>
  <si>
    <t>WH_UAE_SHJ_DZ-A-07</t>
  </si>
  <si>
    <t>WH_UAE_SHJ_BZ-A-01</t>
  </si>
  <si>
    <t>WH_UAE_SHJ_BZ-B-02</t>
  </si>
  <si>
    <t>WH_US_EAST_NJ_DZ-A-01</t>
  </si>
  <si>
    <t>Flammable Liquids; Corrosive</t>
  </si>
  <si>
    <t>WH_US_EAST_NJ_DZ-B-02</t>
  </si>
  <si>
    <t>WH_US_EAST_NJ_DZ-C-03</t>
  </si>
  <si>
    <t>WH_US_EAST_NJ_DZ-A-04</t>
  </si>
  <si>
    <t>WH_US_EAST_NJ_DZ-B-05</t>
  </si>
  <si>
    <t>WH_US_EAST_NJ_DZ-C-06</t>
  </si>
  <si>
    <t>WH_US_EAST_NJ_DZ-A-07</t>
  </si>
  <si>
    <t>WH_US_EAST_NJ_BZ-A-01</t>
  </si>
  <si>
    <t>WH_US_EAST_NJ_BZ-B-02</t>
  </si>
  <si>
    <t>WH_US_MID_CHI_DZ-A-01</t>
  </si>
  <si>
    <t>WH_US_MID_CHI_DZ-B-02</t>
  </si>
  <si>
    <t>WH_US_MID_CHI_DZ-C-03</t>
  </si>
  <si>
    <t>WH_US_MID_CHI_DZ-A-04</t>
  </si>
  <si>
    <t>WH_US_MID_CHI_DZ-B-05</t>
  </si>
  <si>
    <t>WH_US_MID_CHI_DZ-C-06</t>
  </si>
  <si>
    <t>WH_US_MID_CHI_DZ-A-07</t>
  </si>
  <si>
    <t>WH_US_MID_CHI_BZ-A-01</t>
  </si>
  <si>
    <t>WH_US_MID_CHI_BZ-B-02</t>
  </si>
  <si>
    <t>Primary Key</t>
  </si>
  <si>
    <t>Batch ID (FK)</t>
  </si>
  <si>
    <t>Material Type</t>
  </si>
  <si>
    <t>Quantity (SOH)</t>
  </si>
  <si>
    <t>Bin ID (FK)</t>
  </si>
  <si>
    <t>As on Date</t>
  </si>
  <si>
    <t>Inventory Age (days)</t>
  </si>
  <si>
    <t>Inventory Value</t>
  </si>
  <si>
    <t>INVV202603-0001</t>
  </si>
  <si>
    <t>FG</t>
  </si>
  <si>
    <t>INVV202603-0002</t>
  </si>
  <si>
    <t>INVV202603-0003</t>
  </si>
  <si>
    <t>INVV202603-0004</t>
  </si>
  <si>
    <t>INVV202603-0005</t>
  </si>
  <si>
    <t>INVV202603-0006</t>
  </si>
  <si>
    <t>INVV202603-0007</t>
  </si>
  <si>
    <t>INVV202603-0008</t>
  </si>
  <si>
    <t>INVV202603-0009</t>
  </si>
  <si>
    <t>INVV202603-0010</t>
  </si>
  <si>
    <t>INVV202603-0011</t>
  </si>
  <si>
    <t>INVV202603-0012</t>
  </si>
  <si>
    <t>INVV202603-0013</t>
  </si>
  <si>
    <t>INVV202603-0014</t>
  </si>
  <si>
    <t>INVV202603-0015</t>
  </si>
  <si>
    <t>INVV202603-0016</t>
  </si>
  <si>
    <t>INVV202603-0017</t>
  </si>
  <si>
    <t>INVV202603-0018</t>
  </si>
  <si>
    <t>INVV202603-0019</t>
  </si>
  <si>
    <t>INVV202603-0020</t>
  </si>
  <si>
    <t>INVV202603-0021</t>
  </si>
  <si>
    <t>INVV202603-0022</t>
  </si>
  <si>
    <t>INVV202603-0023</t>
  </si>
  <si>
    <t>INVV202603-0024</t>
  </si>
  <si>
    <t>INVV202603-0025</t>
  </si>
  <si>
    <t>INVV202603-0026</t>
  </si>
  <si>
    <t>INVV202603-0027</t>
  </si>
  <si>
    <t>INVV202603-0028</t>
  </si>
  <si>
    <t>INVV202603-0029</t>
  </si>
  <si>
    <t>INVV202603-0030</t>
  </si>
  <si>
    <t>INVV202603-0031</t>
  </si>
  <si>
    <t>INVV202603-0032</t>
  </si>
  <si>
    <t>INVV202603-0033</t>
  </si>
  <si>
    <t>INVV202603-0034</t>
  </si>
  <si>
    <t>INVV202603-0035</t>
  </si>
  <si>
    <t>INVV202603-0036</t>
  </si>
  <si>
    <t>INVV202603-0037</t>
  </si>
  <si>
    <t>INVV202603-0038</t>
  </si>
  <si>
    <t>INVV202603-0039</t>
  </si>
  <si>
    <t>INVV202603-0040</t>
  </si>
  <si>
    <t>INVV202603-0041</t>
  </si>
  <si>
    <t>INVV202603-0042</t>
  </si>
  <si>
    <t>INVV202603-0043</t>
  </si>
  <si>
    <t>INVV202603-0044</t>
  </si>
  <si>
    <t>INVV202603-0045</t>
  </si>
  <si>
    <t>INVV202603-0046</t>
  </si>
  <si>
    <t>INVV202603-0047</t>
  </si>
  <si>
    <t>INVV202603-0048</t>
  </si>
  <si>
    <t>INVV202603-0049</t>
  </si>
  <si>
    <t>INVV202603-0050</t>
  </si>
  <si>
    <t>INVV202603-0051</t>
  </si>
  <si>
    <t>INVV202603-0052</t>
  </si>
  <si>
    <t>INVV202603-0053</t>
  </si>
  <si>
    <t>INVV202603-0054</t>
  </si>
  <si>
    <t>INVV202603-0055</t>
  </si>
  <si>
    <t>INVV202603-0056</t>
  </si>
  <si>
    <t>INVV202603-0057</t>
  </si>
  <si>
    <t>INVV202603-0058</t>
  </si>
  <si>
    <t>INVV202603-0059</t>
  </si>
  <si>
    <t>INVV202603-0060</t>
  </si>
  <si>
    <t>INVV202603-0061</t>
  </si>
  <si>
    <t>INVV202603-0062</t>
  </si>
  <si>
    <t>INVV202603-0063</t>
  </si>
  <si>
    <t>INVV202603-0064</t>
  </si>
  <si>
    <t>INVV202603-0065</t>
  </si>
  <si>
    <t>INVV202603-0066</t>
  </si>
  <si>
    <t>RM</t>
  </si>
  <si>
    <t>WH_IN_WEST_BHI_DZ-A-02</t>
  </si>
  <si>
    <t>INVV202603-0067</t>
  </si>
  <si>
    <t>WH_IN_WEST_BHI_DZ-A-03</t>
  </si>
  <si>
    <t>INVV202603-0068</t>
  </si>
  <si>
    <t>INVV202603-0069</t>
  </si>
  <si>
    <t>WH_IN_WEST_BHI_DZ-A-05</t>
  </si>
  <si>
    <t>INVV202603-0070</t>
  </si>
  <si>
    <t>WH_IN_WEST_BHI_DZ-A-06</t>
  </si>
  <si>
    <t>INVV202603-0071</t>
  </si>
  <si>
    <t>WH_IN_WEST_BHI_DZ-B-01</t>
  </si>
  <si>
    <t>INVV202603-0072</t>
  </si>
  <si>
    <t>INVV202603-0073</t>
  </si>
  <si>
    <t>WH_IN_WEST_BHI_DZ-B-03</t>
  </si>
  <si>
    <t>INVV202603-0074</t>
  </si>
  <si>
    <t>WH_IN_WEST_BHI_DZ-B-04</t>
  </si>
  <si>
    <t>INVV202603-0075</t>
  </si>
  <si>
    <t>INVV202603-0076</t>
  </si>
  <si>
    <t>WH_IN_WEST_BHI_DZ-B-06</t>
  </si>
  <si>
    <t>INVV202603-0077</t>
  </si>
  <si>
    <t>WH_IN_WEST_BHI_DZ-C-01</t>
  </si>
  <si>
    <t>INVV202603-0078</t>
  </si>
  <si>
    <t>WH_IN_WEST_BHI_DZ-C-02</t>
  </si>
  <si>
    <t>INVV202603-0079</t>
  </si>
  <si>
    <t>INVV202603-0080</t>
  </si>
  <si>
    <t>WH_IN_WEST_BHI_DZ-C-04</t>
  </si>
  <si>
    <t>INVV202603-0081</t>
  </si>
  <si>
    <t>WH_IN_WEST_BHI_DZ-C-05</t>
  </si>
  <si>
    <t>INVV202603-0082</t>
  </si>
  <si>
    <t>INVV202603-0083</t>
  </si>
  <si>
    <t>INVV202603-0084</t>
  </si>
  <si>
    <t>WH_IN_WEST_BHI_BZ-A-02</t>
  </si>
  <si>
    <t>INVV202603-0085</t>
  </si>
  <si>
    <t>WH_IN_WEST_BHI_BZ-A-03</t>
  </si>
  <si>
    <t>INVV202603-0086</t>
  </si>
  <si>
    <t>WH_IN_WEST_BHI_BZ-A-04</t>
  </si>
  <si>
    <t>INVV202603-0087</t>
  </si>
  <si>
    <t>WH_IN_WEST_BHI_BZ-B-01</t>
  </si>
  <si>
    <t>INVV202603-0088</t>
  </si>
  <si>
    <t>INVV202603-0089</t>
  </si>
  <si>
    <t>WH_IN_WEST_BHI_BZ-B-03</t>
  </si>
  <si>
    <t>INVV202603-0090</t>
  </si>
  <si>
    <t>WH_IN_WEST_BHI_BZ-B-04</t>
  </si>
  <si>
    <t>lsp_id (Primary Key)</t>
  </si>
  <si>
    <t>lsp_name</t>
  </si>
  <si>
    <t>provider_type</t>
  </si>
  <si>
    <t>primary_mode</t>
  </si>
  <si>
    <t>service_type</t>
  </si>
  <si>
    <t>service_regions</t>
  </si>
  <si>
    <t>dg_capable</t>
  </si>
  <si>
    <t>iso_tank_capable</t>
  </si>
  <si>
    <t>customs_clearance_capable</t>
  </si>
  <si>
    <t>incoterms_supported</t>
  </si>
  <si>
    <t>base_node_id (FK)</t>
  </si>
  <si>
    <t>preferred_plants</t>
  </si>
  <si>
    <t>primary_sla_profile_id (FK)</t>
  </si>
  <si>
    <t>transit_time_days (min)</t>
  </si>
  <si>
    <t>transit_time_days (max)</t>
  </si>
  <si>
    <t>rate_card_type</t>
  </si>
  <si>
    <t>contract_status</t>
  </si>
  <si>
    <t>esg_rating</t>
  </si>
  <si>
    <t>insurance_coverage</t>
  </si>
  <si>
    <t>contact_email</t>
  </si>
  <si>
    <t>contact_phone</t>
  </si>
  <si>
    <t>LSP001</t>
  </si>
  <si>
    <t>BlueWave Logistics Pvt Ltd</t>
  </si>
  <si>
    <t>Carrier</t>
  </si>
  <si>
    <t>Road</t>
  </si>
  <si>
    <t>Ocean Freight</t>
  </si>
  <si>
    <t>EXW,FCA</t>
  </si>
  <si>
    <t>PLT_MHD</t>
  </si>
  <si>
    <t>TNK_EUR_RTM,TNK_EUR_ANT,TNK_EUR_GEN,WH_EU_DEU_HAM</t>
  </si>
  <si>
    <t>Spot + Surcharge</t>
  </si>
  <si>
    <t>INR 5 Cr Liability</t>
  </si>
  <si>
    <t>ops.lsp001@example.com</t>
  </si>
  <si>
    <t>+91-22-7001234</t>
  </si>
  <si>
    <t>2024-01-01</t>
  </si>
  <si>
    <t>LSP002</t>
  </si>
  <si>
    <t>Apex HazMat Carriers Ltd</t>
  </si>
  <si>
    <t>Sea</t>
  </si>
  <si>
    <t>Container Freight (FCL/LCL)</t>
  </si>
  <si>
    <t>DOM,EU</t>
  </si>
  <si>
    <t>EXW,FCA,FOB</t>
  </si>
  <si>
    <t>PLT_LTE</t>
  </si>
  <si>
    <t>TNK_EUR_ANT,TNK_EUR_GEN,WH_EU_DEU_HAM,CFS_IN_NHAV,WH_IN_WEST_BHI</t>
  </si>
  <si>
    <t>Annual Rate Card</t>
  </si>
  <si>
    <t>USD 5M Liability</t>
  </si>
  <si>
    <t>ops.lsp002@example.com</t>
  </si>
  <si>
    <t>+91-22-7002468</t>
  </si>
  <si>
    <t>2025-06-08</t>
  </si>
  <si>
    <t>LSP003</t>
  </si>
  <si>
    <t>Navbharat Transport Services LLP</t>
  </si>
  <si>
    <t>Air</t>
  </si>
  <si>
    <t>DG (HazMat) Logistics</t>
  </si>
  <si>
    <t>DOM,AMER</t>
  </si>
  <si>
    <t>FCA,FOB,CFR,CIF</t>
  </si>
  <si>
    <t>PLT_MHD,PLT_DHJ</t>
  </si>
  <si>
    <t>TNK_EUR_GEN,WH_EU_DEU_HAM,CFS_IN_NHAV,WH_IN_WEST_BHI,WH_IN_GUJ_AHD,WH_IN_SOUTH_HYD</t>
  </si>
  <si>
    <t>Contract Tariff</t>
  </si>
  <si>
    <t>ops.lsp003@example.com</t>
  </si>
  <si>
    <t>+91-22-7003702</t>
  </si>
  <si>
    <t>2026-11-15</t>
  </si>
  <si>
    <t>LSP004</t>
  </si>
  <si>
    <t>Konkan Coastal Shipping Pvt Ltd</t>
  </si>
  <si>
    <t>Rail</t>
  </si>
  <si>
    <t>Customs Clearance</t>
  </si>
  <si>
    <t>DOM,APAC</t>
  </si>
  <si>
    <t>FOB,CFR,CIF</t>
  </si>
  <si>
    <t>PLT_MHD,PLT_LTE</t>
  </si>
  <si>
    <t>WH_EU_DEU_HAM,CFS_IN_NHAV,WH_IN_WEST_BHI</t>
  </si>
  <si>
    <t>ops.lsp004@example.com</t>
  </si>
  <si>
    <t>+91-22-7004936</t>
  </si>
  <si>
    <t>2024-04-22</t>
  </si>
  <si>
    <t>LSP005</t>
  </si>
  <si>
    <t>Western Freightlines India Ltd</t>
  </si>
  <si>
    <t>Customs Broker</t>
  </si>
  <si>
    <t>Multimodal</t>
  </si>
  <si>
    <t>EXW,FCA,DDP</t>
  </si>
  <si>
    <t>CFS_IN_NHAV,WH_IN_WEST_BHI,WH_IN_GUJ_AHD,WH_IN_SOUTH_HYD</t>
  </si>
  <si>
    <t>ops.lsp005@example.com</t>
  </si>
  <si>
    <t>+91-22-7006170</t>
  </si>
  <si>
    <t>2025-09-01</t>
  </si>
  <si>
    <t>LSP006</t>
  </si>
  <si>
    <t>Saffron Customs &amp; Trade Services</t>
  </si>
  <si>
    <t>Last-mile Delivery</t>
  </si>
  <si>
    <t>FCA,FOB,DDP</t>
  </si>
  <si>
    <t>WH_IN_WEST_BHI,WH_IN_GUJ_AHD,WH_IN_SOUTH_HYD,WH_IN_NORTH_BAW,WH_IN_EAST_KOL</t>
  </si>
  <si>
    <t>ops.lsp006@example.com</t>
  </si>
  <si>
    <t>+91-22-7007404</t>
  </si>
  <si>
    <t>LSP007</t>
  </si>
  <si>
    <t>OceanLink Forwarders Pvt Ltd</t>
  </si>
  <si>
    <t>CFS Operator</t>
  </si>
  <si>
    <t>Air Freight</t>
  </si>
  <si>
    <t>WH_IN_GUJ_AHD,WH_IN_SOUTH_HYD,WH_IN_NORTH_BAW,WH_IN_EAST_KOL,WH_US_EAST_NJ,WH_US_MID_CHI</t>
  </si>
  <si>
    <t>ops.lsp007@example.com</t>
  </si>
  <si>
    <t>+91-22-7008638</t>
  </si>
  <si>
    <t>2024-07-15</t>
  </si>
  <si>
    <t>LSP008</t>
  </si>
  <si>
    <t>Gateway CFS Operations Pvt Ltd</t>
  </si>
  <si>
    <t>WH_IN_SOUTH_HYD,WH_IN_NORTH_BAW,WH_IN_EAST_KOL</t>
  </si>
  <si>
    <t>ops.lsp008@example.com</t>
  </si>
  <si>
    <t>+91-22-7009872</t>
  </si>
  <si>
    <t>2025-12-22</t>
  </si>
  <si>
    <t>LSP009</t>
  </si>
  <si>
    <t>EuroTank Terminal Services NV</t>
  </si>
  <si>
    <t>Tank Terminal Operator</t>
  </si>
  <si>
    <t>Warehousing &amp; Distribution</t>
  </si>
  <si>
    <t>EU,AMER</t>
  </si>
  <si>
    <t>WH_IN_NORTH_BAW,WH_IN_EAST_KOL,WH_US_EAST_NJ,WH_US_MID_CHI</t>
  </si>
  <si>
    <t>ops.lsp009@example.com</t>
  </si>
  <si>
    <t>+91-22-7011106</t>
  </si>
  <si>
    <t>2026-05-01</t>
  </si>
  <si>
    <t>LSP010</t>
  </si>
  <si>
    <t>RheinPort Tank Logistics GmbH</t>
  </si>
  <si>
    <t>EU,MEA,ROW</t>
  </si>
  <si>
    <t>WH_IN_EAST_KOL,WH_US_EAST_NJ,WH_US_MID_CHI,WH_UAE_SHJ,WH_CHN_SHA</t>
  </si>
  <si>
    <t>ops.lsp010@example.com</t>
  </si>
  <si>
    <t>+91-22-7012340</t>
  </si>
  <si>
    <t>2024-10-08</t>
  </si>
  <si>
    <t>LSP011</t>
  </si>
  <si>
    <t>Antwerp Chemical Logistics NV</t>
  </si>
  <si>
    <t>AMER,APAC</t>
  </si>
  <si>
    <t>WH_US_EAST_NJ,WH_US_MID_CHI,WH_UAE_SHJ,WH_CHN_SHA,TNK_EUR_RTM,TNK_EUR_ANT</t>
  </si>
  <si>
    <t>ops.lsp011@example.com</t>
  </si>
  <si>
    <t>+91-22-7013574</t>
  </si>
  <si>
    <t>2025-03-15</t>
  </si>
  <si>
    <t>LSP012</t>
  </si>
  <si>
    <t>Liguria Tank Storage S.p.A.</t>
  </si>
  <si>
    <t>DOM,EU,AMER,APAC,MEA</t>
  </si>
  <si>
    <t>WH_US_MID_CHI,WH_UAE_SHJ,WH_CHN_SHA</t>
  </si>
  <si>
    <t>ops.lsp012@example.com</t>
  </si>
  <si>
    <t>+91-22-7014808</t>
  </si>
  <si>
    <t>2026-08-22</t>
  </si>
  <si>
    <t>LSP013</t>
  </si>
  <si>
    <t>Emirates Bonded Logistics LLC</t>
  </si>
  <si>
    <t>WH_UAE_SHJ,WH_CHN_SHA,TNK_EUR_RTM,TNK_EUR_ANT</t>
  </si>
  <si>
    <t>Expired</t>
  </si>
  <si>
    <t>ops.lsp013@example.com</t>
  </si>
  <si>
    <t>+91-22-7016042</t>
  </si>
  <si>
    <t>LSP014</t>
  </si>
  <si>
    <t>DesertGate Freight Services LLC</t>
  </si>
  <si>
    <t>WH_CHN_SHA,TNK_EUR_RTM,TNK_EUR_ANT,TNK_EUR_GEN,WH_EU_DEU_HAM</t>
  </si>
  <si>
    <t>ops.lsp014@example.com</t>
  </si>
  <si>
    <t>+91-22-7017276</t>
  </si>
  <si>
    <t>LSP015</t>
  </si>
  <si>
    <t>Atlantic Warehousing Inc.</t>
  </si>
  <si>
    <t>TNK_EUR_RTM,TNK_EUR_ANT,TNK_EUR_GEN,WH_EU_DEU_HAM,CFS_IN_NHAV,WH_IN_WEST_BHI</t>
  </si>
  <si>
    <t>ops.lsp015@example.com</t>
  </si>
  <si>
    <t>+91-22-7018510</t>
  </si>
  <si>
    <t>LSP016</t>
  </si>
  <si>
    <t>Midwest Supply Chain Inc.</t>
  </si>
  <si>
    <t>TNK_EUR_ANT,TNK_EUR_GEN,WH_EU_DEU_HAM</t>
  </si>
  <si>
    <t>ops.lsp016@example.com</t>
  </si>
  <si>
    <t>+91-22-7019744</t>
  </si>
  <si>
    <t>LSP017</t>
  </si>
  <si>
    <t>Pacific Air Cargo Solutions</t>
  </si>
  <si>
    <t>TNK_EUR_GEN,WH_EU_DEU_HAM,CFS_IN_NHAV,WH_IN_WEST_BHI</t>
  </si>
  <si>
    <t>ops.lsp017@example.com</t>
  </si>
  <si>
    <t>+91-22-7020978</t>
  </si>
  <si>
    <t>LSP018</t>
  </si>
  <si>
    <t>AeroFreight Express India</t>
  </si>
  <si>
    <t>WH_EU_DEU_HAM,CFS_IN_NHAV,WH_IN_WEST_BHI,WH_IN_GUJ_AHD,WH_IN_SOUTH_HYD</t>
  </si>
  <si>
    <t>ops.lsp018@example.com</t>
  </si>
  <si>
    <t>+91-22-7022212</t>
  </si>
  <si>
    <t>LSP019</t>
  </si>
  <si>
    <t>TransRail Container Movers</t>
  </si>
  <si>
    <t>CFS_IN_NHAV,WH_IN_WEST_BHI,WH_IN_GUJ_AHD,WH_IN_SOUTH_HYD,WH_IN_NORTH_BAW,WH_IN_EAST_KOL</t>
  </si>
  <si>
    <t>ops.lsp019@example.com</t>
  </si>
  <si>
    <t>+91-22-7023446</t>
  </si>
  <si>
    <t>LSP020</t>
  </si>
  <si>
    <t>PanAsia Multimodal Logistics</t>
  </si>
  <si>
    <t>WH_IN_WEST_BHI,WH_IN_GUJ_AHD,WH_IN_SOUTH_HYD</t>
  </si>
  <si>
    <t>ops.lsp020@example.com</t>
  </si>
  <si>
    <t>+91-22-7024680</t>
  </si>
  <si>
    <t>LSP021</t>
  </si>
  <si>
    <t>Sterling DG Logistics Pvt Ltd</t>
  </si>
  <si>
    <t>WH_IN_GUJ_AHD,WH_IN_SOUTH_HYD,WH_IN_NORTH_BAW,WH_IN_EAST_KOL</t>
  </si>
  <si>
    <t>ops.lsp021@example.com</t>
  </si>
  <si>
    <t>+91-22-7025914</t>
  </si>
  <si>
    <t>LSP022</t>
  </si>
  <si>
    <t>HarborBridge Ocean Services</t>
  </si>
  <si>
    <t>WH_IN_SOUTH_HYD,WH_IN_NORTH_BAW,WH_IN_EAST_KOL,WH_US_EAST_NJ,WH_US_MID_CHI</t>
  </si>
  <si>
    <t>ops.lsp022@example.com</t>
  </si>
  <si>
    <t>+91-22-7027148</t>
  </si>
  <si>
    <t>LSP023</t>
  </si>
  <si>
    <t>Seaway Global Logistics Ltd</t>
  </si>
  <si>
    <t>WH_IN_NORTH_BAW,WH_IN_EAST_KOL,WH_US_EAST_NJ,WH_US_MID_CHI,WH_UAE_SHJ,WH_CHN_SHA</t>
  </si>
  <si>
    <t>ops.lsp023@example.com</t>
  </si>
  <si>
    <t>+91-22-7028382</t>
  </si>
  <si>
    <t>LSP024</t>
  </si>
  <si>
    <t>PrimeLine Distribution Pvt Ltd</t>
  </si>
  <si>
    <t>WH_IN_EAST_KOL,WH_US_EAST_NJ,WH_US_MID_CHI</t>
  </si>
  <si>
    <t>ops.lsp024@example.com</t>
  </si>
  <si>
    <t>+91-22-7029616</t>
  </si>
  <si>
    <t>LSP025</t>
  </si>
  <si>
    <t>NorthStar Logistics LLP</t>
  </si>
  <si>
    <t>WH_US_EAST_NJ,WH_US_MID_CHI,WH_UAE_SHJ,WH_CHN_SHA</t>
  </si>
  <si>
    <t>ops.lsp025@example.com</t>
  </si>
  <si>
    <t>+91-22-7030850</t>
  </si>
  <si>
    <t>LSP026</t>
  </si>
  <si>
    <t>Deccan Road Carriers Pvt Ltd</t>
  </si>
  <si>
    <t>WH_US_MID_CHI,WH_UAE_SHJ,WH_CHN_SHA,TNK_EUR_RTM,TNK_EUR_ANT</t>
  </si>
  <si>
    <t>ops.lsp026@example.com</t>
  </si>
  <si>
    <t>+91-22-7032084</t>
  </si>
  <si>
    <t>LSP027</t>
  </si>
  <si>
    <t>Gujarat Inland Logistics Ltd</t>
  </si>
  <si>
    <t>WH_UAE_SHJ,WH_CHN_SHA,TNK_EUR_RTM,TNK_EUR_ANT,TNK_EUR_GEN,WH_EU_DEU_HAM</t>
  </si>
  <si>
    <t>ops.lsp027@example.com</t>
  </si>
  <si>
    <t>+91-22-7033318</t>
  </si>
  <si>
    <t>LSP028</t>
  </si>
  <si>
    <t>Konnect International Forwarding</t>
  </si>
  <si>
    <t>WH_CHN_SHA,TNK_EUR_RTM,TNK_EUR_ANT</t>
  </si>
  <si>
    <t>ops.lsp028@example.com</t>
  </si>
  <si>
    <t>+91-22-7034552</t>
  </si>
  <si>
    <t>LSP029</t>
  </si>
  <si>
    <t>Caspian Trade &amp; Customs Brokers</t>
  </si>
  <si>
    <t>ops.lsp029@example.com</t>
  </si>
  <si>
    <t>+91-22-7035786</t>
  </si>
  <si>
    <t>LSP030</t>
  </si>
  <si>
    <t>Sigma Tanker &amp; ISO Solutions</t>
  </si>
  <si>
    <t>ops.lsp030@example.com</t>
  </si>
  <si>
    <t>+91-22-7037020</t>
  </si>
  <si>
    <t>LSP031</t>
  </si>
  <si>
    <t>Nimbus Container Lines Pvt Ltd</t>
  </si>
  <si>
    <t>ops.lsp031@example.com</t>
  </si>
  <si>
    <t>+91-22-7038254</t>
  </si>
  <si>
    <t>LSP032</t>
  </si>
  <si>
    <t>RapidLast Mile Logistics Pvt Ltd</t>
  </si>
  <si>
    <t>ops.lsp032@example.com</t>
  </si>
  <si>
    <t>+91-22-7039488</t>
  </si>
  <si>
    <t>LSP033</t>
  </si>
  <si>
    <t>Sunrise Export Logistics Pvt Ltd</t>
  </si>
  <si>
    <t>ops.lsp033@example.com</t>
  </si>
  <si>
    <t>+91-22-7040722</t>
  </si>
  <si>
    <t>LSP034</t>
  </si>
  <si>
    <t>Frontier DG &amp; Cold Chain LLP</t>
  </si>
  <si>
    <t>ops.lsp034@example.com</t>
  </si>
  <si>
    <t>+91-22-7041956</t>
  </si>
  <si>
    <t>LSP035</t>
  </si>
  <si>
    <t>Vector Port &amp; CFS Services</t>
  </si>
  <si>
    <t>ops.lsp035@example.com</t>
  </si>
  <si>
    <t>+91-22-7043190</t>
  </si>
  <si>
    <t>LSP036</t>
  </si>
  <si>
    <t>Shoreline Tank Terminal Ops</t>
  </si>
  <si>
    <t>ops.lsp036@example.com</t>
  </si>
  <si>
    <t>+91-22-7044424</t>
  </si>
  <si>
    <t>LSP037</t>
  </si>
  <si>
    <t>Union Freight &amp; Customs GmbH</t>
  </si>
  <si>
    <t>ops.lsp037@example.com</t>
  </si>
  <si>
    <t>+91-22-7045658</t>
  </si>
  <si>
    <t>LSP038</t>
  </si>
  <si>
    <t>BlueRidge Logistics Inc.</t>
  </si>
  <si>
    <t>ops.lsp038@example.com</t>
  </si>
  <si>
    <t>+91-22-7046892</t>
  </si>
  <si>
    <t>LSP039</t>
  </si>
  <si>
    <t>MaritimePlus Shipping Services</t>
  </si>
  <si>
    <t>ops.lsp039@example.com</t>
  </si>
  <si>
    <t>+91-22-7048126</t>
  </si>
  <si>
    <t>LSP040</t>
  </si>
  <si>
    <t>Astra Global Supply Chain LLP</t>
  </si>
  <si>
    <t>ops.lsp040@example.com</t>
  </si>
  <si>
    <t>+91-22-7049360</t>
  </si>
  <si>
    <t>Avg no. of shipments per month</t>
  </si>
  <si>
    <t>Shipment ID (PK)</t>
  </si>
  <si>
    <t>Shipment Type</t>
  </si>
  <si>
    <t>Shipment Status</t>
  </si>
  <si>
    <t>Actual Start Date</t>
  </si>
  <si>
    <t>Actual End Date</t>
  </si>
  <si>
    <t>From Location_Supplier</t>
  </si>
  <si>
    <t>From Storage Location (FK)</t>
  </si>
  <si>
    <t>From Plant Location (FK)</t>
  </si>
  <si>
    <t>To Location_Customer</t>
  </si>
  <si>
    <t>To Storage Location (FK)</t>
  </si>
  <si>
    <t>To Plant Location (FK)</t>
  </si>
  <si>
    <t>Mode</t>
  </si>
  <si>
    <t>Incoterms</t>
  </si>
  <si>
    <t>Constraints</t>
  </si>
  <si>
    <t>International/Domestic</t>
  </si>
  <si>
    <t>Documents Required</t>
  </si>
  <si>
    <t>Freight Forwarder/Carrier ID (FK)</t>
  </si>
  <si>
    <t>Logistics PO No.</t>
  </si>
  <si>
    <t>Cost of Shipment (USD)</t>
  </si>
  <si>
    <t>Proof of Delivery_Doc</t>
  </si>
  <si>
    <t>Type</t>
  </si>
  <si>
    <t>Rate per kg (USD)</t>
  </si>
  <si>
    <t>Base Fee (USD)</t>
  </si>
  <si>
    <t>SHP202603-0001</t>
  </si>
  <si>
    <t>Outbound</t>
  </si>
  <si>
    <t>In Progress</t>
  </si>
  <si>
    <t>Temp-Control</t>
  </si>
  <si>
    <t>Domestic</t>
  </si>
  <si>
    <t>Invoice;Ewaybill;COA</t>
  </si>
  <si>
    <t>LPO202603-0001</t>
  </si>
  <si>
    <t>SHP202603-0002</t>
  </si>
  <si>
    <t>CFR</t>
  </si>
  <si>
    <t>Temp-Control,Customs</t>
  </si>
  <si>
    <t>International</t>
  </si>
  <si>
    <t>Invoice;Packing List;COA;SDS;BL</t>
  </si>
  <si>
    <t>LPO202603-0002</t>
  </si>
  <si>
    <t>SHP202603-0003</t>
  </si>
  <si>
    <t>Inbound</t>
  </si>
  <si>
    <t>Supplier - Domestic</t>
  </si>
  <si>
    <t>FCA</t>
  </si>
  <si>
    <t>DG</t>
  </si>
  <si>
    <t>Invoice;Ewaybill;COA;IMDG Declaration;DG Packing Cert</t>
  </si>
  <si>
    <t>LPO202603-0003</t>
  </si>
  <si>
    <t>SHP202603-0004</t>
  </si>
  <si>
    <t>LPO202603-0004</t>
  </si>
  <si>
    <t>https://pod.example.com/SHP202603-0004.pdf</t>
  </si>
  <si>
    <t>SHP202603-0005</t>
  </si>
  <si>
    <t>CIF</t>
  </si>
  <si>
    <t>LPO202603-0005</t>
  </si>
  <si>
    <t>SHP202603-0006</t>
  </si>
  <si>
    <t>Supplier - APAC</t>
  </si>
  <si>
    <t>Invoice;Packing List;COA;SDS;BL;IMDG Declaration;DG Packing Cert</t>
  </si>
  <si>
    <t>LPO202603-0006</t>
  </si>
  <si>
    <t>SHP202603-0007</t>
  </si>
  <si>
    <t>LPO202603-0007</t>
  </si>
  <si>
    <t>SHP202603-0008</t>
  </si>
  <si>
    <t>Transfer</t>
  </si>
  <si>
    <t>Standard</t>
  </si>
  <si>
    <t>LPO202603-0008</t>
  </si>
  <si>
    <t>SHP202603-0009</t>
  </si>
  <si>
    <t>LPO202603-0009</t>
  </si>
  <si>
    <t>SHP202603-0010</t>
  </si>
  <si>
    <t>LPO202603-0010</t>
  </si>
  <si>
    <t>SHP202603-0011</t>
  </si>
  <si>
    <t>LPO202603-0011</t>
  </si>
  <si>
    <t>SHP202603-0012</t>
  </si>
  <si>
    <t>Supplier - MEA</t>
  </si>
  <si>
    <t>LPO202603-0012</t>
  </si>
  <si>
    <t>SHP202603-0013</t>
  </si>
  <si>
    <t>LPO202603-0013</t>
  </si>
  <si>
    <t>SHP202603-0014</t>
  </si>
  <si>
    <t>LPO202603-0014</t>
  </si>
  <si>
    <t>SHP202603-0015</t>
  </si>
  <si>
    <t>LPO202603-0015</t>
  </si>
  <si>
    <t>SHP202603-0016</t>
  </si>
  <si>
    <t>FOB</t>
  </si>
  <si>
    <t>LPO202603-0016</t>
  </si>
  <si>
    <t>SHP202603-0017</t>
  </si>
  <si>
    <t>Supplier - EU</t>
  </si>
  <si>
    <t>LPO202603-0017</t>
  </si>
  <si>
    <t>SHP202603-0018</t>
  </si>
  <si>
    <t>LPO202603-0018</t>
  </si>
  <si>
    <t>SHP202603-0019</t>
  </si>
  <si>
    <t>LPO202603-0019</t>
  </si>
  <si>
    <t>https://pod.example.com/SHP202603-0019.pdf</t>
  </si>
  <si>
    <t>SHP202603-0020</t>
  </si>
  <si>
    <t>LPO202603-0020</t>
  </si>
  <si>
    <t>https://pod.example.com/SHP202603-0020.pdf</t>
  </si>
  <si>
    <t>SHP202603-0021</t>
  </si>
  <si>
    <t>LPO202603-0021</t>
  </si>
  <si>
    <t>SHP202603-0022</t>
  </si>
  <si>
    <t>LPO202603-0022</t>
  </si>
  <si>
    <t>SHP202603-0023</t>
  </si>
  <si>
    <t>LPO202603-0023</t>
  </si>
  <si>
    <t>SHP202603-0024</t>
  </si>
  <si>
    <t>LPO202603-0024</t>
  </si>
  <si>
    <t>SHP202603-0025</t>
  </si>
  <si>
    <t>LPO202603-0025</t>
  </si>
  <si>
    <t>SHP202603-0026</t>
  </si>
  <si>
    <t>LPO202603-0026</t>
  </si>
  <si>
    <t>SHP202603-0027</t>
  </si>
  <si>
    <t>LPO202603-0027</t>
  </si>
  <si>
    <t>SHP202603-0028</t>
  </si>
  <si>
    <t>LPO202603-0028</t>
  </si>
  <si>
    <t>SHP202603-0029</t>
  </si>
  <si>
    <t>LPO202603-0029</t>
  </si>
  <si>
    <t>SHP202603-0030</t>
  </si>
  <si>
    <t>LPO202603-0030</t>
  </si>
  <si>
    <t>SHP202603-0031</t>
  </si>
  <si>
    <t>LPO202603-0031</t>
  </si>
  <si>
    <t>SHP202603-0032</t>
  </si>
  <si>
    <t>LPO202603-0032</t>
  </si>
  <si>
    <t>SHP202603-0033</t>
  </si>
  <si>
    <t>LPO202603-0033</t>
  </si>
  <si>
    <t>SHP202603-0034</t>
  </si>
  <si>
    <t>LPO202603-0034</t>
  </si>
  <si>
    <t>SHP202603-0035</t>
  </si>
  <si>
    <t>LPO202603-0035</t>
  </si>
  <si>
    <t>SHP202603-0036</t>
  </si>
  <si>
    <t>LPO202603-0036</t>
  </si>
  <si>
    <t>SHP202603-0037</t>
  </si>
  <si>
    <t>LPO202603-0037</t>
  </si>
  <si>
    <t>SHP202603-0038</t>
  </si>
  <si>
    <t>LPO202603-0038</t>
  </si>
  <si>
    <t>SHP202603-0039</t>
  </si>
  <si>
    <t>LPO202603-0039</t>
  </si>
  <si>
    <t>SHP202603-0040</t>
  </si>
  <si>
    <t>LPO202603-0040</t>
  </si>
  <si>
    <t>SHP202603-0041</t>
  </si>
  <si>
    <t>LPO202603-0041</t>
  </si>
  <si>
    <t>SHP202603-0042</t>
  </si>
  <si>
    <t>DG,Temp-Control</t>
  </si>
  <si>
    <t>LPO202603-0042</t>
  </si>
  <si>
    <t>SHP202603-0043</t>
  </si>
  <si>
    <t>LPO202603-0043</t>
  </si>
  <si>
    <t>SHP202603-0044</t>
  </si>
  <si>
    <t>LPO202603-0044</t>
  </si>
  <si>
    <t>SHP202603-0045</t>
  </si>
  <si>
    <t>LPO202603-0045</t>
  </si>
  <si>
    <t>https://pod.example.com/SHP202603-0045.pdf</t>
  </si>
  <si>
    <t>SHP202603-0046</t>
  </si>
  <si>
    <t>LPO202603-0046</t>
  </si>
  <si>
    <t>SHP202603-0047</t>
  </si>
  <si>
    <t>LPO202603-0047</t>
  </si>
  <si>
    <t>SHP202603-0048</t>
  </si>
  <si>
    <t>LPO202603-0048</t>
  </si>
  <si>
    <t>SHP202603-0049</t>
  </si>
  <si>
    <t>LPO202603-0049</t>
  </si>
  <si>
    <t>https://pod.example.com/SHP202603-0049.pdf</t>
  </si>
  <si>
    <t>SHP202603-0050</t>
  </si>
  <si>
    <t>LPO202603-0050</t>
  </si>
  <si>
    <t>SHP202603-0051</t>
  </si>
  <si>
    <t>LPO202603-0051</t>
  </si>
  <si>
    <t>SHP202603-0052</t>
  </si>
  <si>
    <t>LPO202603-0052</t>
  </si>
  <si>
    <t>SHP202603-0053</t>
  </si>
  <si>
    <t>LPO202603-0053</t>
  </si>
  <si>
    <t>SHP202603-0054</t>
  </si>
  <si>
    <t>LPO202603-0054</t>
  </si>
  <si>
    <t>SHP202603-0055</t>
  </si>
  <si>
    <t>LPO202603-0055</t>
  </si>
  <si>
    <t>https://pod.example.com/SHP202603-0055.pdf</t>
  </si>
  <si>
    <t>SHP202603-0056</t>
  </si>
  <si>
    <t>DG,Customs</t>
  </si>
  <si>
    <t>LPO202603-0056</t>
  </si>
  <si>
    <t>SHP202603-0057</t>
  </si>
  <si>
    <t>LPO202603-0057</t>
  </si>
  <si>
    <t>SHP202603-0058</t>
  </si>
  <si>
    <t>LPO202603-0058</t>
  </si>
  <si>
    <t>SHP202603-0059</t>
  </si>
  <si>
    <t>LPO202603-0059</t>
  </si>
  <si>
    <t>SHP202603-0060</t>
  </si>
  <si>
    <t>LPO202603-0060</t>
  </si>
  <si>
    <t>SHP202603-0061</t>
  </si>
  <si>
    <t>LPO202603-0061</t>
  </si>
  <si>
    <t>SHP202603-0062</t>
  </si>
  <si>
    <t>LPO202603-0062</t>
  </si>
  <si>
    <t>SHP202603-0063</t>
  </si>
  <si>
    <t>LPO202603-0063</t>
  </si>
  <si>
    <t>SHP202603-0064</t>
  </si>
  <si>
    <t>LPO202603-0064</t>
  </si>
  <si>
    <t>SHP202603-0065</t>
  </si>
  <si>
    <t>LPO202603-0065</t>
  </si>
  <si>
    <t>SHP202603-0066</t>
  </si>
  <si>
    <t>LPO202603-0066</t>
  </si>
  <si>
    <t>SHP202603-0067</t>
  </si>
  <si>
    <t>DDP</t>
  </si>
  <si>
    <t>Invoice;Packing List;COA;SDS;BL;Import Clearance</t>
  </si>
  <si>
    <t>LPO202603-0067</t>
  </si>
  <si>
    <t>SHP202603-0068</t>
  </si>
  <si>
    <t>LPO202603-0068</t>
  </si>
  <si>
    <t>https://pod.example.com/SHP202603-0068.pdf</t>
  </si>
  <si>
    <t>SHP202603-0069</t>
  </si>
  <si>
    <t>LPO202603-0069</t>
  </si>
  <si>
    <t>SHP202603-0070</t>
  </si>
  <si>
    <t>LPO202603-0070</t>
  </si>
  <si>
    <t>https://pod.example.com/SHP202603-0070.pdf</t>
  </si>
  <si>
    <t>SHP202603-0071</t>
  </si>
  <si>
    <t>LPO202603-0071</t>
  </si>
  <si>
    <t>SHP202603-0072</t>
  </si>
  <si>
    <t>LPO202603-0072</t>
  </si>
  <si>
    <t>SHP202603-0073</t>
  </si>
  <si>
    <t>LPO202603-0073</t>
  </si>
  <si>
    <t>SHP202603-0074</t>
  </si>
  <si>
    <t>Invoice;Packing List;COA;SDS;BL;IMDG Declaration;DG Packing Cert;Import Clearance</t>
  </si>
  <si>
    <t>LPO202603-0074</t>
  </si>
  <si>
    <t>SHP202603-0075</t>
  </si>
  <si>
    <t>LPO202603-0075</t>
  </si>
  <si>
    <t>SHP202603-0076</t>
  </si>
  <si>
    <t>LPO202603-0076</t>
  </si>
  <si>
    <t>SHP202603-0077</t>
  </si>
  <si>
    <t>LPO202603-0077</t>
  </si>
  <si>
    <t>SHP202603-0078</t>
  </si>
  <si>
    <t>LPO202603-0078</t>
  </si>
  <si>
    <t>SHP202603-0079</t>
  </si>
  <si>
    <t>LPO202603-0079</t>
  </si>
  <si>
    <t>SHP202603-0080</t>
  </si>
  <si>
    <t>LPO202603-0080</t>
  </si>
  <si>
    <t>SHP202603-0081</t>
  </si>
  <si>
    <t>Customs</t>
  </si>
  <si>
    <t>LPO202603-0081</t>
  </si>
  <si>
    <t>SHP202603-0082</t>
  </si>
  <si>
    <t>LPO202603-0082</t>
  </si>
  <si>
    <t>SHP202603-0083</t>
  </si>
  <si>
    <t>LPO202603-0083</t>
  </si>
  <si>
    <t>SHP202603-0084</t>
  </si>
  <si>
    <t>LPO202603-0084</t>
  </si>
  <si>
    <t>SHP202603-0085</t>
  </si>
  <si>
    <t>LPO202603-0085</t>
  </si>
  <si>
    <t>SHP202603-0086</t>
  </si>
  <si>
    <t>LPO202603-0086</t>
  </si>
  <si>
    <t>https://pod.example.com/SHP202603-0086.pdf</t>
  </si>
  <si>
    <t>SHP202603-0087</t>
  </si>
  <si>
    <t>LPO202603-0087</t>
  </si>
  <si>
    <t>SHP202603-0088</t>
  </si>
  <si>
    <t>LPO202603-0088</t>
  </si>
  <si>
    <t>SHP202603-0089</t>
  </si>
  <si>
    <t>LPO202603-0089</t>
  </si>
  <si>
    <t>SHP202603-0090</t>
  </si>
  <si>
    <t>LPO202603-0090</t>
  </si>
  <si>
    <t>https://pod.example.com/SHP202603-0090.pdf</t>
  </si>
  <si>
    <t>SHP202603-0091</t>
  </si>
  <si>
    <t>LPO202603-0091</t>
  </si>
  <si>
    <t>SHP202603-0092</t>
  </si>
  <si>
    <t>LPO202603-0092</t>
  </si>
  <si>
    <t>SHP202603-0093</t>
  </si>
  <si>
    <t>LPO202603-0093</t>
  </si>
  <si>
    <t>SHP202603-0094</t>
  </si>
  <si>
    <t>LPO202603-0094</t>
  </si>
  <si>
    <t>https://pod.example.com/SHP202603-0094.pdf</t>
  </si>
  <si>
    <t>SHP202603-0095</t>
  </si>
  <si>
    <t>LPO202603-0095</t>
  </si>
  <si>
    <t>SHP202603-0096</t>
  </si>
  <si>
    <t>LPO202603-0096</t>
  </si>
  <si>
    <t>SHP202603-0097</t>
  </si>
  <si>
    <t>LPO202603-0097</t>
  </si>
  <si>
    <t>SHP202603-0098</t>
  </si>
  <si>
    <t>LPO202603-0098</t>
  </si>
  <si>
    <t>SHP202603-0099</t>
  </si>
  <si>
    <t>LPO202603-0099</t>
  </si>
  <si>
    <t>SHP202603-0100</t>
  </si>
  <si>
    <t>LPO202603-0100</t>
  </si>
  <si>
    <t>SHP202603-0101</t>
  </si>
  <si>
    <t>LPO202603-0101</t>
  </si>
  <si>
    <t>https://pod.example.com/SHP202603-0101.pdf</t>
  </si>
  <si>
    <t>SHP202603-0102</t>
  </si>
  <si>
    <t>LPO202603-0102</t>
  </si>
  <si>
    <t>SHP202603-0103</t>
  </si>
  <si>
    <t>LPO202603-0103</t>
  </si>
  <si>
    <t>https://pod.example.com/SHP202603-0103.pdf</t>
  </si>
  <si>
    <t>SHP202603-0104</t>
  </si>
  <si>
    <t>LPO202603-0104</t>
  </si>
  <si>
    <t>SHP202603-0105</t>
  </si>
  <si>
    <t>LPO202603-0105</t>
  </si>
  <si>
    <t>SHP202603-0106</t>
  </si>
  <si>
    <t>LPO202603-0106</t>
  </si>
  <si>
    <t>SHP202603-0107</t>
  </si>
  <si>
    <t>LPO202603-0107</t>
  </si>
  <si>
    <t>SHP202603-0108</t>
  </si>
  <si>
    <t>LPO202603-0108</t>
  </si>
  <si>
    <t>SHP202603-0109</t>
  </si>
  <si>
    <t>LPO202603-0109</t>
  </si>
  <si>
    <t>SHP202603-0110</t>
  </si>
  <si>
    <t>LPO202603-0110</t>
  </si>
  <si>
    <t>https://pod.example.com/SHP202603-0110.pdf</t>
  </si>
  <si>
    <t>SHP202603-0111</t>
  </si>
  <si>
    <t>LPO202603-0111</t>
  </si>
  <si>
    <t>SHP202603-0112</t>
  </si>
  <si>
    <t>LPO202603-0112</t>
  </si>
  <si>
    <t>SHP202603-0113</t>
  </si>
  <si>
    <t>LPO202603-0113</t>
  </si>
  <si>
    <t>SHP202603-0114</t>
  </si>
  <si>
    <t>LPO202603-0114</t>
  </si>
  <si>
    <t>SHP202603-0115</t>
  </si>
  <si>
    <t>LPO202603-0115</t>
  </si>
  <si>
    <t>SHP202603-0116</t>
  </si>
  <si>
    <t>LPO202603-0116</t>
  </si>
  <si>
    <t>https://pod.example.com/SHP202603-0116.pdf</t>
  </si>
  <si>
    <t>SHP202603-0117</t>
  </si>
  <si>
    <t>LPO202603-0117</t>
  </si>
  <si>
    <t>SHP202603-0118</t>
  </si>
  <si>
    <t>LPO202603-0118</t>
  </si>
  <si>
    <t>SHP202603-0119</t>
  </si>
  <si>
    <t>LPO202603-0119</t>
  </si>
  <si>
    <t>SHP202603-0120</t>
  </si>
  <si>
    <t>LPO202603-0120</t>
  </si>
  <si>
    <t>SHP202603-0121</t>
  </si>
  <si>
    <t>LPO202603-0121</t>
  </si>
  <si>
    <t>SHP202603-0122</t>
  </si>
  <si>
    <t>LPO202603-0122</t>
  </si>
  <si>
    <t>SHP202603-0123</t>
  </si>
  <si>
    <t>LPO202603-0123</t>
  </si>
  <si>
    <t>https://pod.example.com/SHP202603-0123.pdf</t>
  </si>
  <si>
    <t>SHP202603-0124</t>
  </si>
  <si>
    <t>LPO202603-0124</t>
  </si>
  <si>
    <t>SHP202603-0125</t>
  </si>
  <si>
    <t>LPO202603-0125</t>
  </si>
  <si>
    <t>SHP202603-0126</t>
  </si>
  <si>
    <t>LPO202603-0126</t>
  </si>
  <si>
    <t>https://pod.example.com/SHP202603-0126.pdf</t>
  </si>
  <si>
    <t>SHP202603-0127</t>
  </si>
  <si>
    <t>LPO202603-0127</t>
  </si>
  <si>
    <t>SHP202603-0128</t>
  </si>
  <si>
    <t>LPO202603-0128</t>
  </si>
  <si>
    <t>https://pod.example.com/SHP202603-0128.pdf</t>
  </si>
  <si>
    <t>SHP202603-0129</t>
  </si>
  <si>
    <t>LPO202603-0129</t>
  </si>
  <si>
    <t>https://pod.example.com/SHP202603-0129.pdf</t>
  </si>
  <si>
    <t>SHP202603-0130</t>
  </si>
  <si>
    <t>LPO202603-0130</t>
  </si>
  <si>
    <t>https://pod.example.com/SHP202603-0130.pdf</t>
  </si>
  <si>
    <t>SHP202603-0131</t>
  </si>
  <si>
    <t>LPO202603-0131</t>
  </si>
  <si>
    <t>SHP202603-0132</t>
  </si>
  <si>
    <t>LPO202603-0132</t>
  </si>
  <si>
    <t>https://pod.example.com/SHP202603-0132.pdf</t>
  </si>
  <si>
    <t>SHP202603-0133</t>
  </si>
  <si>
    <t>LPO202603-0133</t>
  </si>
  <si>
    <t>SHP202603-0134</t>
  </si>
  <si>
    <t>LPO202603-0134</t>
  </si>
  <si>
    <t>SHP202603-0135</t>
  </si>
  <si>
    <t>LPO202603-0135</t>
  </si>
  <si>
    <t>SHP202603-0136</t>
  </si>
  <si>
    <t>LPO202603-0136</t>
  </si>
  <si>
    <t>SHP202603-0137</t>
  </si>
  <si>
    <t>LPO202603-0137</t>
  </si>
  <si>
    <t>SHP202603-0138</t>
  </si>
  <si>
    <t>LPO202603-0138</t>
  </si>
  <si>
    <t>https://pod.example.com/SHP202603-0138.pdf</t>
  </si>
  <si>
    <t>SHP202603-0139</t>
  </si>
  <si>
    <t>LPO202603-0139</t>
  </si>
  <si>
    <t>SHP202603-0140</t>
  </si>
  <si>
    <t>LPO202603-0140</t>
  </si>
  <si>
    <t>SHP202603-0141</t>
  </si>
  <si>
    <t>LPO202603-0141</t>
  </si>
  <si>
    <t>SHP202603-0142</t>
  </si>
  <si>
    <t>LPO202603-0142</t>
  </si>
  <si>
    <t>SHP202603-0143</t>
  </si>
  <si>
    <t>LPO202603-0143</t>
  </si>
  <si>
    <t>SHP202603-0144</t>
  </si>
  <si>
    <t>LPO202603-0144</t>
  </si>
  <si>
    <t>SHP202603-0145</t>
  </si>
  <si>
    <t>LPO202603-0145</t>
  </si>
  <si>
    <t>SHP202603-0146</t>
  </si>
  <si>
    <t>LPO202603-0146</t>
  </si>
  <si>
    <t>SHP202603-0147</t>
  </si>
  <si>
    <t>LPO202603-0147</t>
  </si>
  <si>
    <t>https://pod.example.com/SHP202603-0147.pdf</t>
  </si>
  <si>
    <t>SHP202603-0148</t>
  </si>
  <si>
    <t>LPO202603-0148</t>
  </si>
  <si>
    <t>SHP202603-0149</t>
  </si>
  <si>
    <t>LPO202603-0149</t>
  </si>
  <si>
    <t>SHP202603-0150</t>
  </si>
  <si>
    <t>LPO202603-0150</t>
  </si>
  <si>
    <t>SHP202603-0151</t>
  </si>
  <si>
    <t>LPO202603-0151</t>
  </si>
  <si>
    <t>SHP202603-0152</t>
  </si>
  <si>
    <t>LPO202603-0152</t>
  </si>
  <si>
    <t>SHP202603-0153</t>
  </si>
  <si>
    <t>LPO202603-0153</t>
  </si>
  <si>
    <t>SHP202603-0154</t>
  </si>
  <si>
    <t>LPO202603-0154</t>
  </si>
  <si>
    <t>SHP202603-0155</t>
  </si>
  <si>
    <t>LPO202603-0155</t>
  </si>
  <si>
    <t>https://pod.example.com/SHP202603-0155.pdf</t>
  </si>
  <si>
    <t>SHP202603-0156</t>
  </si>
  <si>
    <t>LPO202603-0156</t>
  </si>
  <si>
    <t>SHP202603-0157</t>
  </si>
  <si>
    <t>LPO202603-0157</t>
  </si>
  <si>
    <t>SHP202603-0158</t>
  </si>
  <si>
    <t>LPO202603-0158</t>
  </si>
  <si>
    <t>SHP202603-0159</t>
  </si>
  <si>
    <t>LPO202603-0159</t>
  </si>
  <si>
    <t>SHP202603-0160</t>
  </si>
  <si>
    <t>LPO202603-0160</t>
  </si>
  <si>
    <t>SHP202603-0161</t>
  </si>
  <si>
    <t>LPO202603-0161</t>
  </si>
  <si>
    <t>SHP202603-0162</t>
  </si>
  <si>
    <t>LPO202603-0162</t>
  </si>
  <si>
    <t>SHP202603-0163</t>
  </si>
  <si>
    <t>LPO202603-0163</t>
  </si>
  <si>
    <t>SHP202603-0164</t>
  </si>
  <si>
    <t>LPO202603-0164</t>
  </si>
  <si>
    <t>SHP202603-0165</t>
  </si>
  <si>
    <t>LPO202603-0165</t>
  </si>
  <si>
    <t>https://pod.example.com/SHP202603-0165.pdf</t>
  </si>
  <si>
    <t>SHP202603-0166</t>
  </si>
  <si>
    <t>LPO202603-0166</t>
  </si>
  <si>
    <t>SHP202603-0167</t>
  </si>
  <si>
    <t>LPO202603-0167</t>
  </si>
  <si>
    <t>SHP202603-0168</t>
  </si>
  <si>
    <t>LPO202603-0168</t>
  </si>
  <si>
    <t>SHP202603-0169</t>
  </si>
  <si>
    <t>LPO202603-0169</t>
  </si>
  <si>
    <t>https://pod.example.com/SHP202603-0169.pdf</t>
  </si>
  <si>
    <t>SHP202603-0170</t>
  </si>
  <si>
    <t>LPO202603-0170</t>
  </si>
  <si>
    <t>SHP202603-0171</t>
  </si>
  <si>
    <t>LPO202603-0171</t>
  </si>
  <si>
    <t>SHP202603-0172</t>
  </si>
  <si>
    <t>LPO202603-0172</t>
  </si>
  <si>
    <t>SHP202603-0173</t>
  </si>
  <si>
    <t>LPO202603-0173</t>
  </si>
  <si>
    <t>SHP202603-0174</t>
  </si>
  <si>
    <t>LPO202603-0174</t>
  </si>
  <si>
    <t>SHP202603-0175</t>
  </si>
  <si>
    <t>LPO202603-0175</t>
  </si>
  <si>
    <t>SHP202603-0176</t>
  </si>
  <si>
    <t>LPO202603-0176</t>
  </si>
  <si>
    <t>SHP202603-0177</t>
  </si>
  <si>
    <t>LPO202603-0177</t>
  </si>
  <si>
    <t>SHP202603-0178</t>
  </si>
  <si>
    <t>LPO202603-0178</t>
  </si>
  <si>
    <t>SHP202603-0179</t>
  </si>
  <si>
    <t>LPO202603-0179</t>
  </si>
  <si>
    <t>SHP202603-0180</t>
  </si>
  <si>
    <t>LPO202603-0180</t>
  </si>
  <si>
    <t>SHP202603-0181</t>
  </si>
  <si>
    <t>LPO202603-0181</t>
  </si>
  <si>
    <t>https://pod.example.com/SHP202603-0181.pdf</t>
  </si>
  <si>
    <t>SHP202603-0182</t>
  </si>
  <si>
    <t>LPO202603-0182</t>
  </si>
  <si>
    <t>SHP202603-0183</t>
  </si>
  <si>
    <t>LPO202603-0183</t>
  </si>
  <si>
    <t>SHP202603-0184</t>
  </si>
  <si>
    <t>LPO202603-0184</t>
  </si>
  <si>
    <t>https://pod.example.com/SHP202603-0184.pdf</t>
  </si>
  <si>
    <t>SHP202603-0185</t>
  </si>
  <si>
    <t>LPO202603-0185</t>
  </si>
  <si>
    <t>SHP202603-0186</t>
  </si>
  <si>
    <t>LPO202603-0186</t>
  </si>
  <si>
    <t>SHP202603-0187</t>
  </si>
  <si>
    <t>LPO202603-0187</t>
  </si>
  <si>
    <t>https://pod.example.com/SHP202603-0187.pdf</t>
  </si>
  <si>
    <t>SHP202603-0188</t>
  </si>
  <si>
    <t>LPO202603-0188</t>
  </si>
  <si>
    <t>SHP202603-0189</t>
  </si>
  <si>
    <t>LPO202603-0189</t>
  </si>
  <si>
    <t>SHP202603-0190</t>
  </si>
  <si>
    <t>LPO202603-0190</t>
  </si>
  <si>
    <t>https://pod.example.com/SHP202603-0190.pdf</t>
  </si>
  <si>
    <t>SHP202603-0191</t>
  </si>
  <si>
    <t>LPO202603-0191</t>
  </si>
  <si>
    <t>SHP202603-0192</t>
  </si>
  <si>
    <t>LPO202603-0192</t>
  </si>
  <si>
    <t>SHP202603-0193</t>
  </si>
  <si>
    <t>LPO202603-0193</t>
  </si>
  <si>
    <t>SHP202603-0194</t>
  </si>
  <si>
    <t>LPO202603-0194</t>
  </si>
  <si>
    <t>https://pod.example.com/SHP202603-0194.pdf</t>
  </si>
  <si>
    <t>SHP202603-0195</t>
  </si>
  <si>
    <t>LPO202603-0195</t>
  </si>
  <si>
    <t>https://pod.example.com/SHP202603-0195.pdf</t>
  </si>
  <si>
    <t>SHP202603-0196</t>
  </si>
  <si>
    <t>LPO202603-0196</t>
  </si>
  <si>
    <t>SHP202603-0197</t>
  </si>
  <si>
    <t>LPO202603-0197</t>
  </si>
  <si>
    <t>https://pod.example.com/SHP202603-0197.pdf</t>
  </si>
  <si>
    <t>SHP202603-0198</t>
  </si>
  <si>
    <t>LPO202603-0198</t>
  </si>
  <si>
    <t>SHP202603-0199</t>
  </si>
  <si>
    <t>LPO202603-0199</t>
  </si>
  <si>
    <t>https://pod.example.com/SHP202603-0199.pdf</t>
  </si>
  <si>
    <t>SHP202603-0200</t>
  </si>
  <si>
    <t>LPO202603-0200</t>
  </si>
  <si>
    <t>SHP202603-0201</t>
  </si>
  <si>
    <t>LPO202603-0201</t>
  </si>
  <si>
    <t>SHP202603-0202</t>
  </si>
  <si>
    <t>LPO202603-0202</t>
  </si>
  <si>
    <t>https://pod.example.com/SHP202603-0202.pdf</t>
  </si>
  <si>
    <t>SHP202603-0203</t>
  </si>
  <si>
    <t>LPO202603-0203</t>
  </si>
  <si>
    <t>SHP202603-0204</t>
  </si>
  <si>
    <t>LPO202603-0204</t>
  </si>
  <si>
    <t>SHP202603-0205</t>
  </si>
  <si>
    <t>LPO202603-0205</t>
  </si>
  <si>
    <t>https://pod.example.com/SHP202603-0205.pdf</t>
  </si>
  <si>
    <t>SHP202603-0206</t>
  </si>
  <si>
    <t>LPO202603-0206</t>
  </si>
  <si>
    <t>https://pod.example.com/SHP202603-0206.pdf</t>
  </si>
  <si>
    <t>SHP202603-0207</t>
  </si>
  <si>
    <t>LPO202603-0207</t>
  </si>
  <si>
    <t>SHP202603-0208</t>
  </si>
  <si>
    <t>LPO202603-0208</t>
  </si>
  <si>
    <t>SHP202603-0209</t>
  </si>
  <si>
    <t>LPO202603-0209</t>
  </si>
  <si>
    <t>SHP202603-0210</t>
  </si>
  <si>
    <t>LPO202603-0210</t>
  </si>
  <si>
    <t>SHP202603-0211</t>
  </si>
  <si>
    <t>LPO202603-0211</t>
  </si>
  <si>
    <t>https://pod.example.com/SHP202603-0211.pdf</t>
  </si>
  <si>
    <t>SHP202603-0212</t>
  </si>
  <si>
    <t>LPO202603-0212</t>
  </si>
  <si>
    <t>https://pod.example.com/SHP202603-0212.pdf</t>
  </si>
  <si>
    <t>SHP202603-0213</t>
  </si>
  <si>
    <t>LPO202603-0213</t>
  </si>
  <si>
    <t>SHP202603-0214</t>
  </si>
  <si>
    <t>LPO202603-0214</t>
  </si>
  <si>
    <t>SHP202603-0215</t>
  </si>
  <si>
    <t>LPO202603-0215</t>
  </si>
  <si>
    <t>SHP202603-0216</t>
  </si>
  <si>
    <t>LPO202603-0216</t>
  </si>
  <si>
    <t>https://pod.example.com/SHP202603-0216.pdf</t>
  </si>
  <si>
    <t>SHP202603-0217</t>
  </si>
  <si>
    <t>LPO202603-0217</t>
  </si>
  <si>
    <t>SHP202603-0218</t>
  </si>
  <si>
    <t>LPO202603-0218</t>
  </si>
  <si>
    <t>SHP202603-0219</t>
  </si>
  <si>
    <t>LPO202603-0219</t>
  </si>
  <si>
    <t>SHP202603-0220</t>
  </si>
  <si>
    <t>LPO202603-0220</t>
  </si>
  <si>
    <t>Movement ID (PK)</t>
  </si>
  <si>
    <t>Shipment ID (FK)</t>
  </si>
  <si>
    <t>Batch No. (FK)</t>
  </si>
  <si>
    <t>Order ID (FK)</t>
  </si>
  <si>
    <t>PR Line ID (FK)</t>
  </si>
  <si>
    <t>MOV202603-0001</t>
  </si>
  <si>
    <t>MOV202603-0002</t>
  </si>
  <si>
    <t>MOV202603-0003</t>
  </si>
  <si>
    <t>MOV202603-0004</t>
  </si>
  <si>
    <t>MOV202603-0005</t>
  </si>
  <si>
    <t>MOV202603-0006</t>
  </si>
  <si>
    <t>MOV202603-0007</t>
  </si>
  <si>
    <t>MOV202603-0008</t>
  </si>
  <si>
    <t>MOV202603-0009</t>
  </si>
  <si>
    <t>MOV202603-0010</t>
  </si>
  <si>
    <t>MOV202603-0011</t>
  </si>
  <si>
    <t>MOV202603-0012</t>
  </si>
  <si>
    <t>MOV202603-0013</t>
  </si>
  <si>
    <t>MOV202603-0014</t>
  </si>
  <si>
    <t>MOV202603-0015</t>
  </si>
  <si>
    <t>MOV202603-0016</t>
  </si>
  <si>
    <t>MOV202603-0017</t>
  </si>
  <si>
    <t>MOV202603-0018</t>
  </si>
  <si>
    <t>MOV202603-0019</t>
  </si>
  <si>
    <t>MOV202603-0020</t>
  </si>
  <si>
    <t>MOV202603-0021</t>
  </si>
  <si>
    <t>MOV202603-0022</t>
  </si>
  <si>
    <t>MOV202603-0023</t>
  </si>
  <si>
    <t>MOV202603-0024</t>
  </si>
  <si>
    <t>MOV202603-0025</t>
  </si>
  <si>
    <t>MOV202603-0026</t>
  </si>
  <si>
    <t>MOV202603-0027</t>
  </si>
  <si>
    <t>MOV202603-0028</t>
  </si>
  <si>
    <t>MOV202603-0029</t>
  </si>
  <si>
    <t>MOV202603-0030</t>
  </si>
  <si>
    <t>MOV202603-0031</t>
  </si>
  <si>
    <t>MOV202603-0032</t>
  </si>
  <si>
    <t>MOV202603-0033</t>
  </si>
  <si>
    <t>MOV202603-0034</t>
  </si>
  <si>
    <t>MOV202603-0035</t>
  </si>
  <si>
    <t>MOV202603-0036</t>
  </si>
  <si>
    <t>MOV202603-0037</t>
  </si>
  <si>
    <t>MOV202603-0038</t>
  </si>
  <si>
    <t>MOV202603-0039</t>
  </si>
  <si>
    <t>MOV202603-0040</t>
  </si>
  <si>
    <t>MOV202603-0041</t>
  </si>
  <si>
    <t>MOV202603-0042</t>
  </si>
  <si>
    <t>MOV202603-0043</t>
  </si>
  <si>
    <t>MOV202603-0044</t>
  </si>
  <si>
    <t>MOV202603-0045</t>
  </si>
  <si>
    <t>MOV202603-0046</t>
  </si>
  <si>
    <t>MOV202603-0047</t>
  </si>
  <si>
    <t>MOV202603-0048</t>
  </si>
  <si>
    <t>MOV202603-0049</t>
  </si>
  <si>
    <t>MOV202603-0050</t>
  </si>
  <si>
    <t>MOV202603-0051</t>
  </si>
  <si>
    <t>MOV202603-0052</t>
  </si>
  <si>
    <t>MOV202603-0053</t>
  </si>
  <si>
    <t>MOV202603-0054</t>
  </si>
  <si>
    <t>MOV202603-0055</t>
  </si>
  <si>
    <t>MOV202603-0056</t>
  </si>
  <si>
    <t>MOV202603-0057</t>
  </si>
  <si>
    <t>MOV202603-0058</t>
  </si>
  <si>
    <t>MOV202603-0059</t>
  </si>
  <si>
    <t>MOV202603-0060</t>
  </si>
  <si>
    <t>MOV202603-0061</t>
  </si>
  <si>
    <t>MOV202603-0062</t>
  </si>
  <si>
    <t>MOV202603-0063</t>
  </si>
  <si>
    <t>MOV202603-0064</t>
  </si>
  <si>
    <t>MOV202603-0065</t>
  </si>
  <si>
    <t>MOV202603-0066</t>
  </si>
  <si>
    <t>MOV202603-0067</t>
  </si>
  <si>
    <t>MOV202603-0068</t>
  </si>
  <si>
    <t>MOV202603-0069</t>
  </si>
  <si>
    <t>MOV202603-0070</t>
  </si>
  <si>
    <t>MOV202603-0071</t>
  </si>
  <si>
    <t>MOV202603-0072</t>
  </si>
  <si>
    <t>MOV202603-0073</t>
  </si>
  <si>
    <t>MOV202603-0074</t>
  </si>
  <si>
    <t>MOV202603-0075</t>
  </si>
  <si>
    <t>MOV202603-0076</t>
  </si>
  <si>
    <t>MOV202603-0077</t>
  </si>
  <si>
    <t>MOV202603-0078</t>
  </si>
  <si>
    <t>MOV202603-0079</t>
  </si>
  <si>
    <t>MOV202603-0080</t>
  </si>
  <si>
    <t>MOV202603-0081</t>
  </si>
  <si>
    <t>MOV202603-0082</t>
  </si>
  <si>
    <t>MOV202603-0083</t>
  </si>
  <si>
    <t>MOV202603-0084</t>
  </si>
  <si>
    <t>MOV202603-0085</t>
  </si>
  <si>
    <t>MOV202603-0086</t>
  </si>
  <si>
    <t>MOV202603-0087</t>
  </si>
  <si>
    <t>MOV202603-0088</t>
  </si>
  <si>
    <t>MOV202603-0089</t>
  </si>
  <si>
    <t>MOV202603-0090</t>
  </si>
  <si>
    <t>MOV202603-0091</t>
  </si>
  <si>
    <t>MOV202603-0092</t>
  </si>
  <si>
    <t>MOV202603-0093</t>
  </si>
  <si>
    <t>MOV202603-0094</t>
  </si>
  <si>
    <t>MOV202603-0095</t>
  </si>
  <si>
    <t>MOV202603-0096</t>
  </si>
  <si>
    <t>MOV202603-0097</t>
  </si>
  <si>
    <t>MOV202603-0098</t>
  </si>
  <si>
    <t>MOV202603-0099</t>
  </si>
  <si>
    <t>MOV202603-0100</t>
  </si>
  <si>
    <t>MOV202603-0101</t>
  </si>
  <si>
    <t>MOV202603-0102</t>
  </si>
  <si>
    <t>MOV202603-0103</t>
  </si>
  <si>
    <t>MOV202603-0104</t>
  </si>
  <si>
    <t>MOV202603-0105</t>
  </si>
  <si>
    <t>MOV202603-0106</t>
  </si>
  <si>
    <t>MOV202603-0107</t>
  </si>
  <si>
    <t>MOV202603-0108</t>
  </si>
  <si>
    <t>MOV202603-0109</t>
  </si>
  <si>
    <t>MOV202603-0110</t>
  </si>
  <si>
    <t>MOV202603-0111</t>
  </si>
  <si>
    <t>MOV202603-0112</t>
  </si>
  <si>
    <t>MOV202603-0113</t>
  </si>
  <si>
    <t>MOV202603-0114</t>
  </si>
  <si>
    <t>MOV202603-0115</t>
  </si>
  <si>
    <t>MOV202603-0116</t>
  </si>
  <si>
    <t>MOV202603-0117</t>
  </si>
  <si>
    <t>MOV202603-0118</t>
  </si>
  <si>
    <t>MOV202603-0119</t>
  </si>
  <si>
    <t>MOV202603-0120</t>
  </si>
  <si>
    <t>MOV202603-0121</t>
  </si>
  <si>
    <t>MOV202603-0122</t>
  </si>
  <si>
    <t>MOV202603-0123</t>
  </si>
  <si>
    <t>MOV202603-0124</t>
  </si>
  <si>
    <t>MOV202603-0125</t>
  </si>
  <si>
    <t>MOV202603-0126</t>
  </si>
  <si>
    <t>MOV202603-0127</t>
  </si>
  <si>
    <t>MOV202603-0128</t>
  </si>
  <si>
    <t>MOV202603-0129</t>
  </si>
  <si>
    <t>MOV202603-0130</t>
  </si>
  <si>
    <t>MOV202603-0131</t>
  </si>
  <si>
    <t>MOV202603-0132</t>
  </si>
  <si>
    <t>MOV202603-0133</t>
  </si>
  <si>
    <t>MOV202603-0134</t>
  </si>
  <si>
    <t>MOV202603-0135</t>
  </si>
  <si>
    <t>MOV202603-0136</t>
  </si>
  <si>
    <t>MOV202603-0137</t>
  </si>
  <si>
    <t>MOV202603-0138</t>
  </si>
  <si>
    <t>MOV202603-0139</t>
  </si>
  <si>
    <t>MOV202603-0140</t>
  </si>
  <si>
    <t>MOV202603-0141</t>
  </si>
  <si>
    <t>MOV202603-0142</t>
  </si>
  <si>
    <t>MOV202603-0143</t>
  </si>
  <si>
    <t>MOV202603-0144</t>
  </si>
  <si>
    <t>MOV202603-0145</t>
  </si>
  <si>
    <t>MOV202603-0146</t>
  </si>
  <si>
    <t>MOV202603-0147</t>
  </si>
  <si>
    <t>MOV202603-0148</t>
  </si>
  <si>
    <t>MOV202603-0149</t>
  </si>
  <si>
    <t>MOV202603-0150</t>
  </si>
  <si>
    <t>MOV202603-0151</t>
  </si>
  <si>
    <t>MOV202603-0152</t>
  </si>
  <si>
    <t>MOV202603-0153</t>
  </si>
  <si>
    <t>MOV202603-0154</t>
  </si>
  <si>
    <t>MOV202603-0155</t>
  </si>
  <si>
    <t>MOV202603-0156</t>
  </si>
  <si>
    <t>MOV202603-0157</t>
  </si>
  <si>
    <t>MOV202603-0158</t>
  </si>
  <si>
    <t>MOV202603-0159</t>
  </si>
  <si>
    <t>MOV202603-0160</t>
  </si>
  <si>
    <t>MOV202603-0161</t>
  </si>
  <si>
    <t>MOV202603-0162</t>
  </si>
  <si>
    <t>MOV202603-0163</t>
  </si>
  <si>
    <t>MOV202603-0164</t>
  </si>
  <si>
    <t>MOV202603-0165</t>
  </si>
  <si>
    <t>MOV202603-0166</t>
  </si>
  <si>
    <t>MOV202603-0167</t>
  </si>
  <si>
    <t>MOV202603-0168</t>
  </si>
  <si>
    <t>MOV202603-0169</t>
  </si>
  <si>
    <t>MOV202603-0170</t>
  </si>
  <si>
    <t>MOV202603-0171</t>
  </si>
  <si>
    <t>MOV202603-0172</t>
  </si>
  <si>
    <t>MOV202603-0173</t>
  </si>
  <si>
    <t>MOV202603-0174</t>
  </si>
  <si>
    <t>MOV202603-0175</t>
  </si>
  <si>
    <t>MOV202603-0176</t>
  </si>
  <si>
    <t>MOV202603-0177</t>
  </si>
  <si>
    <t>MOV202603-0178</t>
  </si>
  <si>
    <t>MOV202603-0179</t>
  </si>
  <si>
    <t>MOV202603-0180</t>
  </si>
  <si>
    <t>MOV202603-0181</t>
  </si>
  <si>
    <t>MOV202603-0182</t>
  </si>
  <si>
    <t>MOV202603-0183</t>
  </si>
  <si>
    <t>MOV202603-0184</t>
  </si>
  <si>
    <t>MOV202603-0185</t>
  </si>
  <si>
    <t>MOV202603-0186</t>
  </si>
  <si>
    <t>MOV202603-0187</t>
  </si>
  <si>
    <t>MOV202603-0188</t>
  </si>
  <si>
    <t>MOV202603-0189</t>
  </si>
  <si>
    <t>MOV202603-0190</t>
  </si>
  <si>
    <t>MOV202603-0191</t>
  </si>
  <si>
    <t>MOV202603-0192</t>
  </si>
  <si>
    <t>MOV202603-0193</t>
  </si>
  <si>
    <t>MOV202603-0194</t>
  </si>
  <si>
    <t>MOV202603-0195</t>
  </si>
  <si>
    <t>MOV202603-0196</t>
  </si>
  <si>
    <t>MOV202603-0197</t>
  </si>
  <si>
    <t>MOV202603-0198</t>
  </si>
  <si>
    <t>MOV202603-0199</t>
  </si>
  <si>
    <t>MOV202603-0200</t>
  </si>
  <si>
    <t>MOV202603-0201</t>
  </si>
  <si>
    <t>MOV202603-0202</t>
  </si>
  <si>
    <t>MOV202603-0203</t>
  </si>
  <si>
    <t>MOV202603-0204</t>
  </si>
  <si>
    <t>MOV202603-0205</t>
  </si>
  <si>
    <t>MOV202603-0206</t>
  </si>
  <si>
    <t>MOV202603-0207</t>
  </si>
  <si>
    <t>MOV202603-0208</t>
  </si>
  <si>
    <t>MOV202603-0209</t>
  </si>
  <si>
    <t>MOV202603-0210</t>
  </si>
  <si>
    <t>MOV202603-0211</t>
  </si>
  <si>
    <t>MOV202603-0212</t>
  </si>
  <si>
    <t>MOV202603-0213</t>
  </si>
  <si>
    <t>MOV202603-0214</t>
  </si>
  <si>
    <t>MOV202603-0215</t>
  </si>
  <si>
    <t>MOV202603-0216</t>
  </si>
  <si>
    <t>MOV202603-0217</t>
  </si>
  <si>
    <t>MOV202603-0218</t>
  </si>
  <si>
    <t>MOV202603-0219</t>
  </si>
  <si>
    <t>MOV202603-0220</t>
  </si>
  <si>
    <t>MOV202603-0221</t>
  </si>
  <si>
    <t>MOV202603-0222</t>
  </si>
  <si>
    <t>MOV202603-0223</t>
  </si>
  <si>
    <t>MOV202603-0224</t>
  </si>
  <si>
    <t>MOV202603-0225</t>
  </si>
  <si>
    <t>MOV202603-0226</t>
  </si>
  <si>
    <t>MOV202603-0227</t>
  </si>
  <si>
    <t>MOV202603-0228</t>
  </si>
  <si>
    <t>MOV202603-0229</t>
  </si>
  <si>
    <t>MOV202603-0230</t>
  </si>
  <si>
    <t>MOV202603-0231</t>
  </si>
  <si>
    <t>MOV202603-0232</t>
  </si>
  <si>
    <t>MOV202603-0233</t>
  </si>
  <si>
    <t>MOV202603-0234</t>
  </si>
  <si>
    <t>MOV202603-0235</t>
  </si>
  <si>
    <t>MOV202603-0236</t>
  </si>
  <si>
    <t>MOV202603-0237</t>
  </si>
  <si>
    <t>MOV202603-0238</t>
  </si>
  <si>
    <t>MOV202603-0239</t>
  </si>
  <si>
    <t>MOV202603-0240</t>
  </si>
  <si>
    <t>MOV202603-0241</t>
  </si>
  <si>
    <t>MOV202603-0242</t>
  </si>
  <si>
    <t>MOV202603-0243</t>
  </si>
  <si>
    <t>MOV202603-0244</t>
  </si>
  <si>
    <t>MOV202603-0245</t>
  </si>
  <si>
    <t>MOV202603-0246</t>
  </si>
  <si>
    <t>MOV202603-0247</t>
  </si>
  <si>
    <t>MOV202603-0248</t>
  </si>
  <si>
    <t>MOV202603-0249</t>
  </si>
  <si>
    <t>MOV202603-0250</t>
  </si>
  <si>
    <t>MOV202603-0251</t>
  </si>
  <si>
    <t>MOV202603-0252</t>
  </si>
  <si>
    <t>MOV202603-0253</t>
  </si>
  <si>
    <t>MOV202603-0254</t>
  </si>
  <si>
    <t>MOV202603-0255</t>
  </si>
  <si>
    <t>MOV202603-0256</t>
  </si>
  <si>
    <t>MOV202603-0257</t>
  </si>
  <si>
    <t>MOV202603-0258</t>
  </si>
  <si>
    <t>MOV202603-0259</t>
  </si>
  <si>
    <t>MOV202603-0260</t>
  </si>
  <si>
    <t>MOV202603-0261</t>
  </si>
  <si>
    <t>MOV202603-0262</t>
  </si>
  <si>
    <t>MOV202603-0263</t>
  </si>
  <si>
    <t>MOV202603-0264</t>
  </si>
  <si>
    <t>MOV202603-0265</t>
  </si>
  <si>
    <t>MOV202603-0266</t>
  </si>
  <si>
    <t>MOV202603-0267</t>
  </si>
  <si>
    <t>MOV202603-0268</t>
  </si>
  <si>
    <t>MOV202603-0269</t>
  </si>
  <si>
    <t>MOV202603-0270</t>
  </si>
  <si>
    <t>MOV202603-0271</t>
  </si>
  <si>
    <t>MOV202603-0272</t>
  </si>
  <si>
    <t>MOV202603-0273</t>
  </si>
  <si>
    <t>MOV202603-0274</t>
  </si>
  <si>
    <t>MOV202603-0275</t>
  </si>
  <si>
    <t>MOV202603-0276</t>
  </si>
  <si>
    <t>MOV202603-0277</t>
  </si>
  <si>
    <t>MOV202603-0278</t>
  </si>
  <si>
    <t>MOV202603-0279</t>
  </si>
  <si>
    <t>MOV202603-0280</t>
  </si>
  <si>
    <t>MOV202603-0281</t>
  </si>
  <si>
    <t>MOV202603-0282</t>
  </si>
  <si>
    <t>MOV202603-0283</t>
  </si>
  <si>
    <t>MOV202603-0284</t>
  </si>
  <si>
    <t>MOV202603-0285</t>
  </si>
  <si>
    <t>MOV202603-0286</t>
  </si>
  <si>
    <t>MOV202603-0287</t>
  </si>
  <si>
    <t>MOV202603-0288</t>
  </si>
  <si>
    <t>MOV202603-0289</t>
  </si>
  <si>
    <t>MOV202603-0290</t>
  </si>
  <si>
    <t>MOV202603-0291</t>
  </si>
  <si>
    <t>MOV202603-0292</t>
  </si>
  <si>
    <t>MOV202603-0293</t>
  </si>
  <si>
    <t>MOV202603-0294</t>
  </si>
  <si>
    <t>MOV202603-0295</t>
  </si>
  <si>
    <t>MOV202603-0296</t>
  </si>
  <si>
    <t>MOV202603-0297</t>
  </si>
  <si>
    <t>MOV202603-0298</t>
  </si>
  <si>
    <t>MOV202603-0299</t>
  </si>
  <si>
    <t>MOV202603-0300</t>
  </si>
  <si>
    <t>MOV202603-0301</t>
  </si>
  <si>
    <t>MOV202603-0302</t>
  </si>
  <si>
    <t>MOV202603-0303</t>
  </si>
  <si>
    <t>MOV202603-0304</t>
  </si>
  <si>
    <t>MOV202603-0305</t>
  </si>
  <si>
    <t>MOV202603-0306</t>
  </si>
  <si>
    <t>MOV202603-0307</t>
  </si>
  <si>
    <t>MOV202603-0308</t>
  </si>
  <si>
    <t>MOV202603-0309</t>
  </si>
  <si>
    <t>MOV202603-0310</t>
  </si>
  <si>
    <t>MOV202603-0311</t>
  </si>
  <si>
    <t>MOV202603-0312</t>
  </si>
  <si>
    <t>MOV202603-0313</t>
  </si>
  <si>
    <t>MOV202603-0314</t>
  </si>
  <si>
    <t>MOV202603-0315</t>
  </si>
  <si>
    <t>MOV202603-0316</t>
  </si>
  <si>
    <t>MOV202603-0317</t>
  </si>
  <si>
    <t>MOV202603-0318</t>
  </si>
  <si>
    <t>MOV202603-0319</t>
  </si>
  <si>
    <t>MOV202603-0320</t>
  </si>
  <si>
    <t>MOV202603-0321</t>
  </si>
  <si>
    <t>MOV202603-0322</t>
  </si>
  <si>
    <t>MOV202603-0323</t>
  </si>
  <si>
    <t>MOV202603-0324</t>
  </si>
  <si>
    <t>MOV202603-0325</t>
  </si>
  <si>
    <t>No restriction on number of exceptions</t>
  </si>
  <si>
    <t>Exception ID (Primary Key)</t>
  </si>
  <si>
    <t>Exception Type</t>
  </si>
  <si>
    <t>Severity Level</t>
  </si>
  <si>
    <t>Probability</t>
  </si>
  <si>
    <t>Impacted Entities</t>
  </si>
  <si>
    <t>Impacted KPIs</t>
  </si>
  <si>
    <t>Magnitude</t>
  </si>
  <si>
    <t>Time Horizon</t>
  </si>
  <si>
    <t>Root Cause Hypotheses</t>
  </si>
  <si>
    <t>Alerted Stakeholders</t>
  </si>
  <si>
    <t>Current Status</t>
  </si>
  <si>
    <t>Resolution Summary</t>
  </si>
  <si>
    <t>AttachmentsURL</t>
  </si>
  <si>
    <t>Lessons ID (FK)</t>
  </si>
  <si>
    <t>Logistics delay</t>
  </si>
  <si>
    <t>Shipments,Orders,Movements</t>
  </si>
  <si>
    <t>OTIF,Transit Time</t>
  </si>
  <si>
    <t>8-15% impact</t>
  </si>
  <si>
    <t>3-10 days</t>
  </si>
  <si>
    <t>JNPT gate-in congestion; DG yard slot constraints</t>
  </si>
  <si>
    <t>Team-Intl,Team-Strategic,Logistics</t>
  </si>
  <si>
    <t>Mitigating</t>
  </si>
  <si>
    <t>Advanced documentation cut-off; shifted some cargo to earlier sailings</t>
  </si>
  <si>
    <t>https://docs.example.com/exc/EXC202602-0001.pdf</t>
  </si>
  <si>
    <t>LES202602-0001</t>
  </si>
  <si>
    <t>Demand spike</t>
  </si>
  <si>
    <t>Orders,Order_Line Items,Forecasts</t>
  </si>
  <si>
    <t>Fill Rate,Backorder Days</t>
  </si>
  <si>
    <t>1-3% impact</t>
  </si>
  <si>
    <t>Distributor pulled forward volumes due to seasonal demand</t>
  </si>
  <si>
    <t>Team-West,Sales Ops</t>
  </si>
  <si>
    <t>Investigating</t>
  </si>
  <si>
    <t>Validated customer forecast; allocated available stock; monitor repeat pattern</t>
  </si>
  <si>
    <t>https://docs.example.com/exc/EXC202602-0002.pdf</t>
  </si>
  <si>
    <t>LES202602-0008</t>
  </si>
  <si>
    <t>Supply disruption</t>
  </si>
  <si>
    <t>ProductionRuns,Production Plan,PurchaseRequisitions</t>
  </si>
  <si>
    <t>Schedule Adherence,Throughput</t>
  </si>
  <si>
    <t>DG packing bay capacity constrained at LTE; shift sequencing required</t>
  </si>
  <si>
    <t>Plant Ops,EHS,Supply Planning</t>
  </si>
  <si>
    <t>Staggered campaigns; added weekend packing slot; prioritized export SKUs</t>
  </si>
  <si>
    <t>https://docs.example.com/exc/EXC202602-0003.pdf</t>
  </si>
  <si>
    <t>LES202602-0003</t>
  </si>
  <si>
    <t>Shipments,Storage Nodes,Bins</t>
  </si>
  <si>
    <t>Dock-to-Stock Time,Transit Time</t>
  </si>
  <si>
    <t>Rotterdam terminal slot reduction for ISO tanks</t>
  </si>
  <si>
    <t>Team-Intl,Logistics</t>
  </si>
  <si>
    <t>Open</t>
  </si>
  <si>
    <t>Pre-booked ISO slots; moved one lot to TNK_EUR_ANT where feasible</t>
  </si>
  <si>
    <t>https://docs.example.com/exc/EXC202602-0004.pdf</t>
  </si>
  <si>
    <t>LES202602-0004</t>
  </si>
  <si>
    <t>Shipments,Orders</t>
  </si>
  <si>
    <t>OTIF,Delivery Variance</t>
  </si>
  <si>
    <t>US rail congestion impacting Midwest last-mile</t>
  </si>
  <si>
    <t>Team-Intl,Customer Service</t>
  </si>
  <si>
    <t>Pre-positioned inventory to WH_US_MID_CHI; increased delivery buffers</t>
  </si>
  <si>
    <t>https://docs.example.com/exc/EXC202602-0005.pdf</t>
  </si>
  <si>
    <t>LES202602-0005</t>
  </si>
  <si>
    <t>Regulatory</t>
  </si>
  <si>
    <t>Orders,Shipments,Customers</t>
  </si>
  <si>
    <t>Documentation Accuracy,Clearance Time</t>
  </si>
  <si>
    <t>2-3 weeks</t>
  </si>
  <si>
    <t>Customer credit downgrade + compliance review for EU distributor</t>
  </si>
  <si>
    <t>Finance,Team-Intl,Legal</t>
  </si>
  <si>
    <t>Moved impacted orders to Net 15/Advance; initiated KYC refresh</t>
  </si>
  <si>
    <t>https://docs.example.com/exc/EXC202602-0006.pdf</t>
  </si>
  <si>
    <t>LES202602-0002</t>
  </si>
  <si>
    <t>Shipments,Storage Nodes</t>
  </si>
  <si>
    <t>Dwell Time,OTIF</t>
  </si>
  <si>
    <t>Sharjah bonded warehouse added DG segregation inspections</t>
  </si>
  <si>
    <t>Added 2-day buffer; prioritized non-DG loads; pre-cleared documentation</t>
  </si>
  <si>
    <t>https://docs.example.com/exc/EXC202602-0007.pdf</t>
  </si>
  <si>
    <t>LES202602-0007</t>
  </si>
  <si>
    <t>Orders,Order_Line Items</t>
  </si>
  <si>
    <t>OTIF,Fill Rate</t>
  </si>
  <si>
    <t>Expedited request from domestic pharma customer for acetic anhydride</t>
  </si>
  <si>
    <t>Team-West,Customer Service,Plant Ops</t>
  </si>
  <si>
    <t>Resolved</t>
  </si>
  <si>
    <t>Pulled inventory from WH_IN_GUJ_AHD; dispatched under SLA_STD_DOM_T2</t>
  </si>
  <si>
    <t>https://docs.example.com/exc/EXC202602-0008.pdf</t>
  </si>
  <si>
    <t>Shipments,Orders,SLA Profiles</t>
  </si>
  <si>
    <t>Documentation Accuracy,OTIF</t>
  </si>
  <si>
    <t>EU REACH/CLP enforcement focus; SDS language and completeness checks</t>
  </si>
  <si>
    <t>Quality,Regulatory,Team-Intl</t>
  </si>
  <si>
    <t>Completed SDS audit; updated templates; re-trained documentation team</t>
  </si>
  <si>
    <t>https://docs.example.com/exc/EXC202602-0009.pdf</t>
  </si>
  <si>
    <t>LES202602-0006</t>
  </si>
  <si>
    <t>Cut-off Compliance,OTIF</t>
  </si>
  <si>
    <t>Antwerp terminal weekend cut-off change for DG paperwork</t>
  </si>
  <si>
    <t>Shifted document prep to T-48 hours; aligned booking windows</t>
  </si>
  <si>
    <t>https://docs.example.com/exc/EXC202602-0010.pdf</t>
  </si>
  <si>
    <t>LES202602-0010</t>
  </si>
  <si>
    <t>Orders,Accounts Receivable</t>
  </si>
  <si>
    <t>DSO,Credit Exposure</t>
  </si>
  <si>
    <t>North India distributor payment delays affecting credit availability</t>
  </si>
  <si>
    <t>Finance,Team-North,Sales Ops</t>
  </si>
  <si>
    <t>Moved new orders to Advance; set credit hold thresholds</t>
  </si>
  <si>
    <t>https://docs.example.com/exc/EXC202602-0011.pdf</t>
  </si>
  <si>
    <t>Quality hold</t>
  </si>
  <si>
    <t>Orders,Shipments,Batches</t>
  </si>
  <si>
    <t>OTIF,Claims Rate</t>
  </si>
  <si>
    <t>Customer requests 24h COA; lab turnaround constraint</t>
  </si>
  <si>
    <t>QA,Customer Service,Team-Intl</t>
  </si>
  <si>
    <t>Prioritized lab queue for export lots; implemented digital COA release</t>
  </si>
  <si>
    <t>https://docs.example.com/exc/EXC202602-0012.pdf</t>
  </si>
  <si>
    <t>LES202602-0009</t>
  </si>
  <si>
    <t>Shipments,Storage Nodes,Movements</t>
  </si>
  <si>
    <t>Receiving Cycle Time,OTIF</t>
  </si>
  <si>
    <t>Labor shortage at WH_US_EAST_NJ slowing unloading</t>
  </si>
  <si>
    <t>Rerouted 일부 receipts to WH_US_MID_CHI; booked longer appointment slots</t>
  </si>
  <si>
    <t>https://docs.example.com/exc/EXC202602-0013.pdf</t>
  </si>
  <si>
    <t>ProductionRuns,Production Plan,Shipments</t>
  </si>
  <si>
    <t>Schedule Adherence,Fill Rate</t>
  </si>
  <si>
    <t>Bagging line dust collection maintenance reduced powder pack-out capacity</t>
  </si>
  <si>
    <t>Pre-packed prior week; sequenced liquids first; scheduled maintenance off-peak</t>
  </si>
  <si>
    <t>https://docs.example.com/exc/EXC202602-0014.pdf</t>
  </si>
  <si>
    <t>LES202602-0011</t>
  </si>
  <si>
    <t>Shipments,SLA Profiles</t>
  </si>
  <si>
    <t>Genoa terminal revised hazardous cargo checklist causing rework</t>
  </si>
  <si>
    <t>Team-Intl,Documentation</t>
  </si>
  <si>
    <t>Updated checklist; added pre-dispatch document validation step</t>
  </si>
  <si>
    <t>https://docs.example.com/exc/EXC202602-0015.pdf</t>
  </si>
  <si>
    <t>LES202602-0012</t>
  </si>
  <si>
    <t>Orders,Batches,Shipments</t>
  </si>
  <si>
    <t>Safety Incidents,OTIF</t>
  </si>
  <si>
    <t>Acetaldehyde handling advisory; additional packaging integrity checks</t>
  </si>
  <si>
    <t>EHS,QA,Plant Ops</t>
  </si>
  <si>
    <t>Performed drum inspections; refreshed SOP; held suspect lots pending QA</t>
  </si>
  <si>
    <t>https://docs.example.com/exc/EXC202602-0016.pdf</t>
  </si>
  <si>
    <t>LES202602-0013</t>
  </si>
  <si>
    <t>Clearance Time,Documentation Accuracy</t>
  </si>
  <si>
    <t>EU customer requested REACH dossier reference in shipping documents</t>
  </si>
  <si>
    <t>Regulatory,Documentation,Team-Intl</t>
  </si>
  <si>
    <t>Added REACH reference field to doc pack; verified TNK_EUR_ANT packets</t>
  </si>
  <si>
    <t>https://docs.example.com/exc/EXC202602-0017.pdf</t>
  </si>
  <si>
    <t>No restriction on number of lessons</t>
  </si>
  <si>
    <t>Lessons ID (Primary Key)</t>
  </si>
  <si>
    <t>Title</t>
  </si>
  <si>
    <t>Context</t>
  </si>
  <si>
    <t>What Happened</t>
  </si>
  <si>
    <t>Why it Happened</t>
  </si>
  <si>
    <t>Considered Alternatives</t>
  </si>
  <si>
    <t>Chosen Action</t>
  </si>
  <si>
    <t>Outcome Metrics</t>
  </si>
  <si>
    <t>Repeatability</t>
  </si>
  <si>
    <t>Preventive Guidelines</t>
  </si>
  <si>
    <t>Applicability</t>
  </si>
  <si>
    <t>Review ID (FK)</t>
  </si>
  <si>
    <t>Review By</t>
  </si>
  <si>
    <t>Attachments</t>
  </si>
  <si>
    <t>JNPT DG gate-in congestion playbook</t>
  </si>
  <si>
    <t>Linked to EXC202602-0001 (Logistics delay) impacting Shipments, Orders, Movements and OTIF/Transit Time.</t>
  </si>
  <si>
    <t>DG export containers missed preferred gate-in slots at CFS_IN_NHAV during peak congestion.</t>
  </si>
  <si>
    <t>Terminal congestion and DG yard slot constraints reduced throughput.</t>
  </si>
  <si>
    <t>Shift to alternate sailing; route via different port; split loads to non-DG where possible.</t>
  </si>
  <si>
    <t>Moved documentation cut-off to T-48 and pre-booked DG slots; staggered dispatches.</t>
  </si>
  <si>
    <t>OTIF +1.5pp vs prior week; dwell time -1.2 days; 0 document rejections.</t>
  </si>
  <si>
    <t>High (repeatable for peak weeks)</t>
  </si>
  <si>
    <t>Maintain DG pre-gate checklist; freeze docs 48h; confirm slot booking 72h prior.</t>
  </si>
  <si>
    <t>CFS_IN_NHAV, export shipments, DG loads</t>
  </si>
  <si>
    <t>REV202602-0005</t>
  </si>
  <si>
    <t>Logistics Lead - Export</t>
  </si>
  <si>
    <t>https://docs.example.com/lessons/LES202602-0001.pdf</t>
  </si>
  <si>
    <t>Credit tightening rule for C-rated distributors</t>
  </si>
  <si>
    <t>Linked to EXC202602-0011 (Credit pressure) impacting Orders and DSO/Credit Exposure.</t>
  </si>
  <si>
    <t>Several North India distributor orders requested extended credit beyond approved limits.</t>
  </si>
  <si>
    <t>Collections lag and higher risk exposure for C-rated accounts.</t>
  </si>
  <si>
    <t>Continue Net 30; partial shipment; require bank guarantee.</t>
  </si>
  <si>
    <t>Moved C-rated new orders to Advance; Net 15 for B-rated until review.</t>
  </si>
  <si>
    <t>DSO -6 days for impacted accounts; bad debt risk reduced (qualitative).</t>
  </si>
  <si>
    <t>Embed risk-based payment term rule in order entry; auto-flag overrides.</t>
  </si>
  <si>
    <t>Domestic distributors, credit policy</t>
  </si>
  <si>
    <t>REV202602-0006</t>
  </si>
  <si>
    <t>Finance Controller</t>
  </si>
  <si>
    <t>https://docs.example.com/lessons/LES202602-0002.pdf</t>
  </si>
  <si>
    <t>DG packing slot reservation at LTE</t>
  </si>
  <si>
    <t>Linked to EXC202602-0003 (Supply disruption) impacting ProductionRuns/Production Plan and Schedule Adherence.</t>
  </si>
  <si>
    <t>DG packing capacity at LTE became a bottleneck for FLUORO/DKD export lots.</t>
  </si>
  <si>
    <t>Limited DG bay availability and uneven campaign sequencing.</t>
  </si>
  <si>
    <t>Outsource packing; defer lower margin lots; add overtime shifts.</t>
  </si>
  <si>
    <t>Reserved fixed DG packing windows and sequenced campaigns to match packing capacity.</t>
  </si>
  <si>
    <t>Schedule adherence +4pp; export backlog cleared in 5 days.</t>
  </si>
  <si>
    <t>Create DG packing calendar; lock windows during weekly ops review; maintain safety stock of DG labels.</t>
  </si>
  <si>
    <t>LTE, FLUORO/DKD exports</t>
  </si>
  <si>
    <t>REV202602-0001</t>
  </si>
  <si>
    <t>Plant Ops Head - LTE</t>
  </si>
  <si>
    <t>https://docs.example.com/lessons/LES202602-0003.pdf</t>
  </si>
  <si>
    <t>Rotterdam ISO slot pre-booking for bulk solvents</t>
  </si>
  <si>
    <t>Linked to EXC202602-0004 (Logistics delay) impacting Storage Nodes/Bins and dock-to-stock time.</t>
  </si>
  <si>
    <t>ISO tank arrivals faced slot unavailability at TNK_EUR_RTM, extending dwell.</t>
  </si>
  <si>
    <t>Terminal slot reductions and clustering of arrivals.</t>
  </si>
  <si>
    <t>Divert to TNK_EUR_ANT; break bulk into drums; delay shipments.</t>
  </si>
  <si>
    <t>Pre-booked ISO slots 2 weeks ahead and spread arrivals across terminals.</t>
  </si>
  <si>
    <t>Dwell time -0.8 days; demurrage cost avoided on 2 loads.</t>
  </si>
  <si>
    <t>Maintain forward slot bookings; align sailing schedules; set arrival caps per week.</t>
  </si>
  <si>
    <t>EU bulk lanes, TNK_EUR_*</t>
  </si>
  <si>
    <t>REV202602-0002</t>
  </si>
  <si>
    <t>Intl Logistics Manager</t>
  </si>
  <si>
    <t>https://docs.example.com/lessons/LES202602-0004.pdf</t>
  </si>
  <si>
    <t>US Midwest buffer inventory strategy</t>
  </si>
  <si>
    <t>Linked to EXC202602-0005 (Logistics delay) impacting Shipments and OTIF/Delivery Variance.</t>
  </si>
  <si>
    <t>Inland delays increased risk of late deliveries to Midwest customers.</t>
  </si>
  <si>
    <t>Rail congestion and appointment constraints at WH_US_EAST_NJ.</t>
  </si>
  <si>
    <t>Air expedite; customer reschedule; ship direct to customer port.</t>
  </si>
  <si>
    <t>Pre-positioned inventory at WH_US_MID_CHI and increased lead time buffers.</t>
  </si>
  <si>
    <t>OTIF maintained at 93% for Midwest; expedite cost -18%.</t>
  </si>
  <si>
    <t>Use dual-node inventory for AMER; monitor rail bulletins weekly; trigger buffer when risk rises.</t>
  </si>
  <si>
    <t>AMER distribution network</t>
  </si>
  <si>
    <t>Supply Planning Lead - AMER</t>
  </si>
  <si>
    <t>https://docs.example.com/lessons/LES202602-0005.pdf</t>
  </si>
  <si>
    <t>EU documentation pack quality for REACH focus</t>
  </si>
  <si>
    <t>Linked to EXC202602-0009 (Regulatory) impacting Documentation Accuracy and clearance time.</t>
  </si>
  <si>
    <t>EU customers requested additional REACH/CLP references; increased document scrutiny.</t>
  </si>
  <si>
    <t>Regulatory enforcement focus and inconsistent document templates.</t>
  </si>
  <si>
    <t>Manual checks only; outsource documentation; delay shipments.</t>
  </si>
  <si>
    <t>Standardized templates and added pre-dispatch validation checklist.</t>
  </si>
  <si>
    <t>Doc accuracy 99.7% sustained; 0 clearance holds in Feb.</t>
  </si>
  <si>
    <t>Maintain master SDS library; enforce version control; audit 5% of doc packs monthly.</t>
  </si>
  <si>
    <t>EU exports via TNK_EUR_*</t>
  </si>
  <si>
    <t>REV202602-0003</t>
  </si>
  <si>
    <t>Regulatory Affairs Lead</t>
  </si>
  <si>
    <t>https://docs.example.com/lessons/LES202602-0006.pdf</t>
  </si>
  <si>
    <t>Sharjah DG inspection buffer rule</t>
  </si>
  <si>
    <t>Linked to EXC202602-0007 (Logistics delay) impacting dwell time and OTIF for MEA.</t>
  </si>
  <si>
    <t>Additional DG segregation inspections at WH_UAE_SHJ increased dwell.</t>
  </si>
  <si>
    <t>Operator introduced new inspection step without prior notice.</t>
  </si>
  <si>
    <t>Reroute via direct customer delivery; change LSP; send non-DG only.</t>
  </si>
  <si>
    <t>Added 2-day buffer for DG shipments and prioritized non-DG where feasible.</t>
  </si>
  <si>
    <t>No missed customer delivery windows; dwell stabilized at +0.5 days.</t>
  </si>
  <si>
    <t>Maintain bonded node change log; confirm SOP changes with operators monthly.</t>
  </si>
  <si>
    <t>MEA/GCC lanes via WH_UAE_SHJ</t>
  </si>
  <si>
    <t>Logistics Coordinator - MEA</t>
  </si>
  <si>
    <t>https://docs.example.com/lessons/LES202602-0007.pdf</t>
  </si>
  <si>
    <t>Expedite protocol for domestic pharma acetic anhydride</t>
  </si>
  <si>
    <t>Linked to EXC202602-0008 (Demand spike) impacting Orders/Line items and OTIF.</t>
  </si>
  <si>
    <t>Customer required expedited delivery for acetic anhydride within SLA_STD_DOM_T2 window.</t>
  </si>
  <si>
    <t>Unplanned demand and limited ready stock at nearest node.</t>
  </si>
  <si>
    <t>Reject request; partial shipment; air move (not suitable).</t>
  </si>
  <si>
    <t>Reallocated stock to WH_IN_GUJ_AHD and prioritized dispatch with DG-compliant packing.</t>
  </si>
  <si>
    <t>Delivery met; OTIF retained; no quality deviations.</t>
  </si>
  <si>
    <t>Keep safety stock for critical SKUs at regional warehouses; define expedite approval matrix.</t>
  </si>
  <si>
    <t>DOM pharma customers</t>
  </si>
  <si>
    <t>REV202602-0004</t>
  </si>
  <si>
    <t>Customer Service Manager</t>
  </si>
  <si>
    <t>https://docs.example.com/lessons/LES202602-0008.pdf</t>
  </si>
  <si>
    <t>COA release within 24h for export pharma/high purity</t>
  </si>
  <si>
    <t>Linked to EXC202602-0012 (Quality hold risk) impacting OTIF and claims rate.</t>
  </si>
  <si>
    <t>COA turnaround expectations tightened for export customers; risk of shipment hold.</t>
  </si>
  <si>
    <t>Lab queue prioritization not aligned to shipment cut-offs.</t>
  </si>
  <si>
    <t>Hire temp analysts; delay dispatch; issue preliminary COA.</t>
  </si>
  <si>
    <t>Implemented lab priority queue for export lots and digital COA release workflow.</t>
  </si>
  <si>
    <t>COA TAT median 18h; holds reduced to 0 for Feb export lots.</t>
  </si>
  <si>
    <t>Align lab schedule with shipping calendar; auto-alert if COA pending at T-12.</t>
  </si>
  <si>
    <t>Export shipments via CFS_IN_NHAV</t>
  </si>
  <si>
    <t>QA Lead</t>
  </si>
  <si>
    <t>https://docs.example.com/lessons/LES202602-0009.pdf</t>
  </si>
  <si>
    <t>Antwerp weekend DG cut-off compliance</t>
  </si>
  <si>
    <t>Linked to EXC202602-0010 (Logistics delay) impacting cut-off compliance and OTIF.</t>
  </si>
  <si>
    <t>Weekend cut-off change caused risk of missing DG documentation deadline at TNK_EUR_ANT.</t>
  </si>
  <si>
    <t>Late document finalization and unclear ownership of DG declarations.</t>
  </si>
  <si>
    <t>Switch terminal; hold cargo; pay premium handling.</t>
  </si>
  <si>
    <t>Moved documentation completion to T-48 and assigned single owner for DG docs.</t>
  </si>
  <si>
    <t>0 missed cut-offs after change; reduced rework incidents.</t>
  </si>
  <si>
    <t>Maintain cut-off calendar; RACI for DG docs; pre-validate IMO declarations.</t>
  </si>
  <si>
    <t>EU terminals and DG shipments</t>
  </si>
  <si>
    <t>Documentation Lead</t>
  </si>
  <si>
    <t>https://docs.example.com/lessons/LES202602-0010.pdf</t>
  </si>
  <si>
    <t>Powder bagging maintenance mitigation</t>
  </si>
  <si>
    <t>Linked to EXC202602-0014 (Capacity/quality risk) impacting powder pack-out and fill rate.</t>
  </si>
  <si>
    <t>Dust collection maintenance reduced BAG25 pack-out capacity for powders.</t>
  </si>
  <si>
    <t>Maintenance scheduled during peak dispatch window.</t>
  </si>
  <si>
    <t>Delay commitments; outsource packing; run overtime after maintenance.</t>
  </si>
  <si>
    <t>Pre-packed prior week and shifted liquids forward; scheduled maintenance off-peak.</t>
  </si>
  <si>
    <t>No customer backorders; pack-out recovered within 3 days.</t>
  </si>
  <si>
    <t>Maintenance planning must consider dispatch calendar; maintain pre-pack buffer for BAG25.</t>
  </si>
  <si>
    <t>Powder SKUs (ARYLIDE/FLUORO)</t>
  </si>
  <si>
    <t>Maintenance Planner</t>
  </si>
  <si>
    <t>https://docs.example.com/lessons/LES202602-0011.pdf</t>
  </si>
  <si>
    <t>Genoa hazardous checklist update process</t>
  </si>
  <si>
    <t>Linked to EXC202602-0015 (Regulatory) impacting documentation accuracy and clearance time.</t>
  </si>
  <si>
    <t>Genoa terminal checklist changes created document rework risk for hazardous cargo.</t>
  </si>
  <si>
    <t>Checklist version changes not tracked centrally.</t>
  </si>
  <si>
    <t>Hold shipments; shift to non-hazard routes; rely on broker only.</t>
  </si>
  <si>
    <t>Updated checklist repository and added pre-dispatch validation step.</t>
  </si>
  <si>
    <t>Rework rate -60%; no clearance delays in March planning.</t>
  </si>
  <si>
    <t>Centralize terminal checklists; subscribe to operator bulletins; assign owner for updates.</t>
  </si>
  <si>
    <t>EU shipments via TNK_EUR_GEN</t>
  </si>
  <si>
    <t>Logistics Compliance</t>
  </si>
  <si>
    <t>https://docs.example.com/lessons/LES202602-0012.pdf</t>
  </si>
  <si>
    <t>ACE handling advisory response</t>
  </si>
  <si>
    <t>Linked to EXC202602-0016 (Quality/Safety) impacting batches, shipments and safety incidents KPI.</t>
  </si>
  <si>
    <t>Added packaging integrity checks and SOP refresh for acetaldehyde lots.</t>
  </si>
  <si>
    <t>External incident increased risk sensitivity; older drums in circulation.</t>
  </si>
  <si>
    <t>Stop shipments; rework drums; switch to alternate pack.</t>
  </si>
  <si>
    <t>Performed drum inspections, refreshed SOP and held suspect lots pending QA.</t>
  </si>
  <si>
    <t>0 incidents; 2 lots reworked; minor delay contained within SLA tolerance.</t>
  </si>
  <si>
    <t>Implement periodic drum integrity audits; ensure UN pack compliance for ACE.</t>
  </si>
  <si>
    <t>ACETYL hazardous liquids</t>
  </si>
  <si>
    <t>REV202602-0007</t>
  </si>
  <si>
    <t>EHS Manager</t>
  </si>
  <si>
    <t>https://docs.example.com/lessons/LES202602-0013.pdf</t>
  </si>
  <si>
    <t>LES202602-0014</t>
  </si>
  <si>
    <t>Packaging mix planning for EU small-lot drums</t>
  </si>
  <si>
    <t>Context from customer preference shift (related to EXC202602-0004/0010) impacting terminal handling and OTIF.</t>
  </si>
  <si>
    <t>Increase in DR200_UN orders raised handling needs and pallet slot constraints.</t>
  </si>
  <si>
    <t>Shift in customer purchasing pattern and drum availability planning.</t>
  </si>
  <si>
    <t>Reject small lots; push ISO20; increase prices.</t>
  </si>
  <si>
    <t>Reserved DG pallet slots and improved drum procurement forecasting.</t>
  </si>
  <si>
    <t>Pick/pack cycle time stable; OTIF maintained.</t>
  </si>
  <si>
    <t>Forecast packaging mix; reserve pallet slots; ensure drum supplier SLAs.</t>
  </si>
  <si>
    <t>EU customers requiring drums</t>
  </si>
  <si>
    <t>Packaging Planner</t>
  </si>
  <si>
    <t>https://docs.example.com/lessons/LES202602-0014.pdf</t>
  </si>
  <si>
    <t>LES202602-0015</t>
  </si>
  <si>
    <t>Dahej capacity assumption guardrail in planning</t>
  </si>
  <si>
    <t>Context from project risk note impacting capacity planning and forecast confidence.</t>
  </si>
  <si>
    <t>Dahej commissioning risks required removing DHJ capacity from near-term assumptions.</t>
  </si>
  <si>
    <t>Utility commissioning risk and dependency on external approvals.</t>
  </si>
  <si>
    <t>Assume partial DHJ start; add overtime at MHD/LTE; outsource production.</t>
  </si>
  <si>
    <t>Kept DHJ as planned only; built buffers at MHD/LTE and adjusted reservations.</t>
  </si>
  <si>
    <t>No capacity shortfall in Feb; clearer scenario planning for March.</t>
  </si>
  <si>
    <t>Use scenario planning for greenfield projects; avoid committing capacity until gate criteria met.</t>
  </si>
  <si>
    <t>All planning cycles; capacity reservations</t>
  </si>
  <si>
    <t>Head - S&amp;OP</t>
  </si>
  <si>
    <t>https://docs.example.com/lessons/LES202602-0015.pdf</t>
  </si>
  <si>
    <t>Review Event ID (Primary Key)</t>
  </si>
  <si>
    <t>Review Type</t>
  </si>
  <si>
    <t>ScheduledDate</t>
  </si>
  <si>
    <t>Actual Held On Date</t>
  </si>
  <si>
    <t>Participants</t>
  </si>
  <si>
    <t>Agenda</t>
  </si>
  <si>
    <t>Minutes of the Meeting_Doc</t>
  </si>
  <si>
    <t>Decision Outcomes</t>
  </si>
  <si>
    <t>Follow Up Action</t>
  </si>
  <si>
    <t>Next Review Date</t>
  </si>
  <si>
    <t>Weekly Ops Review</t>
  </si>
  <si>
    <t>Weekly</t>
  </si>
  <si>
    <t>Plant Ops Lead; Supply Planning; QA; EHS</t>
  </si>
  <si>
    <t>Week-5 run adherence, DG packing slots, dispatch constraints</t>
  </si>
  <si>
    <t>https://minutes.example.com/rev/REV202602-0001.pdf</t>
  </si>
  <si>
    <t>Re-sequenced DKD/FLUORO campaigns; locked DG bay windows</t>
  </si>
  <si>
    <t>Issue updated daily production schedule by EOD; confirm DG labels</t>
  </si>
  <si>
    <t>Plant Ops Lead; Maintenance; Supply Planning; Logistics</t>
  </si>
  <si>
    <t>CFS gate-in risk, maintenance readiness, inventory balancing</t>
  </si>
  <si>
    <t>https://minutes.example.com/rev/REV202602-0002.pdf</t>
  </si>
  <si>
    <t>Pulled forward export stuffing by 48h; approved overtime for packing</t>
  </si>
  <si>
    <t>Advance documentation cut-off; allocate buffer stock to CFS_IN_NHAV</t>
  </si>
  <si>
    <t>2026-02-17T00:00:00.000Z</t>
  </si>
  <si>
    <t>Monthly S&amp;OP Review</t>
  </si>
  <si>
    <t>2026-02-14T00:00:00.000Z</t>
  </si>
  <si>
    <t>Sales Head; Supply Chain Head; Finance; Plant Heads; Logistics</t>
  </si>
  <si>
    <t>Feb demand vs plan, capacity, inventory, key exceptions</t>
  </si>
  <si>
    <t>https://minutes.example.com/rev/REV202602-0003.pdf</t>
  </si>
  <si>
    <t>Approved Feb supply plan; prioritized AMER acetyl exports; capped low-margin MEA</t>
  </si>
  <si>
    <t>Confirm allocation by region; update Forecasts assumptions for Mar</t>
  </si>
  <si>
    <t>2026-03-14T00:00:00.000Z</t>
  </si>
  <si>
    <t>Plant Ops Lead; QA; Warehouse Leads (WH_IN_WEST_BHI/WH_IN_GUJ_AHD)</t>
  </si>
  <si>
    <t>Quality release TAT, warehouse space, drum availability</t>
  </si>
  <si>
    <t>https://minutes.example.com/rev/REV202602-0004.pdf</t>
  </si>
  <si>
    <t>Increased COA release prioritization; reserved DR200_UN lot for export</t>
  </si>
  <si>
    <t>Set COA SLA to 24h for export lots; validate packaging supplier ETA</t>
  </si>
  <si>
    <t>2026-02-24T00:00:00.000Z</t>
  </si>
  <si>
    <t>Post-mortem</t>
  </si>
  <si>
    <t>Ad-hoc</t>
  </si>
  <si>
    <t>2026-02-20T00:00:00.000Z</t>
  </si>
  <si>
    <t>Customer Service; Logistics; Documentation; Finance</t>
  </si>
  <si>
    <t>Review EXC202602-0001 JNPT delays and OTIF misses</t>
  </si>
  <si>
    <t>https://minutes.example.com/rev/REV202602-0005.pdf</t>
  </si>
  <si>
    <t>Added T-48 document freeze; implemented pre-gate-in checklist</t>
  </si>
  <si>
    <t>Create SOP for DG container handover; train team and audit weekly</t>
  </si>
  <si>
    <t>Supply Planning; Procurement; Plant Ops; LSP Manager</t>
  </si>
  <si>
    <t>Raw material receipts, PR aging, inbound lead-time deviations</t>
  </si>
  <si>
    <t>https://minutes.example.com/rev/REV202602-0006.pdf</t>
  </si>
  <si>
    <t>Expedite critical RM for DKD; approved alternate vendor for solvents</t>
  </si>
  <si>
    <t>Release priority POs; update Material Requirements Plan lead-times</t>
  </si>
  <si>
    <t>2026-02-26T00:00:00.000Z</t>
  </si>
  <si>
    <t>QA; Plant Ops; EHS; Customer Service</t>
  </si>
  <si>
    <t>Review ACE handling advisory and packaging integrity checks</t>
  </si>
  <si>
    <t>https://minutes.example.com/rev/REV202602-0007.pdf</t>
  </si>
  <si>
    <t>Implemented enhanced drum inspection; refreshed SOP and training</t>
  </si>
  <si>
    <t>Audit DR200_UN stock; document corrective actions in CAPA log</t>
  </si>
  <si>
    <t>REV202602-0008</t>
  </si>
  <si>
    <t>2026-02-28T00:00:00.000Z</t>
  </si>
  <si>
    <t>Sales Head; Supply Chain Head; Finance; Plant Heads; Intl Sales</t>
  </si>
  <si>
    <t>Month-end reconciliation, KPI review, March freeze and risks</t>
  </si>
  <si>
    <t>https://minutes.example.com/rev/REV202602-0008.pdf</t>
  </si>
  <si>
    <t>Frozen Mar capacity reservations; approved safety stock targets EU tanks</t>
  </si>
  <si>
    <t>Publish March master production schedule; align LSP bookings</t>
  </si>
  <si>
    <t>2026-03-28T00:00:00.000Z</t>
  </si>
  <si>
    <t>Roles</t>
  </si>
  <si>
    <t>Level</t>
  </si>
  <si>
    <t>Supply Chain Head / VP</t>
  </si>
  <si>
    <t>Central</t>
  </si>
  <si>
    <t>Central head of supply chain management; overlooking sales regions and plant locations</t>
  </si>
  <si>
    <t>Head - Central Planning</t>
  </si>
  <si>
    <t>Central and functional</t>
  </si>
  <si>
    <t>Overlooks central planning - demand, supply &amp; inventory planning</t>
  </si>
  <si>
    <t>Plant Supply Chain Manager</t>
  </si>
  <si>
    <t>Plant</t>
  </si>
  <si>
    <t>Mini supply chain head of plant responsible for RM planning, scheduling, storage, FG dispatch</t>
  </si>
  <si>
    <t>Regional Fulfilment Manager</t>
  </si>
  <si>
    <t>Sales region</t>
  </si>
  <si>
    <t>Responsible for region-wise customer service, order management, storage &amp; distribution</t>
  </si>
  <si>
    <t>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</si>
</sst>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yyyy\-mm\-dd"/>
    <numFmt numFmtId="167" formatCode="0.0%"/>
    <numFmt numFmtId="168" formatCode="&quot;$&quot;#,##0.00"/>
  </numFmts>
  <fonts count="9">
    <font>
      <sz val="12"/>
      <color theme="1"/>
      <name val="TimesNewRomanPSMT"/>
      <family val="2"/>
    </font>
    <font>
      <b/>
      <sz val="12"/>
      <color theme="1"/>
      <name val="TimesNewRomanPSMT"/>
      <family val="2"/>
    </font>
    <font>
      <b/>
      <sz val="12"/>
      <color rgb="FF000000"/>
      <name val="TimesNewRomanPSMT"/>
      <family val="2"/>
    </font>
    <font>
      <sz val="12"/>
      <color rgb="FF000000"/>
      <name val="TimesNewRomanPSMT"/>
      <family val="2"/>
    </font>
    <font>
      <b/>
      <sz val="12"/>
      <color theme="1" tint="4.9989318521683403E-2"/>
      <name val="TimesNewRomanPSMT"/>
      <family val="2"/>
    </font>
    <font>
      <i/>
      <sz val="12"/>
      <color theme="1"/>
      <name val="TimesNewRomanPSMT"/>
      <family val="2"/>
    </font>
    <font>
      <i/>
      <sz val="12"/>
      <color rgb="FF333333"/>
      <name val="TimesNewRomanPSMT"/>
      <family val="2"/>
    </font>
    <font>
      <i/>
      <sz val="12"/>
      <color rgb="FF000000"/>
      <name val="TimesNewRomanPSMT"/>
      <family val="2"/>
    </font>
    <font>
      <b/>
      <sz val="12"/>
      <color rgb="FFFFFFFF"/>
      <name val="TimesNewRomanPSM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2" borderId="0" xfId="0" applyFont="1" applyFill="1"/>
    <xf numFmtId="49" fontId="0" fillId="0" borderId="0" xfId="0" applyNumberFormat="1"/>
    <xf numFmtId="1" fontId="0" fillId="0" borderId="0" xfId="0" applyNumberFormat="1"/>
    <xf numFmtId="0" fontId="2" fillId="0" borderId="0" xfId="0" applyFont="1" applyFill="1"/>
    <xf numFmtId="0" fontId="0" fillId="0" borderId="0" xfId="0" applyFill="1"/>
    <xf numFmtId="49" fontId="3" fillId="0" borderId="0" xfId="0" applyNumberFormat="1" applyFont="1" applyFill="1"/>
    <xf numFmtId="49" fontId="0" fillId="0" borderId="0" xfId="0" applyNumberFormat="1" applyFill="1"/>
    <xf numFmtId="1" fontId="0" fillId="0" borderId="0" xfId="0" applyNumberFormat="1" applyFill="1"/>
    <xf numFmtId="0" fontId="4" fillId="0" borderId="1" xfId="0" applyFont="1" applyFill="1" applyBorder="1"/>
    <xf numFmtId="0" fontId="3" fillId="3" borderId="0" xfId="0" applyFont="1" applyFill="1"/>
    <xf numFmtId="0" fontId="3" fillId="0" borderId="0" xfId="0" applyFont="1" applyFill="1"/>
    <xf numFmtId="164" fontId="0" fillId="0" borderId="0" xfId="0" applyNumberFormat="1" applyFill="1"/>
    <xf numFmtId="0" fontId="1" fillId="0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16" fontId="0" fillId="0" borderId="0" xfId="0" applyNumberFormat="1" applyFill="1"/>
    <xf numFmtId="166" fontId="0" fillId="0" borderId="0" xfId="0" applyNumberFormat="1"/>
    <xf numFmtId="165" fontId="0" fillId="0" borderId="0" xfId="0" applyNumberFormat="1" applyFill="1"/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5" borderId="1" xfId="0" applyFont="1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center" wrapText="1"/>
    </xf>
    <xf numFmtId="166" fontId="0" fillId="0" borderId="0" xfId="0" applyNumberFormat="1" applyFill="1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2" borderId="1" xfId="0" applyFont="1" applyFill="1" applyBorder="1"/>
    <xf numFmtId="0" fontId="0" fillId="0" borderId="1" xfId="0" applyBorder="1"/>
    <xf numFmtId="0" fontId="3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5" fillId="0" borderId="0" xfId="0" applyFont="1"/>
    <xf numFmtId="0" fontId="6" fillId="0" borderId="0" xfId="0" applyFont="1"/>
    <xf numFmtId="1" fontId="6" fillId="0" borderId="0" xfId="0" applyNumberFormat="1" applyFont="1"/>
    <xf numFmtId="0" fontId="1" fillId="4" borderId="1" xfId="0" applyFont="1" applyFill="1" applyBorder="1" applyAlignment="1">
      <alignment horizontal="center"/>
    </xf>
    <xf numFmtId="2" fontId="0" fillId="0" borderId="0" xfId="0" applyNumberFormat="1"/>
    <xf numFmtId="49" fontId="0" fillId="0" borderId="0" xfId="0" quotePrefix="1" applyNumberFormat="1" applyFill="1"/>
    <xf numFmtId="2" fontId="0" fillId="0" borderId="0" xfId="0" applyNumberFormat="1" applyFill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49" fontId="2" fillId="2" borderId="1" xfId="0" applyNumberFormat="1" applyFont="1" applyFill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7" fillId="0" borderId="1" xfId="0" applyFont="1" applyFill="1" applyBorder="1"/>
    <xf numFmtId="0" fontId="5" fillId="0" borderId="1" xfId="0" applyFont="1" applyFill="1" applyBorder="1"/>
    <xf numFmtId="9" fontId="5" fillId="0" borderId="1" xfId="0" applyNumberFormat="1" applyFont="1" applyFill="1" applyBorder="1"/>
    <xf numFmtId="0" fontId="7" fillId="0" borderId="2" xfId="0" applyFont="1" applyFill="1" applyBorder="1"/>
    <xf numFmtId="0" fontId="5" fillId="0" borderId="2" xfId="0" applyFont="1" applyFill="1" applyBorder="1"/>
    <xf numFmtId="0" fontId="1" fillId="5" borderId="1" xfId="0" applyFont="1" applyFill="1" applyBorder="1" applyAlignment="1">
      <alignment wrapText="1"/>
    </xf>
    <xf numFmtId="2" fontId="0" fillId="0" borderId="1" xfId="0" applyNumberFormat="1" applyBorder="1"/>
    <xf numFmtId="9" fontId="0" fillId="0" borderId="1" xfId="0" applyNumberFormat="1" applyBorder="1"/>
    <xf numFmtId="1" fontId="0" fillId="0" borderId="1" xfId="0" applyNumberFormat="1" applyBorder="1"/>
    <xf numFmtId="167" fontId="0" fillId="0" borderId="0" xfId="0" applyNumberFormat="1"/>
    <xf numFmtId="167" fontId="0" fillId="0" borderId="0" xfId="0" applyNumberFormat="1" applyFill="1"/>
    <xf numFmtId="0" fontId="0" fillId="0" borderId="1" xfId="0" applyNumberFormat="1" applyBorder="1"/>
    <xf numFmtId="49" fontId="0" fillId="0" borderId="1" xfId="0" quotePrefix="1" applyNumberFormat="1" applyBorder="1"/>
    <xf numFmtId="9" fontId="0" fillId="0" borderId="0" xfId="0" applyNumberFormat="1" applyFill="1"/>
    <xf numFmtId="10" fontId="0" fillId="0" borderId="0" xfId="0" applyNumberFormat="1" applyFill="1"/>
    <xf numFmtId="0" fontId="0" fillId="0" borderId="2" xfId="0" applyBorder="1"/>
    <xf numFmtId="0" fontId="0" fillId="0" borderId="1" xfId="0" applyFill="1" applyBorder="1"/>
    <xf numFmtId="2" fontId="0" fillId="0" borderId="1" xfId="0" applyNumberFormat="1" applyFill="1" applyBorder="1"/>
    <xf numFmtId="0" fontId="0" fillId="0" borderId="2" xfId="0" applyFill="1" applyBorder="1"/>
    <xf numFmtId="9" fontId="0" fillId="0" borderId="2" xfId="0" applyNumberFormat="1" applyFill="1" applyBorder="1"/>
    <xf numFmtId="0" fontId="1" fillId="0" borderId="2" xfId="0" applyFont="1" applyBorder="1"/>
    <xf numFmtId="9" fontId="1" fillId="0" borderId="2" xfId="0" applyNumberFormat="1" applyFont="1" applyBorder="1"/>
    <xf numFmtId="14" fontId="0" fillId="0" borderId="0" xfId="0" applyNumberFormat="1"/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168" fontId="0" fillId="0" borderId="0" xfId="0" applyNumberFormat="1" applyFill="1"/>
    <xf numFmtId="0" fontId="3" fillId="0" borderId="0" xfId="0" applyFont="1" applyFill="1" applyBorder="1"/>
    <xf numFmtId="0" fontId="0" fillId="0" borderId="0" xfId="0" applyBorder="1"/>
    <xf numFmtId="2" fontId="0" fillId="0" borderId="0" xfId="0" applyNumberFormat="1" applyBorder="1"/>
    <xf numFmtId="0" fontId="2" fillId="2" borderId="3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8" fillId="6" borderId="0" xfId="0" applyFont="1" applyFill="1"/>
  </cellXfs>
  <cellStyles count="1">
    <cellStyle name="Normal" xfId="0" builtinId="0"/>
  </cellStyles>
  <dxfs count="18">
    <dxf>
      <numFmt numFmtId="166" formatCode="yyyy\-mm\-dd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000000"/>
      </font>
      <fill>
        <patternFill patternType="none">
          <fgColor indexed="64"/>
          <bgColor auto="1"/>
        </patternFill>
      </fill>
    </dxf>
    <dxf>
      <font>
        <color rgb="FF00000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000000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D8B2B7B-1E23-344A-8EF3-E74DEB3B9CF1}" name="Customers" displayName="Customers" ref="A1:O101" totalsRowShown="0" headerRowDxfId="17" dataDxfId="16" headerRowBorderDxfId="15">
  <autoFilter ref="A1:O101" xr:uid="{1D8B2B7B-1E23-344A-8EF3-E74DEB3B9CF1}"/>
  <tableColumns count="15">
    <tableColumn id="1" xr3:uid="{30B641D1-829C-0340-932B-37B1F160B42F}" name="customer_id (Primary Key)" dataDxfId="14"/>
    <tableColumn id="2" xr3:uid="{BB10E7F8-F509-1245-9550-6B19D95940F8}" name="customer_name" dataDxfId="13"/>
    <tableColumn id="3" xr3:uid="{58384753-F444-994F-8EC8-05B7EF0CD0BE}" name="customer_type" dataDxfId="12"/>
    <tableColumn id="4" xr3:uid="{AE7D9486-47FA-6045-9315-5BBB397F95CA}" name="industry" dataDxfId="11"/>
    <tableColumn id="5" xr3:uid="{AFAC1AE5-2AE4-5F42-8F91-F6F26B1D3BFB}" name="industry_code" dataDxfId="10"/>
    <tableColumn id="6" xr3:uid="{1931CF98-FF41-9044-843F-5A43BD77F374}" name="customer_region_id (FK-style)" dataDxfId="9"/>
    <tableColumn id="7" xr3:uid="{79D11D85-01E2-C142-8288-481EF90579A0}" name="country_iso (FK)" dataDxfId="8"/>
    <tableColumn id="8" xr3:uid="{243D836E-ABDE-484A-9400-9ACBAB6C8188}" name="city" dataDxfId="7"/>
    <tableColumn id="9" xr3:uid="{D01B20F2-AF27-A140-9E7C-FD15D27D022F}" name="currency" dataDxfId="6"/>
    <tableColumn id="10" xr3:uid="{85C69E2A-CCBF-EF49-BE2E-B3F09E7AA8A0}" name="channel" dataDxfId="5"/>
    <tableColumn id="11" xr3:uid="{119F233C-5D1E-104A-98BD-C9B42B155A68}" name="risk_rating" dataDxfId="4"/>
    <tableColumn id="12" xr3:uid="{EA11AC3B-081E-6740-8926-A6B19D84F4A0}" name="status" dataDxfId="3"/>
    <tableColumn id="13" xr3:uid="{CCE7C985-EEAD-D447-A084-DD884A375CA1}" name="gst_vat_id" dataDxfId="2"/>
    <tableColumn id="14" xr3:uid="{0BE8D98C-B9E1-3D44-B8AE-3308D40FD2AB}" name="key_account_manager" dataDxfId="1"/>
    <tableColumn id="15" xr3:uid="{15E44802-5F74-D041-9D29-FAA2725BAFEB}" name="created_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2368-D3EA-6C46-AFDE-6BCE635DB249}">
  <dimension ref="A1:F55"/>
  <sheetViews>
    <sheetView workbookViewId="0">
      <selection activeCell="F10" sqref="F10"/>
    </sheetView>
  </sheetViews>
  <sheetFormatPr defaultColWidth="11.5546875" defaultRowHeight="15.95"/>
  <cols>
    <col min="1" max="1" width="5.77734375" bestFit="1" customWidth="1"/>
    <col min="2" max="2" width="22.44140625" bestFit="1" customWidth="1"/>
    <col min="3" max="3" width="29.33203125" bestFit="1" customWidth="1"/>
    <col min="4" max="4" width="17.88671875" bestFit="1" customWidth="1"/>
    <col min="5" max="5" width="33.109375" bestFit="1" customWidth="1"/>
    <col min="6" max="6" width="16.21875" bestFit="1" customWidth="1"/>
  </cols>
  <sheetData>
    <row r="1" spans="1:6" ht="15.75">
      <c r="A1" s="85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</row>
    <row r="2" spans="1:6">
      <c r="A2" s="5">
        <v>1</v>
      </c>
      <c r="B2" s="5" t="s">
        <v>6</v>
      </c>
      <c r="C2" s="5" t="s">
        <v>7</v>
      </c>
      <c r="D2" s="5" t="s">
        <v>8</v>
      </c>
      <c r="E2" s="5" t="s">
        <v>7</v>
      </c>
      <c r="F2" t="s">
        <v>9</v>
      </c>
    </row>
    <row r="3" spans="1:6">
      <c r="A3" s="5">
        <v>2</v>
      </c>
      <c r="B3" s="5" t="s">
        <v>6</v>
      </c>
      <c r="C3" s="5" t="s">
        <v>10</v>
      </c>
      <c r="D3" s="5" t="s">
        <v>11</v>
      </c>
      <c r="E3" s="5" t="s">
        <v>12</v>
      </c>
      <c r="F3" t="s">
        <v>13</v>
      </c>
    </row>
    <row r="4" spans="1:6">
      <c r="A4" s="5">
        <v>3</v>
      </c>
      <c r="B4" s="5" t="s">
        <v>6</v>
      </c>
      <c r="C4" s="5" t="s">
        <v>14</v>
      </c>
      <c r="D4" s="5" t="s">
        <v>15</v>
      </c>
      <c r="E4" s="5" t="s">
        <v>16</v>
      </c>
      <c r="F4" t="s">
        <v>13</v>
      </c>
    </row>
    <row r="5" spans="1:6">
      <c r="A5" s="5">
        <v>4</v>
      </c>
      <c r="B5" s="5" t="s">
        <v>17</v>
      </c>
      <c r="C5" s="5" t="s">
        <v>18</v>
      </c>
      <c r="D5" s="5" t="s">
        <v>8</v>
      </c>
      <c r="E5" s="5" t="s">
        <v>7</v>
      </c>
      <c r="F5" t="s">
        <v>9</v>
      </c>
    </row>
    <row r="6" spans="1:6">
      <c r="A6" s="5">
        <v>5</v>
      </c>
      <c r="B6" s="5" t="s">
        <v>19</v>
      </c>
      <c r="C6" s="5" t="s">
        <v>16</v>
      </c>
      <c r="D6" s="5" t="s">
        <v>15</v>
      </c>
      <c r="E6" s="5" t="s">
        <v>16</v>
      </c>
      <c r="F6" t="s">
        <v>13</v>
      </c>
    </row>
    <row r="7" spans="1:6">
      <c r="A7" s="5">
        <v>6</v>
      </c>
      <c r="B7" s="5" t="s">
        <v>20</v>
      </c>
      <c r="C7" s="5" t="s">
        <v>21</v>
      </c>
      <c r="D7" s="5" t="s">
        <v>19</v>
      </c>
      <c r="E7" s="5" t="s">
        <v>22</v>
      </c>
      <c r="F7" t="s">
        <v>13</v>
      </c>
    </row>
    <row r="8" spans="1:6">
      <c r="A8" s="5">
        <v>7</v>
      </c>
      <c r="B8" s="5" t="s">
        <v>20</v>
      </c>
      <c r="C8" s="5" t="s">
        <v>23</v>
      </c>
      <c r="D8" s="5" t="s">
        <v>15</v>
      </c>
      <c r="E8" s="5" t="s">
        <v>16</v>
      </c>
      <c r="F8" t="s">
        <v>13</v>
      </c>
    </row>
    <row r="9" spans="1:6">
      <c r="A9" s="5">
        <v>8</v>
      </c>
      <c r="B9" s="5" t="s">
        <v>24</v>
      </c>
      <c r="C9" s="5" t="s">
        <v>25</v>
      </c>
      <c r="D9" s="5" t="s">
        <v>15</v>
      </c>
      <c r="E9" s="5" t="s">
        <v>16</v>
      </c>
      <c r="F9" t="s">
        <v>13</v>
      </c>
    </row>
    <row r="10" spans="1:6">
      <c r="A10" s="5">
        <v>9</v>
      </c>
      <c r="B10" s="5" t="s">
        <v>26</v>
      </c>
      <c r="C10" s="5" t="s">
        <v>27</v>
      </c>
      <c r="D10" s="5" t="s">
        <v>11</v>
      </c>
      <c r="E10" s="5" t="s">
        <v>12</v>
      </c>
      <c r="F10" t="s">
        <v>13</v>
      </c>
    </row>
    <row r="11" spans="1:6">
      <c r="A11" s="5">
        <v>10</v>
      </c>
      <c r="B11" s="5" t="s">
        <v>28</v>
      </c>
      <c r="C11" s="5" t="s">
        <v>29</v>
      </c>
      <c r="D11" s="5" t="s">
        <v>30</v>
      </c>
      <c r="E11" s="5" t="s">
        <v>29</v>
      </c>
      <c r="F11" t="s">
        <v>13</v>
      </c>
    </row>
    <row r="12" spans="1:6">
      <c r="A12" s="5">
        <v>11</v>
      </c>
      <c r="B12" s="5" t="s">
        <v>31</v>
      </c>
      <c r="C12" s="5" t="s">
        <v>32</v>
      </c>
      <c r="D12" s="5" t="s">
        <v>30</v>
      </c>
      <c r="E12" s="5" t="s">
        <v>29</v>
      </c>
      <c r="F12" t="s">
        <v>13</v>
      </c>
    </row>
    <row r="13" spans="1:6">
      <c r="A13" s="5">
        <v>12</v>
      </c>
      <c r="B13" s="5" t="s">
        <v>31</v>
      </c>
      <c r="C13" s="5" t="s">
        <v>33</v>
      </c>
      <c r="D13" s="5" t="s">
        <v>30</v>
      </c>
      <c r="E13" s="5" t="s">
        <v>29</v>
      </c>
      <c r="F13" t="s">
        <v>13</v>
      </c>
    </row>
    <row r="14" spans="1:6">
      <c r="A14" s="5">
        <v>13</v>
      </c>
      <c r="B14" s="5" t="s">
        <v>31</v>
      </c>
      <c r="C14" s="5" t="s">
        <v>34</v>
      </c>
      <c r="D14" s="5" t="s">
        <v>24</v>
      </c>
      <c r="E14" s="5" t="s">
        <v>35</v>
      </c>
      <c r="F14" t="s">
        <v>13</v>
      </c>
    </row>
    <row r="15" spans="1:6">
      <c r="A15" s="5">
        <v>14</v>
      </c>
      <c r="B15" s="5" t="s">
        <v>36</v>
      </c>
      <c r="C15" s="5" t="s">
        <v>37</v>
      </c>
      <c r="D15" s="5" t="s">
        <v>20</v>
      </c>
      <c r="E15" s="5" t="s">
        <v>38</v>
      </c>
      <c r="F15" t="s">
        <v>13</v>
      </c>
    </row>
    <row r="16" spans="1:6">
      <c r="A16" s="5">
        <v>15</v>
      </c>
      <c r="B16" s="5" t="s">
        <v>36</v>
      </c>
      <c r="C16" s="5" t="s">
        <v>39</v>
      </c>
      <c r="D16" s="5" t="s">
        <v>30</v>
      </c>
      <c r="E16" s="5" t="s">
        <v>29</v>
      </c>
      <c r="F16" t="s">
        <v>13</v>
      </c>
    </row>
    <row r="17" spans="1:6">
      <c r="A17" s="5">
        <v>16</v>
      </c>
      <c r="B17" s="5" t="s">
        <v>40</v>
      </c>
      <c r="C17" s="5" t="s">
        <v>41</v>
      </c>
      <c r="D17" s="5" t="s">
        <v>36</v>
      </c>
      <c r="E17" s="5" t="s">
        <v>42</v>
      </c>
      <c r="F17" t="s">
        <v>13</v>
      </c>
    </row>
    <row r="18" spans="1:6">
      <c r="A18" s="5">
        <v>17</v>
      </c>
      <c r="B18" s="5" t="s">
        <v>40</v>
      </c>
      <c r="C18" s="5" t="s">
        <v>43</v>
      </c>
      <c r="D18" s="5" t="s">
        <v>24</v>
      </c>
      <c r="E18" s="5" t="s">
        <v>35</v>
      </c>
      <c r="F18" t="s">
        <v>13</v>
      </c>
    </row>
    <row r="19" spans="1:6">
      <c r="A19" s="5">
        <v>18</v>
      </c>
      <c r="B19" s="5" t="s">
        <v>40</v>
      </c>
      <c r="C19" s="5" t="s">
        <v>44</v>
      </c>
      <c r="D19" s="5" t="s">
        <v>30</v>
      </c>
      <c r="E19" s="5" t="s">
        <v>29</v>
      </c>
      <c r="F19" t="s">
        <v>13</v>
      </c>
    </row>
    <row r="20" spans="1:6">
      <c r="A20" s="5">
        <v>19</v>
      </c>
      <c r="B20" s="5" t="s">
        <v>40</v>
      </c>
      <c r="C20" s="5" t="s">
        <v>45</v>
      </c>
      <c r="D20" s="5" t="s">
        <v>8</v>
      </c>
      <c r="E20" s="5" t="s">
        <v>7</v>
      </c>
      <c r="F20" t="s">
        <v>13</v>
      </c>
    </row>
    <row r="21" spans="1:6">
      <c r="A21" s="5">
        <v>20</v>
      </c>
      <c r="B21" s="5" t="s">
        <v>40</v>
      </c>
      <c r="C21" s="5" t="s">
        <v>46</v>
      </c>
      <c r="D21" s="5" t="s">
        <v>47</v>
      </c>
      <c r="E21" s="5" t="s">
        <v>46</v>
      </c>
      <c r="F21" t="s">
        <v>13</v>
      </c>
    </row>
    <row r="22" spans="1:6">
      <c r="A22" s="5">
        <v>21</v>
      </c>
      <c r="B22" s="5" t="s">
        <v>48</v>
      </c>
      <c r="C22" s="5" t="s">
        <v>46</v>
      </c>
      <c r="D22" s="5" t="s">
        <v>47</v>
      </c>
      <c r="E22" s="5" t="s">
        <v>46</v>
      </c>
      <c r="F22" t="s">
        <v>13</v>
      </c>
    </row>
    <row r="23" spans="1:6">
      <c r="A23" s="5">
        <v>22</v>
      </c>
      <c r="B23" s="5" t="s">
        <v>48</v>
      </c>
      <c r="C23" s="5" t="s">
        <v>49</v>
      </c>
      <c r="D23" s="5" t="s">
        <v>50</v>
      </c>
      <c r="E23" s="5" t="s">
        <v>49</v>
      </c>
      <c r="F23" t="s">
        <v>13</v>
      </c>
    </row>
    <row r="24" spans="1:6">
      <c r="A24" s="5">
        <v>23</v>
      </c>
      <c r="B24" s="5" t="s">
        <v>51</v>
      </c>
      <c r="C24" s="5" t="s">
        <v>52</v>
      </c>
      <c r="D24" s="5" t="s">
        <v>15</v>
      </c>
      <c r="E24" s="5" t="s">
        <v>16</v>
      </c>
      <c r="F24" t="s">
        <v>13</v>
      </c>
    </row>
    <row r="25" spans="1:6">
      <c r="A25" s="5">
        <v>24</v>
      </c>
      <c r="B25" s="5" t="s">
        <v>47</v>
      </c>
      <c r="C25" s="5" t="s">
        <v>53</v>
      </c>
      <c r="D25" s="5" t="s">
        <v>15</v>
      </c>
      <c r="E25" s="5" t="s">
        <v>16</v>
      </c>
      <c r="F25" t="s">
        <v>13</v>
      </c>
    </row>
    <row r="26" spans="1:6">
      <c r="A26" s="5">
        <v>25</v>
      </c>
      <c r="B26" s="5" t="s">
        <v>47</v>
      </c>
      <c r="C26" s="5" t="s">
        <v>54</v>
      </c>
      <c r="D26" s="5" t="s">
        <v>51</v>
      </c>
      <c r="E26" s="5" t="s">
        <v>54</v>
      </c>
      <c r="F26" t="s">
        <v>13</v>
      </c>
    </row>
    <row r="27" spans="1:6">
      <c r="A27" s="5">
        <v>26</v>
      </c>
      <c r="B27" s="5" t="s">
        <v>55</v>
      </c>
      <c r="C27" s="5" t="s">
        <v>54</v>
      </c>
      <c r="D27" s="5" t="s">
        <v>51</v>
      </c>
      <c r="E27" s="5" t="s">
        <v>54</v>
      </c>
      <c r="F27" t="s">
        <v>13</v>
      </c>
    </row>
    <row r="28" spans="1:6">
      <c r="A28" s="5">
        <v>27</v>
      </c>
      <c r="B28" s="5" t="s">
        <v>55</v>
      </c>
      <c r="C28" s="5" t="s">
        <v>56</v>
      </c>
      <c r="D28" s="5" t="s">
        <v>26</v>
      </c>
      <c r="E28" s="5" t="s">
        <v>57</v>
      </c>
      <c r="F28" t="s">
        <v>13</v>
      </c>
    </row>
    <row r="29" spans="1:6">
      <c r="A29" s="5">
        <v>28</v>
      </c>
      <c r="B29" s="5" t="s">
        <v>58</v>
      </c>
      <c r="C29" s="5" t="s">
        <v>59</v>
      </c>
      <c r="D29" s="5" t="s">
        <v>55</v>
      </c>
      <c r="E29" s="5" t="s">
        <v>59</v>
      </c>
      <c r="F29" t="s">
        <v>13</v>
      </c>
    </row>
    <row r="30" spans="1:6">
      <c r="A30" s="5">
        <v>29</v>
      </c>
      <c r="B30" s="5" t="s">
        <v>58</v>
      </c>
      <c r="C30" s="5" t="s">
        <v>7</v>
      </c>
      <c r="D30" s="5" t="s">
        <v>8</v>
      </c>
      <c r="E30" s="5" t="s">
        <v>7</v>
      </c>
      <c r="F30" t="s">
        <v>9</v>
      </c>
    </row>
    <row r="31" spans="1:6">
      <c r="A31" s="5">
        <v>30</v>
      </c>
      <c r="B31" s="5" t="s">
        <v>60</v>
      </c>
      <c r="C31" s="5" t="s">
        <v>55</v>
      </c>
      <c r="D31" s="5" t="s">
        <v>55</v>
      </c>
      <c r="E31" s="5" t="s">
        <v>59</v>
      </c>
      <c r="F31" t="s">
        <v>13</v>
      </c>
    </row>
    <row r="32" spans="1:6">
      <c r="A32" s="5">
        <v>31</v>
      </c>
      <c r="B32" s="5" t="s">
        <v>60</v>
      </c>
      <c r="C32" s="5" t="s">
        <v>45</v>
      </c>
      <c r="D32" s="5" t="s">
        <v>8</v>
      </c>
      <c r="E32" s="5" t="s">
        <v>7</v>
      </c>
      <c r="F32" t="s">
        <v>13</v>
      </c>
    </row>
    <row r="33" spans="1:6">
      <c r="A33" s="5">
        <v>32</v>
      </c>
      <c r="B33" s="5" t="s">
        <v>60</v>
      </c>
      <c r="C33" s="5" t="s">
        <v>56</v>
      </c>
      <c r="D33" s="5" t="s">
        <v>26</v>
      </c>
      <c r="E33" s="5" t="s">
        <v>57</v>
      </c>
      <c r="F33" t="s">
        <v>13</v>
      </c>
    </row>
    <row r="34" spans="1:6">
      <c r="A34" s="5">
        <v>33</v>
      </c>
      <c r="B34" s="5" t="s">
        <v>61</v>
      </c>
      <c r="C34" s="5" t="s">
        <v>62</v>
      </c>
      <c r="D34" s="5" t="s">
        <v>60</v>
      </c>
      <c r="E34" s="5" t="s">
        <v>62</v>
      </c>
      <c r="F34" t="s">
        <v>13</v>
      </c>
    </row>
    <row r="35" spans="1:6">
      <c r="A35" s="5">
        <v>34</v>
      </c>
      <c r="B35" s="5" t="s">
        <v>61</v>
      </c>
      <c r="C35" s="5" t="s">
        <v>63</v>
      </c>
      <c r="D35" s="5" t="s">
        <v>8</v>
      </c>
      <c r="E35" s="5" t="s">
        <v>7</v>
      </c>
      <c r="F35" t="s">
        <v>9</v>
      </c>
    </row>
    <row r="36" spans="1:6">
      <c r="A36" s="5">
        <v>35</v>
      </c>
      <c r="B36" s="5" t="s">
        <v>64</v>
      </c>
      <c r="C36" s="5" t="s">
        <v>62</v>
      </c>
      <c r="D36" s="5" t="s">
        <v>60</v>
      </c>
      <c r="E36" s="5" t="s">
        <v>62</v>
      </c>
      <c r="F36" t="s">
        <v>13</v>
      </c>
    </row>
    <row r="37" spans="1:6">
      <c r="A37" s="5">
        <v>36</v>
      </c>
      <c r="B37" s="5" t="s">
        <v>64</v>
      </c>
      <c r="C37" s="5" t="s">
        <v>56</v>
      </c>
      <c r="D37" s="5" t="s">
        <v>26</v>
      </c>
      <c r="E37" s="5" t="s">
        <v>57</v>
      </c>
      <c r="F37" t="s">
        <v>13</v>
      </c>
    </row>
    <row r="38" spans="1:6">
      <c r="A38" s="5">
        <v>37</v>
      </c>
      <c r="B38" s="5" t="s">
        <v>64</v>
      </c>
      <c r="C38" s="5" t="s">
        <v>45</v>
      </c>
      <c r="D38" s="5" t="s">
        <v>8</v>
      </c>
      <c r="E38" s="5" t="s">
        <v>7</v>
      </c>
      <c r="F38" t="s">
        <v>13</v>
      </c>
    </row>
    <row r="39" spans="1:6">
      <c r="A39" s="5">
        <v>38</v>
      </c>
      <c r="B39" s="5" t="s">
        <v>65</v>
      </c>
      <c r="C39" s="5" t="s">
        <v>66</v>
      </c>
      <c r="D39" s="5" t="s">
        <v>64</v>
      </c>
      <c r="E39" s="5" t="s">
        <v>66</v>
      </c>
      <c r="F39" t="s">
        <v>13</v>
      </c>
    </row>
    <row r="40" spans="1:6">
      <c r="A40" s="5">
        <v>39</v>
      </c>
      <c r="B40" s="5" t="s">
        <v>65</v>
      </c>
      <c r="C40" s="5" t="s">
        <v>67</v>
      </c>
      <c r="D40" s="5" t="s">
        <v>61</v>
      </c>
      <c r="E40" s="5" t="s">
        <v>68</v>
      </c>
      <c r="F40" t="s">
        <v>13</v>
      </c>
    </row>
    <row r="41" spans="1:6">
      <c r="A41" s="5">
        <v>40</v>
      </c>
      <c r="B41" s="5" t="s">
        <v>65</v>
      </c>
      <c r="C41" s="5" t="s">
        <v>45</v>
      </c>
      <c r="D41" s="5" t="s">
        <v>8</v>
      </c>
      <c r="E41" s="5" t="s">
        <v>7</v>
      </c>
      <c r="F41" t="s">
        <v>13</v>
      </c>
    </row>
    <row r="42" spans="1:6">
      <c r="A42" s="5">
        <v>41</v>
      </c>
      <c r="B42" s="5" t="s">
        <v>69</v>
      </c>
      <c r="C42" s="5" t="s">
        <v>70</v>
      </c>
      <c r="D42" s="5" t="s">
        <v>65</v>
      </c>
      <c r="E42" s="5" t="s">
        <v>71</v>
      </c>
      <c r="F42" t="s">
        <v>9</v>
      </c>
    </row>
    <row r="43" spans="1:6">
      <c r="A43" s="5">
        <v>42</v>
      </c>
      <c r="B43" s="5" t="s">
        <v>69</v>
      </c>
      <c r="C43" s="5" t="s">
        <v>72</v>
      </c>
      <c r="D43" s="5" t="s">
        <v>28</v>
      </c>
      <c r="E43" s="5" t="s">
        <v>73</v>
      </c>
      <c r="F43" t="s">
        <v>13</v>
      </c>
    </row>
    <row r="44" spans="1:6">
      <c r="A44" s="5">
        <v>43</v>
      </c>
      <c r="B44" s="5" t="s">
        <v>74</v>
      </c>
      <c r="C44" s="5" t="s">
        <v>75</v>
      </c>
      <c r="D44" s="5" t="s">
        <v>30</v>
      </c>
      <c r="E44" s="5" t="s">
        <v>29</v>
      </c>
      <c r="F44" t="s">
        <v>13</v>
      </c>
    </row>
    <row r="45" spans="1:6">
      <c r="A45" s="5">
        <v>44</v>
      </c>
      <c r="B45" s="5" t="s">
        <v>74</v>
      </c>
      <c r="C45" s="5" t="s">
        <v>76</v>
      </c>
      <c r="D45" s="5" t="s">
        <v>11</v>
      </c>
      <c r="E45" s="5" t="s">
        <v>12</v>
      </c>
      <c r="F45" t="s">
        <v>13</v>
      </c>
    </row>
    <row r="46" spans="1:6">
      <c r="A46" s="5">
        <v>45</v>
      </c>
      <c r="B46" s="5" t="s">
        <v>74</v>
      </c>
      <c r="C46" s="5" t="s">
        <v>77</v>
      </c>
      <c r="D46" s="5" t="s">
        <v>30</v>
      </c>
      <c r="E46" s="5" t="s">
        <v>29</v>
      </c>
      <c r="F46" t="s">
        <v>13</v>
      </c>
    </row>
    <row r="47" spans="1:6">
      <c r="A47" s="5">
        <v>46</v>
      </c>
      <c r="B47" s="5" t="s">
        <v>74</v>
      </c>
      <c r="C47" s="5" t="s">
        <v>78</v>
      </c>
      <c r="D47" s="5" t="s">
        <v>11</v>
      </c>
      <c r="E47" s="5" t="s">
        <v>12</v>
      </c>
      <c r="F47" t="s">
        <v>13</v>
      </c>
    </row>
    <row r="48" spans="1:6">
      <c r="A48" s="5">
        <v>47</v>
      </c>
      <c r="B48" s="5" t="s">
        <v>74</v>
      </c>
      <c r="C48" s="5" t="s">
        <v>79</v>
      </c>
      <c r="D48" s="5" t="s">
        <v>31</v>
      </c>
      <c r="E48" s="5" t="s">
        <v>80</v>
      </c>
      <c r="F48" t="s">
        <v>13</v>
      </c>
    </row>
    <row r="49" spans="1:6">
      <c r="A49" s="5">
        <v>48</v>
      </c>
      <c r="B49" s="5" t="s">
        <v>81</v>
      </c>
      <c r="C49" s="5" t="s">
        <v>82</v>
      </c>
      <c r="D49" s="5" t="s">
        <v>74</v>
      </c>
      <c r="E49" s="5" t="s">
        <v>82</v>
      </c>
      <c r="F49" t="s">
        <v>13</v>
      </c>
    </row>
    <row r="50" spans="1:6">
      <c r="A50" s="5">
        <v>49</v>
      </c>
      <c r="B50" s="5" t="s">
        <v>81</v>
      </c>
      <c r="C50" s="5" t="s">
        <v>83</v>
      </c>
      <c r="D50" s="5" t="s">
        <v>65</v>
      </c>
      <c r="E50" s="5" t="s">
        <v>71</v>
      </c>
      <c r="F50" t="s">
        <v>13</v>
      </c>
    </row>
    <row r="51" spans="1:6">
      <c r="A51" s="5">
        <v>50</v>
      </c>
      <c r="B51" s="5" t="s">
        <v>81</v>
      </c>
      <c r="C51" s="5" t="s">
        <v>42</v>
      </c>
      <c r="D51" s="5" t="s">
        <v>36</v>
      </c>
      <c r="E51" s="5" t="s">
        <v>42</v>
      </c>
      <c r="F51" t="s">
        <v>13</v>
      </c>
    </row>
    <row r="52" spans="1:6">
      <c r="A52" s="5">
        <v>51</v>
      </c>
      <c r="B52" s="5" t="s">
        <v>81</v>
      </c>
      <c r="C52" s="5" t="s">
        <v>68</v>
      </c>
      <c r="D52" s="5" t="s">
        <v>61</v>
      </c>
      <c r="E52" s="5" t="s">
        <v>68</v>
      </c>
      <c r="F52" t="s">
        <v>13</v>
      </c>
    </row>
    <row r="53" spans="1:6">
      <c r="A53" s="5">
        <v>52</v>
      </c>
      <c r="B53" s="5" t="s">
        <v>50</v>
      </c>
      <c r="C53" s="5" t="s">
        <v>84</v>
      </c>
      <c r="D53" s="5" t="s">
        <v>85</v>
      </c>
      <c r="E53" s="5" t="s">
        <v>84</v>
      </c>
      <c r="F53" t="s">
        <v>13</v>
      </c>
    </row>
    <row r="54" spans="1:6">
      <c r="A54" s="5">
        <v>53</v>
      </c>
      <c r="B54" s="5" t="s">
        <v>85</v>
      </c>
      <c r="C54" s="5" t="s">
        <v>46</v>
      </c>
      <c r="D54" s="5" t="s">
        <v>47</v>
      </c>
      <c r="E54" s="5" t="s">
        <v>46</v>
      </c>
      <c r="F54" t="s">
        <v>13</v>
      </c>
    </row>
    <row r="55" spans="1:6">
      <c r="A55" s="5">
        <v>54</v>
      </c>
      <c r="B55" s="5" t="s">
        <v>85</v>
      </c>
      <c r="C55" s="5" t="s">
        <v>86</v>
      </c>
      <c r="D55" s="5" t="s">
        <v>87</v>
      </c>
      <c r="E55" s="5" t="s">
        <v>88</v>
      </c>
      <c r="F55" t="s">
        <v>13</v>
      </c>
    </row>
  </sheetData>
  <autoFilter ref="A1:F55" xr:uid="{BFAF2368-D3EA-6C46-AFDE-6BCE635DB24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9509-F2AA-C54E-A7CA-87A622181542}">
  <sheetPr codeName="Sheet1">
    <tabColor rgb="FF002060"/>
  </sheetPr>
  <dimension ref="A1:D149"/>
  <sheetViews>
    <sheetView topLeftCell="A147" workbookViewId="0">
      <selection activeCell="B143" sqref="B143"/>
    </sheetView>
  </sheetViews>
  <sheetFormatPr defaultColWidth="11.5546875" defaultRowHeight="15.95"/>
  <cols>
    <col min="1" max="1" width="52.6640625" bestFit="1" customWidth="1"/>
  </cols>
  <sheetData>
    <row r="1" spans="1:4" ht="17.100000000000001">
      <c r="A1" s="14" t="s">
        <v>89</v>
      </c>
      <c r="B1" t="s">
        <v>90</v>
      </c>
      <c r="C1" t="s">
        <v>91</v>
      </c>
      <c r="D1" t="s">
        <v>92</v>
      </c>
    </row>
    <row r="2" spans="1:4">
      <c r="A2" s="11" t="s">
        <v>93</v>
      </c>
      <c r="B2" s="2" t="s">
        <v>94</v>
      </c>
      <c r="C2" s="2" t="s">
        <v>95</v>
      </c>
      <c r="D2" s="3">
        <v>24</v>
      </c>
    </row>
    <row r="3" spans="1:4">
      <c r="A3" s="11" t="s">
        <v>93</v>
      </c>
      <c r="B3" s="2" t="s">
        <v>94</v>
      </c>
      <c r="C3" s="2" t="s">
        <v>95</v>
      </c>
      <c r="D3" s="3">
        <v>24</v>
      </c>
    </row>
    <row r="4" spans="1:4">
      <c r="A4" s="11" t="s">
        <v>93</v>
      </c>
      <c r="B4" s="2" t="s">
        <v>94</v>
      </c>
      <c r="C4" s="2" t="s">
        <v>95</v>
      </c>
      <c r="D4" s="3">
        <v>24</v>
      </c>
    </row>
    <row r="5" spans="1:4">
      <c r="A5" s="11" t="s">
        <v>96</v>
      </c>
      <c r="B5" s="2" t="s">
        <v>97</v>
      </c>
      <c r="C5" s="2" t="s">
        <v>98</v>
      </c>
      <c r="D5" s="3">
        <v>24</v>
      </c>
    </row>
    <row r="6" spans="1:4">
      <c r="A6" s="11" t="s">
        <v>96</v>
      </c>
      <c r="B6" s="2" t="s">
        <v>97</v>
      </c>
      <c r="C6" s="2" t="s">
        <v>98</v>
      </c>
      <c r="D6" s="3">
        <v>24</v>
      </c>
    </row>
    <row r="7" spans="1:4">
      <c r="A7" s="11" t="s">
        <v>96</v>
      </c>
      <c r="B7" s="2" t="s">
        <v>97</v>
      </c>
      <c r="C7" s="2" t="s">
        <v>98</v>
      </c>
      <c r="D7" s="3">
        <v>24</v>
      </c>
    </row>
    <row r="8" spans="1:4">
      <c r="A8" s="11" t="s">
        <v>99</v>
      </c>
      <c r="B8" s="2" t="s">
        <v>100</v>
      </c>
      <c r="C8" s="2" t="s">
        <v>101</v>
      </c>
      <c r="D8" s="3">
        <v>12</v>
      </c>
    </row>
    <row r="9" spans="1:4">
      <c r="A9" s="11" t="s">
        <v>99</v>
      </c>
      <c r="B9" s="2" t="s">
        <v>100</v>
      </c>
      <c r="C9" s="2" t="s">
        <v>101</v>
      </c>
      <c r="D9" s="3">
        <v>12</v>
      </c>
    </row>
    <row r="10" spans="1:4">
      <c r="A10" s="11" t="s">
        <v>99</v>
      </c>
      <c r="B10" s="2" t="s">
        <v>100</v>
      </c>
      <c r="C10" s="2" t="s">
        <v>101</v>
      </c>
      <c r="D10" s="3">
        <v>12</v>
      </c>
    </row>
    <row r="11" spans="1:4">
      <c r="A11" s="11" t="s">
        <v>102</v>
      </c>
      <c r="B11" s="2" t="s">
        <v>103</v>
      </c>
      <c r="C11" s="2" t="s">
        <v>104</v>
      </c>
      <c r="D11" s="3">
        <v>24</v>
      </c>
    </row>
    <row r="12" spans="1:4">
      <c r="A12" s="11" t="s">
        <v>102</v>
      </c>
      <c r="B12" s="2" t="s">
        <v>103</v>
      </c>
      <c r="C12" s="2" t="s">
        <v>104</v>
      </c>
      <c r="D12" s="3">
        <v>24</v>
      </c>
    </row>
    <row r="13" spans="1:4">
      <c r="A13" s="11" t="s">
        <v>102</v>
      </c>
      <c r="B13" s="2" t="s">
        <v>103</v>
      </c>
      <c r="C13" s="2" t="s">
        <v>104</v>
      </c>
      <c r="D13" s="3">
        <v>24</v>
      </c>
    </row>
    <row r="14" spans="1:4">
      <c r="A14" s="11" t="s">
        <v>105</v>
      </c>
      <c r="B14" s="2" t="s">
        <v>106</v>
      </c>
      <c r="C14" s="2" t="s">
        <v>104</v>
      </c>
      <c r="D14" s="3">
        <v>24</v>
      </c>
    </row>
    <row r="15" spans="1:4">
      <c r="A15" s="11" t="s">
        <v>105</v>
      </c>
      <c r="B15" s="2" t="s">
        <v>106</v>
      </c>
      <c r="C15" s="2" t="s">
        <v>104</v>
      </c>
      <c r="D15" s="3">
        <v>24</v>
      </c>
    </row>
    <row r="16" spans="1:4">
      <c r="A16" s="11" t="s">
        <v>105</v>
      </c>
      <c r="B16" s="2" t="s">
        <v>106</v>
      </c>
      <c r="C16" s="2" t="s">
        <v>104</v>
      </c>
      <c r="D16" s="3">
        <v>24</v>
      </c>
    </row>
    <row r="17" spans="1:4">
      <c r="A17" s="11" t="s">
        <v>107</v>
      </c>
      <c r="B17" s="2" t="s">
        <v>108</v>
      </c>
      <c r="C17" s="2" t="s">
        <v>104</v>
      </c>
      <c r="D17" s="3">
        <v>24</v>
      </c>
    </row>
    <row r="18" spans="1:4">
      <c r="A18" s="11" t="s">
        <v>107</v>
      </c>
      <c r="B18" s="2" t="s">
        <v>108</v>
      </c>
      <c r="C18" s="2" t="s">
        <v>104</v>
      </c>
      <c r="D18" s="3">
        <v>24</v>
      </c>
    </row>
    <row r="19" spans="1:4">
      <c r="A19" s="11" t="s">
        <v>107</v>
      </c>
      <c r="B19" s="2" t="s">
        <v>108</v>
      </c>
      <c r="C19" s="2" t="s">
        <v>104</v>
      </c>
      <c r="D19" s="3">
        <v>24</v>
      </c>
    </row>
    <row r="20" spans="1:4">
      <c r="A20" s="11" t="s">
        <v>109</v>
      </c>
      <c r="B20" s="2" t="s">
        <v>110</v>
      </c>
      <c r="C20" s="2" t="s">
        <v>111</v>
      </c>
      <c r="D20" s="3">
        <v>24</v>
      </c>
    </row>
    <row r="21" spans="1:4">
      <c r="A21" s="11" t="s">
        <v>109</v>
      </c>
      <c r="B21" s="2" t="s">
        <v>110</v>
      </c>
      <c r="C21" s="2" t="s">
        <v>111</v>
      </c>
      <c r="D21" s="3">
        <v>24</v>
      </c>
    </row>
    <row r="22" spans="1:4">
      <c r="A22" s="11" t="s">
        <v>109</v>
      </c>
      <c r="B22" s="2" t="s">
        <v>110</v>
      </c>
      <c r="C22" s="2" t="s">
        <v>111</v>
      </c>
      <c r="D22" s="3">
        <v>24</v>
      </c>
    </row>
    <row r="23" spans="1:4">
      <c r="A23" s="11" t="s">
        <v>112</v>
      </c>
      <c r="B23" s="2" t="s">
        <v>113</v>
      </c>
      <c r="C23" s="2" t="s">
        <v>104</v>
      </c>
      <c r="D23" s="3">
        <v>24</v>
      </c>
    </row>
    <row r="24" spans="1:4">
      <c r="A24" s="11" t="s">
        <v>112</v>
      </c>
      <c r="B24" s="2" t="s">
        <v>113</v>
      </c>
      <c r="C24" s="2" t="s">
        <v>104</v>
      </c>
      <c r="D24" s="3">
        <v>24</v>
      </c>
    </row>
    <row r="25" spans="1:4">
      <c r="A25" s="11" t="s">
        <v>112</v>
      </c>
      <c r="B25" s="2" t="s">
        <v>113</v>
      </c>
      <c r="C25" s="2" t="s">
        <v>104</v>
      </c>
      <c r="D25" s="3">
        <v>24</v>
      </c>
    </row>
    <row r="26" spans="1:4">
      <c r="A26" s="11" t="s">
        <v>114</v>
      </c>
      <c r="B26" s="2" t="s">
        <v>115</v>
      </c>
      <c r="C26" s="2" t="s">
        <v>116</v>
      </c>
      <c r="D26" s="3">
        <v>24</v>
      </c>
    </row>
    <row r="27" spans="1:4">
      <c r="A27" s="11" t="s">
        <v>114</v>
      </c>
      <c r="B27" s="2" t="s">
        <v>115</v>
      </c>
      <c r="C27" s="2" t="s">
        <v>116</v>
      </c>
      <c r="D27" s="3">
        <v>24</v>
      </c>
    </row>
    <row r="28" spans="1:4">
      <c r="A28" s="11" t="s">
        <v>114</v>
      </c>
      <c r="B28" s="2" t="s">
        <v>115</v>
      </c>
      <c r="C28" s="2" t="s">
        <v>116</v>
      </c>
      <c r="D28" s="3">
        <v>24</v>
      </c>
    </row>
    <row r="29" spans="1:4">
      <c r="A29" s="11" t="s">
        <v>117</v>
      </c>
      <c r="B29" s="2" t="s">
        <v>118</v>
      </c>
      <c r="C29" s="2" t="s">
        <v>119</v>
      </c>
      <c r="D29" s="3">
        <v>24</v>
      </c>
    </row>
    <row r="30" spans="1:4">
      <c r="A30" s="11" t="s">
        <v>117</v>
      </c>
      <c r="B30" s="2" t="s">
        <v>118</v>
      </c>
      <c r="C30" s="2" t="s">
        <v>119</v>
      </c>
      <c r="D30" s="3">
        <v>24</v>
      </c>
    </row>
    <row r="31" spans="1:4">
      <c r="A31" s="11" t="s">
        <v>117</v>
      </c>
      <c r="B31" s="2" t="s">
        <v>118</v>
      </c>
      <c r="C31" s="2" t="s">
        <v>119</v>
      </c>
      <c r="D31" s="3">
        <v>24</v>
      </c>
    </row>
    <row r="32" spans="1:4">
      <c r="A32" s="11" t="s">
        <v>120</v>
      </c>
      <c r="B32" s="2" t="s">
        <v>94</v>
      </c>
      <c r="C32" s="2" t="s">
        <v>95</v>
      </c>
      <c r="D32" s="3">
        <v>24</v>
      </c>
    </row>
    <row r="33" spans="1:4">
      <c r="A33" s="11" t="s">
        <v>120</v>
      </c>
      <c r="B33" s="2" t="s">
        <v>94</v>
      </c>
      <c r="C33" s="2" t="s">
        <v>95</v>
      </c>
      <c r="D33" s="3">
        <v>24</v>
      </c>
    </row>
    <row r="34" spans="1:4">
      <c r="A34" s="11" t="s">
        <v>120</v>
      </c>
      <c r="B34" s="2" t="s">
        <v>94</v>
      </c>
      <c r="C34" s="2" t="s">
        <v>95</v>
      </c>
      <c r="D34" s="3">
        <v>24</v>
      </c>
    </row>
    <row r="35" spans="1:4">
      <c r="A35" s="11" t="s">
        <v>121</v>
      </c>
      <c r="B35" s="2" t="s">
        <v>97</v>
      </c>
      <c r="C35" s="2" t="s">
        <v>98</v>
      </c>
      <c r="D35" s="3">
        <v>24</v>
      </c>
    </row>
    <row r="36" spans="1:4">
      <c r="A36" s="11" t="s">
        <v>121</v>
      </c>
      <c r="B36" s="2" t="s">
        <v>97</v>
      </c>
      <c r="C36" s="2" t="s">
        <v>98</v>
      </c>
      <c r="D36" s="3">
        <v>24</v>
      </c>
    </row>
    <row r="37" spans="1:4">
      <c r="A37" s="11" t="s">
        <v>121</v>
      </c>
      <c r="B37" s="2" t="s">
        <v>97</v>
      </c>
      <c r="C37" s="2" t="s">
        <v>98</v>
      </c>
      <c r="D37" s="3">
        <v>24</v>
      </c>
    </row>
    <row r="38" spans="1:4">
      <c r="A38" s="11" t="s">
        <v>122</v>
      </c>
      <c r="B38" s="2" t="s">
        <v>100</v>
      </c>
      <c r="C38" s="2" t="s">
        <v>101</v>
      </c>
      <c r="D38" s="3">
        <v>12</v>
      </c>
    </row>
    <row r="39" spans="1:4">
      <c r="A39" s="11" t="s">
        <v>122</v>
      </c>
      <c r="B39" s="2" t="s">
        <v>100</v>
      </c>
      <c r="C39" s="2" t="s">
        <v>101</v>
      </c>
      <c r="D39" s="3">
        <v>12</v>
      </c>
    </row>
    <row r="40" spans="1:4">
      <c r="A40" s="11" t="s">
        <v>122</v>
      </c>
      <c r="B40" s="2" t="s">
        <v>100</v>
      </c>
      <c r="C40" s="2" t="s">
        <v>101</v>
      </c>
      <c r="D40" s="3">
        <v>12</v>
      </c>
    </row>
    <row r="41" spans="1:4">
      <c r="A41" s="11" t="s">
        <v>123</v>
      </c>
      <c r="B41" s="2" t="s">
        <v>103</v>
      </c>
      <c r="C41" s="2" t="s">
        <v>104</v>
      </c>
      <c r="D41" s="3">
        <v>24</v>
      </c>
    </row>
    <row r="42" spans="1:4">
      <c r="A42" s="11" t="s">
        <v>123</v>
      </c>
      <c r="B42" s="2" t="s">
        <v>103</v>
      </c>
      <c r="C42" s="2" t="s">
        <v>104</v>
      </c>
      <c r="D42" s="3">
        <v>24</v>
      </c>
    </row>
    <row r="43" spans="1:4">
      <c r="A43" s="11" t="s">
        <v>123</v>
      </c>
      <c r="B43" s="2" t="s">
        <v>103</v>
      </c>
      <c r="C43" s="2" t="s">
        <v>104</v>
      </c>
      <c r="D43" s="3">
        <v>24</v>
      </c>
    </row>
    <row r="44" spans="1:4">
      <c r="A44" s="11" t="s">
        <v>124</v>
      </c>
      <c r="B44" s="2" t="s">
        <v>106</v>
      </c>
      <c r="C44" s="2" t="s">
        <v>104</v>
      </c>
      <c r="D44" s="3">
        <v>24</v>
      </c>
    </row>
    <row r="45" spans="1:4">
      <c r="A45" s="11" t="s">
        <v>124</v>
      </c>
      <c r="B45" s="2" t="s">
        <v>106</v>
      </c>
      <c r="C45" s="2" t="s">
        <v>104</v>
      </c>
      <c r="D45" s="3">
        <v>24</v>
      </c>
    </row>
    <row r="46" spans="1:4">
      <c r="A46" s="11" t="s">
        <v>124</v>
      </c>
      <c r="B46" s="2" t="s">
        <v>106</v>
      </c>
      <c r="C46" s="2" t="s">
        <v>104</v>
      </c>
      <c r="D46" s="3">
        <v>24</v>
      </c>
    </row>
    <row r="47" spans="1:4">
      <c r="A47" s="11" t="s">
        <v>125</v>
      </c>
      <c r="B47" s="2" t="s">
        <v>108</v>
      </c>
      <c r="C47" s="2" t="s">
        <v>104</v>
      </c>
      <c r="D47" s="3">
        <v>24</v>
      </c>
    </row>
    <row r="48" spans="1:4">
      <c r="A48" s="11" t="s">
        <v>125</v>
      </c>
      <c r="B48" s="2" t="s">
        <v>108</v>
      </c>
      <c r="C48" s="2" t="s">
        <v>104</v>
      </c>
      <c r="D48" s="3">
        <v>24</v>
      </c>
    </row>
    <row r="49" spans="1:4">
      <c r="A49" s="11" t="s">
        <v>125</v>
      </c>
      <c r="B49" s="2" t="s">
        <v>108</v>
      </c>
      <c r="C49" s="2" t="s">
        <v>104</v>
      </c>
      <c r="D49" s="3">
        <v>24</v>
      </c>
    </row>
    <row r="50" spans="1:4">
      <c r="A50" s="11" t="s">
        <v>126</v>
      </c>
      <c r="B50" s="2" t="s">
        <v>110</v>
      </c>
      <c r="C50" s="2" t="s">
        <v>111</v>
      </c>
      <c r="D50" s="3">
        <v>24</v>
      </c>
    </row>
    <row r="51" spans="1:4">
      <c r="A51" s="11" t="s">
        <v>126</v>
      </c>
      <c r="B51" s="2" t="s">
        <v>110</v>
      </c>
      <c r="C51" s="2" t="s">
        <v>111</v>
      </c>
      <c r="D51" s="3">
        <v>24</v>
      </c>
    </row>
    <row r="52" spans="1:4">
      <c r="A52" s="11" t="s">
        <v>126</v>
      </c>
      <c r="B52" s="2" t="s">
        <v>110</v>
      </c>
      <c r="C52" s="2" t="s">
        <v>111</v>
      </c>
      <c r="D52" s="3">
        <v>24</v>
      </c>
    </row>
    <row r="53" spans="1:4">
      <c r="A53" s="11" t="s">
        <v>127</v>
      </c>
      <c r="B53" s="2" t="s">
        <v>113</v>
      </c>
      <c r="C53" s="2" t="s">
        <v>104</v>
      </c>
      <c r="D53" s="3">
        <v>24</v>
      </c>
    </row>
    <row r="54" spans="1:4">
      <c r="A54" s="11" t="s">
        <v>127</v>
      </c>
      <c r="B54" s="2" t="s">
        <v>113</v>
      </c>
      <c r="C54" s="2" t="s">
        <v>104</v>
      </c>
      <c r="D54" s="3">
        <v>24</v>
      </c>
    </row>
    <row r="55" spans="1:4">
      <c r="A55" s="11" t="s">
        <v>127</v>
      </c>
      <c r="B55" s="2" t="s">
        <v>113</v>
      </c>
      <c r="C55" s="2" t="s">
        <v>104</v>
      </c>
      <c r="D55" s="3">
        <v>24</v>
      </c>
    </row>
    <row r="56" spans="1:4">
      <c r="A56" s="11" t="s">
        <v>128</v>
      </c>
      <c r="B56" s="2" t="s">
        <v>115</v>
      </c>
      <c r="C56" s="2" t="s">
        <v>116</v>
      </c>
      <c r="D56" s="3">
        <v>24</v>
      </c>
    </row>
    <row r="57" spans="1:4">
      <c r="A57" s="11" t="s">
        <v>128</v>
      </c>
      <c r="B57" s="2" t="s">
        <v>115</v>
      </c>
      <c r="C57" s="2" t="s">
        <v>116</v>
      </c>
      <c r="D57" s="3">
        <v>24</v>
      </c>
    </row>
    <row r="58" spans="1:4">
      <c r="A58" s="11" t="s">
        <v>128</v>
      </c>
      <c r="B58" s="2" t="s">
        <v>115</v>
      </c>
      <c r="C58" s="2" t="s">
        <v>116</v>
      </c>
      <c r="D58" s="3">
        <v>24</v>
      </c>
    </row>
    <row r="59" spans="1:4">
      <c r="A59" s="11" t="s">
        <v>129</v>
      </c>
      <c r="B59" s="2" t="s">
        <v>118</v>
      </c>
      <c r="C59" s="2" t="s">
        <v>119</v>
      </c>
      <c r="D59" s="3">
        <v>24</v>
      </c>
    </row>
    <row r="60" spans="1:4">
      <c r="A60" s="11" t="s">
        <v>129</v>
      </c>
      <c r="B60" s="2" t="s">
        <v>118</v>
      </c>
      <c r="C60" s="2" t="s">
        <v>119</v>
      </c>
      <c r="D60" s="3">
        <v>24</v>
      </c>
    </row>
    <row r="61" spans="1:4">
      <c r="A61" s="11" t="s">
        <v>129</v>
      </c>
      <c r="B61" s="2" t="s">
        <v>118</v>
      </c>
      <c r="C61" s="2" t="s">
        <v>119</v>
      </c>
      <c r="D61" s="3">
        <v>24</v>
      </c>
    </row>
    <row r="62" spans="1:4">
      <c r="A62" s="11" t="s">
        <v>130</v>
      </c>
      <c r="B62" s="2" t="s">
        <v>94</v>
      </c>
      <c r="C62" s="2" t="s">
        <v>95</v>
      </c>
      <c r="D62" s="3">
        <v>24</v>
      </c>
    </row>
    <row r="63" spans="1:4">
      <c r="A63" s="11" t="s">
        <v>130</v>
      </c>
      <c r="B63" s="2" t="s">
        <v>94</v>
      </c>
      <c r="C63" s="2" t="s">
        <v>95</v>
      </c>
      <c r="D63" s="3">
        <v>24</v>
      </c>
    </row>
    <row r="64" spans="1:4">
      <c r="A64" s="11" t="s">
        <v>130</v>
      </c>
      <c r="B64" s="2" t="s">
        <v>94</v>
      </c>
      <c r="C64" s="2" t="s">
        <v>95</v>
      </c>
      <c r="D64" s="3">
        <v>24</v>
      </c>
    </row>
    <row r="65" spans="1:4">
      <c r="A65" s="11" t="s">
        <v>131</v>
      </c>
      <c r="B65" s="2" t="s">
        <v>97</v>
      </c>
      <c r="C65" s="2" t="s">
        <v>98</v>
      </c>
      <c r="D65" s="3">
        <v>24</v>
      </c>
    </row>
    <row r="66" spans="1:4">
      <c r="A66" s="11" t="s">
        <v>131</v>
      </c>
      <c r="B66" s="2" t="s">
        <v>97</v>
      </c>
      <c r="C66" s="2" t="s">
        <v>98</v>
      </c>
      <c r="D66" s="3">
        <v>24</v>
      </c>
    </row>
    <row r="67" spans="1:4">
      <c r="A67" s="11" t="s">
        <v>131</v>
      </c>
      <c r="B67" s="2" t="s">
        <v>97</v>
      </c>
      <c r="C67" s="2" t="s">
        <v>98</v>
      </c>
      <c r="D67" s="3">
        <v>24</v>
      </c>
    </row>
    <row r="68" spans="1:4">
      <c r="A68" s="11" t="s">
        <v>132</v>
      </c>
      <c r="B68" s="2" t="s">
        <v>100</v>
      </c>
      <c r="C68" s="2" t="s">
        <v>101</v>
      </c>
      <c r="D68" s="3">
        <v>12</v>
      </c>
    </row>
    <row r="69" spans="1:4">
      <c r="A69" s="11" t="s">
        <v>132</v>
      </c>
      <c r="B69" s="2" t="s">
        <v>100</v>
      </c>
      <c r="C69" s="2" t="s">
        <v>101</v>
      </c>
      <c r="D69" s="3">
        <v>12</v>
      </c>
    </row>
    <row r="70" spans="1:4">
      <c r="A70" s="11" t="s">
        <v>132</v>
      </c>
      <c r="B70" s="2" t="s">
        <v>100</v>
      </c>
      <c r="C70" s="2" t="s">
        <v>101</v>
      </c>
      <c r="D70" s="3">
        <v>12</v>
      </c>
    </row>
    <row r="71" spans="1:4">
      <c r="A71" s="11" t="s">
        <v>133</v>
      </c>
      <c r="B71" s="2" t="s">
        <v>103</v>
      </c>
      <c r="C71" s="2" t="s">
        <v>104</v>
      </c>
      <c r="D71" s="3">
        <v>24</v>
      </c>
    </row>
    <row r="72" spans="1:4">
      <c r="A72" s="11" t="s">
        <v>133</v>
      </c>
      <c r="B72" s="2" t="s">
        <v>103</v>
      </c>
      <c r="C72" s="2" t="s">
        <v>104</v>
      </c>
      <c r="D72" s="3">
        <v>24</v>
      </c>
    </row>
    <row r="73" spans="1:4">
      <c r="A73" s="11" t="s">
        <v>133</v>
      </c>
      <c r="B73" s="2" t="s">
        <v>103</v>
      </c>
      <c r="C73" s="2" t="s">
        <v>104</v>
      </c>
      <c r="D73" s="3">
        <v>24</v>
      </c>
    </row>
    <row r="74" spans="1:4">
      <c r="A74" s="11" t="s">
        <v>134</v>
      </c>
      <c r="B74" s="2" t="s">
        <v>106</v>
      </c>
      <c r="C74" s="2" t="s">
        <v>104</v>
      </c>
      <c r="D74" s="3">
        <v>24</v>
      </c>
    </row>
    <row r="75" spans="1:4">
      <c r="A75" s="11" t="s">
        <v>134</v>
      </c>
      <c r="B75" s="2" t="s">
        <v>106</v>
      </c>
      <c r="C75" s="2" t="s">
        <v>104</v>
      </c>
      <c r="D75" s="3">
        <v>24</v>
      </c>
    </row>
    <row r="76" spans="1:4">
      <c r="A76" s="11" t="s">
        <v>134</v>
      </c>
      <c r="B76" s="2" t="s">
        <v>106</v>
      </c>
      <c r="C76" s="2" t="s">
        <v>104</v>
      </c>
      <c r="D76" s="3">
        <v>24</v>
      </c>
    </row>
    <row r="77" spans="1:4">
      <c r="A77" s="11" t="s">
        <v>135</v>
      </c>
      <c r="B77" s="2" t="s">
        <v>108</v>
      </c>
      <c r="C77" s="2" t="s">
        <v>104</v>
      </c>
      <c r="D77" s="3">
        <v>24</v>
      </c>
    </row>
    <row r="78" spans="1:4">
      <c r="A78" s="11" t="s">
        <v>135</v>
      </c>
      <c r="B78" s="2" t="s">
        <v>108</v>
      </c>
      <c r="C78" s="2" t="s">
        <v>104</v>
      </c>
      <c r="D78" s="3">
        <v>24</v>
      </c>
    </row>
    <row r="79" spans="1:4">
      <c r="A79" s="11" t="s">
        <v>135</v>
      </c>
      <c r="B79" s="2" t="s">
        <v>108</v>
      </c>
      <c r="C79" s="2" t="s">
        <v>104</v>
      </c>
      <c r="D79" s="3">
        <v>24</v>
      </c>
    </row>
    <row r="80" spans="1:4">
      <c r="A80" s="11" t="s">
        <v>136</v>
      </c>
      <c r="B80" s="2" t="s">
        <v>110</v>
      </c>
      <c r="C80" s="2" t="s">
        <v>111</v>
      </c>
      <c r="D80" s="3">
        <v>24</v>
      </c>
    </row>
    <row r="81" spans="1:4">
      <c r="A81" s="11" t="s">
        <v>136</v>
      </c>
      <c r="B81" s="2" t="s">
        <v>110</v>
      </c>
      <c r="C81" s="2" t="s">
        <v>111</v>
      </c>
      <c r="D81" s="3">
        <v>24</v>
      </c>
    </row>
    <row r="82" spans="1:4">
      <c r="A82" s="11" t="s">
        <v>136</v>
      </c>
      <c r="B82" s="2" t="s">
        <v>110</v>
      </c>
      <c r="C82" s="2" t="s">
        <v>111</v>
      </c>
      <c r="D82" s="3">
        <v>24</v>
      </c>
    </row>
    <row r="83" spans="1:4">
      <c r="A83" s="11" t="s">
        <v>137</v>
      </c>
      <c r="B83" s="2" t="s">
        <v>113</v>
      </c>
      <c r="C83" s="2" t="s">
        <v>104</v>
      </c>
      <c r="D83" s="3">
        <v>24</v>
      </c>
    </row>
    <row r="84" spans="1:4">
      <c r="A84" s="11" t="s">
        <v>137</v>
      </c>
      <c r="B84" s="2" t="s">
        <v>113</v>
      </c>
      <c r="C84" s="2" t="s">
        <v>104</v>
      </c>
      <c r="D84" s="3">
        <v>24</v>
      </c>
    </row>
    <row r="85" spans="1:4">
      <c r="A85" s="11" t="s">
        <v>137</v>
      </c>
      <c r="B85" s="2" t="s">
        <v>113</v>
      </c>
      <c r="C85" s="2" t="s">
        <v>104</v>
      </c>
      <c r="D85" s="3">
        <v>24</v>
      </c>
    </row>
    <row r="86" spans="1:4">
      <c r="A86" s="11" t="s">
        <v>138</v>
      </c>
      <c r="B86" s="2" t="s">
        <v>115</v>
      </c>
      <c r="C86" s="2" t="s">
        <v>116</v>
      </c>
      <c r="D86" s="3">
        <v>24</v>
      </c>
    </row>
    <row r="87" spans="1:4">
      <c r="A87" s="11" t="s">
        <v>138</v>
      </c>
      <c r="B87" s="2" t="s">
        <v>115</v>
      </c>
      <c r="C87" s="2" t="s">
        <v>116</v>
      </c>
      <c r="D87" s="3">
        <v>24</v>
      </c>
    </row>
    <row r="88" spans="1:4">
      <c r="A88" s="11" t="s">
        <v>138</v>
      </c>
      <c r="B88" s="2" t="s">
        <v>115</v>
      </c>
      <c r="C88" s="2" t="s">
        <v>116</v>
      </c>
      <c r="D88" s="3">
        <v>24</v>
      </c>
    </row>
    <row r="89" spans="1:4">
      <c r="A89" s="11" t="s">
        <v>139</v>
      </c>
      <c r="B89" s="2" t="s">
        <v>118</v>
      </c>
      <c r="C89" s="2" t="s">
        <v>119</v>
      </c>
      <c r="D89" s="3">
        <v>24</v>
      </c>
    </row>
    <row r="90" spans="1:4">
      <c r="A90" s="11" t="s">
        <v>139</v>
      </c>
      <c r="B90" s="2" t="s">
        <v>118</v>
      </c>
      <c r="C90" s="2" t="s">
        <v>119</v>
      </c>
      <c r="D90" s="3">
        <v>24</v>
      </c>
    </row>
    <row r="91" spans="1:4">
      <c r="A91" s="11" t="s">
        <v>139</v>
      </c>
      <c r="B91" s="2" t="s">
        <v>118</v>
      </c>
      <c r="C91" s="2" t="s">
        <v>119</v>
      </c>
      <c r="D91" s="3">
        <v>24</v>
      </c>
    </row>
    <row r="92" spans="1:4">
      <c r="A92" s="11" t="s">
        <v>140</v>
      </c>
      <c r="B92" s="2" t="s">
        <v>94</v>
      </c>
      <c r="C92" s="2" t="s">
        <v>95</v>
      </c>
      <c r="D92" s="3">
        <v>24</v>
      </c>
    </row>
    <row r="93" spans="1:4">
      <c r="A93" s="11" t="s">
        <v>140</v>
      </c>
      <c r="B93" s="2" t="s">
        <v>94</v>
      </c>
      <c r="C93" s="2" t="s">
        <v>95</v>
      </c>
      <c r="D93" s="3">
        <v>24</v>
      </c>
    </row>
    <row r="94" spans="1:4">
      <c r="A94" s="11" t="s">
        <v>140</v>
      </c>
      <c r="B94" s="2" t="s">
        <v>94</v>
      </c>
      <c r="C94" s="2" t="s">
        <v>95</v>
      </c>
      <c r="D94" s="3">
        <v>24</v>
      </c>
    </row>
    <row r="95" spans="1:4">
      <c r="A95" s="11" t="s">
        <v>141</v>
      </c>
      <c r="B95" s="2" t="s">
        <v>97</v>
      </c>
      <c r="C95" s="2" t="s">
        <v>98</v>
      </c>
      <c r="D95" s="3">
        <v>24</v>
      </c>
    </row>
    <row r="96" spans="1:4">
      <c r="A96" s="11" t="s">
        <v>141</v>
      </c>
      <c r="B96" s="2" t="s">
        <v>97</v>
      </c>
      <c r="C96" s="2" t="s">
        <v>98</v>
      </c>
      <c r="D96" s="3">
        <v>24</v>
      </c>
    </row>
    <row r="97" spans="1:4">
      <c r="A97" s="11" t="s">
        <v>141</v>
      </c>
      <c r="B97" s="2" t="s">
        <v>97</v>
      </c>
      <c r="C97" s="2" t="s">
        <v>98</v>
      </c>
      <c r="D97" s="3">
        <v>24</v>
      </c>
    </row>
    <row r="98" spans="1:4">
      <c r="A98" s="11" t="s">
        <v>142</v>
      </c>
      <c r="B98" s="2" t="s">
        <v>100</v>
      </c>
      <c r="C98" s="2" t="s">
        <v>101</v>
      </c>
      <c r="D98" s="3">
        <v>12</v>
      </c>
    </row>
    <row r="99" spans="1:4">
      <c r="A99" s="11" t="s">
        <v>142</v>
      </c>
      <c r="B99" s="2" t="s">
        <v>100</v>
      </c>
      <c r="C99" s="2" t="s">
        <v>101</v>
      </c>
      <c r="D99" s="3">
        <v>12</v>
      </c>
    </row>
    <row r="100" spans="1:4">
      <c r="A100" s="11" t="s">
        <v>142</v>
      </c>
      <c r="B100" s="2" t="s">
        <v>100</v>
      </c>
      <c r="C100" s="2" t="s">
        <v>101</v>
      </c>
      <c r="D100" s="3">
        <v>12</v>
      </c>
    </row>
    <row r="101" spans="1:4">
      <c r="A101" s="11" t="s">
        <v>143</v>
      </c>
      <c r="B101" s="2" t="s">
        <v>103</v>
      </c>
      <c r="C101" s="2" t="s">
        <v>104</v>
      </c>
      <c r="D101" s="3">
        <v>24</v>
      </c>
    </row>
    <row r="102" spans="1:4">
      <c r="A102" s="11" t="s">
        <v>143</v>
      </c>
      <c r="B102" s="2" t="s">
        <v>103</v>
      </c>
      <c r="C102" s="2" t="s">
        <v>104</v>
      </c>
      <c r="D102" s="3">
        <v>24</v>
      </c>
    </row>
    <row r="103" spans="1:4">
      <c r="A103" s="11" t="s">
        <v>143</v>
      </c>
      <c r="B103" s="2" t="s">
        <v>103</v>
      </c>
      <c r="C103" s="2" t="s">
        <v>104</v>
      </c>
      <c r="D103" s="3">
        <v>24</v>
      </c>
    </row>
    <row r="104" spans="1:4">
      <c r="A104" s="11" t="s">
        <v>144</v>
      </c>
      <c r="B104" s="2" t="s">
        <v>106</v>
      </c>
      <c r="C104" s="2" t="s">
        <v>104</v>
      </c>
      <c r="D104" s="3">
        <v>24</v>
      </c>
    </row>
    <row r="105" spans="1:4">
      <c r="A105" s="11" t="s">
        <v>144</v>
      </c>
      <c r="B105" s="2" t="s">
        <v>106</v>
      </c>
      <c r="C105" s="2" t="s">
        <v>104</v>
      </c>
      <c r="D105" s="3">
        <v>24</v>
      </c>
    </row>
    <row r="106" spans="1:4">
      <c r="A106" s="11" t="s">
        <v>144</v>
      </c>
      <c r="B106" s="2" t="s">
        <v>106</v>
      </c>
      <c r="C106" s="2" t="s">
        <v>104</v>
      </c>
      <c r="D106" s="3">
        <v>24</v>
      </c>
    </row>
    <row r="107" spans="1:4">
      <c r="A107" s="11" t="s">
        <v>145</v>
      </c>
      <c r="B107" s="2" t="s">
        <v>108</v>
      </c>
      <c r="C107" s="2" t="s">
        <v>104</v>
      </c>
      <c r="D107" s="3">
        <v>24</v>
      </c>
    </row>
    <row r="108" spans="1:4">
      <c r="A108" s="11" t="s">
        <v>145</v>
      </c>
      <c r="B108" s="2" t="s">
        <v>108</v>
      </c>
      <c r="C108" s="2" t="s">
        <v>104</v>
      </c>
      <c r="D108" s="3">
        <v>24</v>
      </c>
    </row>
    <row r="109" spans="1:4">
      <c r="A109" s="11" t="s">
        <v>145</v>
      </c>
      <c r="B109" s="2" t="s">
        <v>108</v>
      </c>
      <c r="C109" s="2" t="s">
        <v>104</v>
      </c>
      <c r="D109" s="3">
        <v>24</v>
      </c>
    </row>
    <row r="110" spans="1:4">
      <c r="A110" s="11" t="s">
        <v>146</v>
      </c>
      <c r="B110" s="2" t="s">
        <v>110</v>
      </c>
      <c r="C110" s="2" t="s">
        <v>111</v>
      </c>
      <c r="D110" s="3">
        <v>24</v>
      </c>
    </row>
    <row r="111" spans="1:4">
      <c r="A111" s="11" t="s">
        <v>146</v>
      </c>
      <c r="B111" s="2" t="s">
        <v>110</v>
      </c>
      <c r="C111" s="2" t="s">
        <v>111</v>
      </c>
      <c r="D111" s="3">
        <v>24</v>
      </c>
    </row>
    <row r="112" spans="1:4">
      <c r="A112" s="11" t="s">
        <v>146</v>
      </c>
      <c r="B112" s="2" t="s">
        <v>110</v>
      </c>
      <c r="C112" s="2" t="s">
        <v>111</v>
      </c>
      <c r="D112" s="3">
        <v>24</v>
      </c>
    </row>
    <row r="113" spans="1:4">
      <c r="A113" s="11" t="s">
        <v>147</v>
      </c>
      <c r="B113" s="2" t="s">
        <v>113</v>
      </c>
      <c r="C113" s="2" t="s">
        <v>104</v>
      </c>
      <c r="D113" s="3">
        <v>24</v>
      </c>
    </row>
    <row r="114" spans="1:4">
      <c r="A114" s="11" t="s">
        <v>147</v>
      </c>
      <c r="B114" s="2" t="s">
        <v>113</v>
      </c>
      <c r="C114" s="2" t="s">
        <v>104</v>
      </c>
      <c r="D114" s="3">
        <v>24</v>
      </c>
    </row>
    <row r="115" spans="1:4">
      <c r="A115" s="11" t="s">
        <v>147</v>
      </c>
      <c r="B115" s="2" t="s">
        <v>113</v>
      </c>
      <c r="C115" s="2" t="s">
        <v>104</v>
      </c>
      <c r="D115" s="3">
        <v>24</v>
      </c>
    </row>
    <row r="116" spans="1:4">
      <c r="A116" s="11" t="s">
        <v>148</v>
      </c>
      <c r="B116" s="2" t="s">
        <v>115</v>
      </c>
      <c r="C116" s="2" t="s">
        <v>116</v>
      </c>
      <c r="D116" s="3">
        <v>24</v>
      </c>
    </row>
    <row r="117" spans="1:4">
      <c r="A117" s="11" t="s">
        <v>148</v>
      </c>
      <c r="B117" s="2" t="s">
        <v>115</v>
      </c>
      <c r="C117" s="2" t="s">
        <v>116</v>
      </c>
      <c r="D117" s="3">
        <v>24</v>
      </c>
    </row>
    <row r="118" spans="1:4">
      <c r="A118" s="11" t="s">
        <v>148</v>
      </c>
      <c r="B118" s="2" t="s">
        <v>115</v>
      </c>
      <c r="C118" s="2" t="s">
        <v>116</v>
      </c>
      <c r="D118" s="3">
        <v>24</v>
      </c>
    </row>
    <row r="119" spans="1:4">
      <c r="A119" s="11" t="s">
        <v>149</v>
      </c>
      <c r="B119" s="2" t="s">
        <v>118</v>
      </c>
      <c r="C119" s="2" t="s">
        <v>119</v>
      </c>
      <c r="D119" s="3">
        <v>24</v>
      </c>
    </row>
    <row r="120" spans="1:4">
      <c r="A120" s="11" t="s">
        <v>149</v>
      </c>
      <c r="B120" s="2" t="s">
        <v>118</v>
      </c>
      <c r="C120" s="2" t="s">
        <v>119</v>
      </c>
      <c r="D120" s="3">
        <v>24</v>
      </c>
    </row>
    <row r="121" spans="1:4">
      <c r="A121" s="11" t="s">
        <v>149</v>
      </c>
      <c r="B121" s="2" t="s">
        <v>118</v>
      </c>
      <c r="C121" s="2" t="s">
        <v>119</v>
      </c>
      <c r="D121" s="3">
        <v>24</v>
      </c>
    </row>
    <row r="122" spans="1:4">
      <c r="A122" s="11" t="s">
        <v>150</v>
      </c>
      <c r="B122" s="2" t="s">
        <v>151</v>
      </c>
      <c r="C122" s="2" t="s">
        <v>95</v>
      </c>
      <c r="D122" s="3">
        <v>36</v>
      </c>
    </row>
    <row r="123" spans="1:4">
      <c r="A123" s="11" t="s">
        <v>152</v>
      </c>
      <c r="B123" s="2" t="s">
        <v>153</v>
      </c>
      <c r="C123" s="2" t="s">
        <v>154</v>
      </c>
      <c r="D123" s="3">
        <v>36</v>
      </c>
    </row>
    <row r="124" spans="1:4">
      <c r="A124" s="11" t="s">
        <v>155</v>
      </c>
      <c r="B124" s="2" t="s">
        <v>156</v>
      </c>
      <c r="C124" s="2" t="s">
        <v>104</v>
      </c>
      <c r="D124" s="3">
        <v>36</v>
      </c>
    </row>
    <row r="125" spans="1:4">
      <c r="A125" s="11" t="s">
        <v>157</v>
      </c>
      <c r="B125" s="2" t="s">
        <v>94</v>
      </c>
      <c r="C125" s="2" t="s">
        <v>95</v>
      </c>
      <c r="D125" s="3">
        <v>36</v>
      </c>
    </row>
    <row r="126" spans="1:4">
      <c r="A126" s="11" t="s">
        <v>158</v>
      </c>
      <c r="B126" s="2" t="s">
        <v>159</v>
      </c>
      <c r="C126" s="2" t="s">
        <v>98</v>
      </c>
      <c r="D126" s="3">
        <v>24</v>
      </c>
    </row>
    <row r="127" spans="1:4">
      <c r="A127" s="11" t="s">
        <v>160</v>
      </c>
      <c r="B127" s="2" t="s">
        <v>161</v>
      </c>
      <c r="C127" s="2" t="s">
        <v>162</v>
      </c>
      <c r="D127" s="3">
        <v>24</v>
      </c>
    </row>
    <row r="128" spans="1:4">
      <c r="A128" s="11" t="s">
        <v>163</v>
      </c>
      <c r="B128" s="2" t="s">
        <v>164</v>
      </c>
      <c r="C128" s="2" t="s">
        <v>162</v>
      </c>
      <c r="D128" s="3">
        <v>24</v>
      </c>
    </row>
    <row r="129" spans="1:4">
      <c r="A129" s="11" t="s">
        <v>165</v>
      </c>
      <c r="B129" s="2" t="s">
        <v>166</v>
      </c>
      <c r="C129" s="2" t="s">
        <v>162</v>
      </c>
      <c r="D129" s="3">
        <v>24</v>
      </c>
    </row>
    <row r="130" spans="1:4">
      <c r="A130" s="11" t="s">
        <v>167</v>
      </c>
      <c r="B130" s="2" t="s">
        <v>168</v>
      </c>
      <c r="C130" s="2" t="s">
        <v>95</v>
      </c>
      <c r="D130" s="3">
        <v>12</v>
      </c>
    </row>
    <row r="131" spans="1:4">
      <c r="A131" s="11" t="s">
        <v>169</v>
      </c>
      <c r="B131" s="2" t="s">
        <v>170</v>
      </c>
      <c r="C131" s="2" t="s">
        <v>171</v>
      </c>
      <c r="D131" s="3"/>
    </row>
    <row r="132" spans="1:4">
      <c r="A132" s="11" t="s">
        <v>172</v>
      </c>
      <c r="B132" s="2" t="s">
        <v>173</v>
      </c>
      <c r="C132" s="2" t="s">
        <v>104</v>
      </c>
      <c r="D132" s="3">
        <v>12</v>
      </c>
    </row>
    <row r="133" spans="1:4">
      <c r="A133" s="11" t="s">
        <v>174</v>
      </c>
      <c r="B133" s="2" t="s">
        <v>173</v>
      </c>
      <c r="C133" s="2" t="s">
        <v>116</v>
      </c>
      <c r="D133" s="3">
        <v>12</v>
      </c>
    </row>
    <row r="134" spans="1:4">
      <c r="A134" s="11" t="s">
        <v>175</v>
      </c>
      <c r="B134" s="2" t="s">
        <v>173</v>
      </c>
      <c r="C134" s="2" t="s">
        <v>119</v>
      </c>
      <c r="D134" s="3">
        <v>12</v>
      </c>
    </row>
    <row r="135" spans="1:4">
      <c r="A135" s="11" t="s">
        <v>176</v>
      </c>
      <c r="B135" s="2" t="s">
        <v>177</v>
      </c>
      <c r="C135" s="2" t="s">
        <v>154</v>
      </c>
      <c r="D135" s="3">
        <v>36</v>
      </c>
    </row>
    <row r="136" spans="1:4">
      <c r="A136" s="11" t="s">
        <v>178</v>
      </c>
      <c r="B136" s="2" t="s">
        <v>179</v>
      </c>
      <c r="C136" s="2" t="s">
        <v>98</v>
      </c>
      <c r="D136" s="3">
        <v>24</v>
      </c>
    </row>
    <row r="137" spans="1:4">
      <c r="A137" s="11" t="s">
        <v>180</v>
      </c>
      <c r="B137" s="2" t="s">
        <v>181</v>
      </c>
      <c r="C137" s="2" t="s">
        <v>154</v>
      </c>
      <c r="D137" s="3">
        <v>36</v>
      </c>
    </row>
    <row r="138" spans="1:4">
      <c r="A138" s="11" t="s">
        <v>182</v>
      </c>
      <c r="B138" s="2" t="s">
        <v>183</v>
      </c>
      <c r="C138" s="2" t="s">
        <v>95</v>
      </c>
      <c r="D138" s="3">
        <v>36</v>
      </c>
    </row>
    <row r="139" spans="1:4">
      <c r="A139" s="11" t="s">
        <v>184</v>
      </c>
      <c r="B139" s="2" t="s">
        <v>185</v>
      </c>
      <c r="C139" s="2" t="s">
        <v>95</v>
      </c>
      <c r="D139" s="3">
        <v>36</v>
      </c>
    </row>
    <row r="140" spans="1:4">
      <c r="A140" s="11" t="s">
        <v>186</v>
      </c>
      <c r="B140" s="2" t="s">
        <v>187</v>
      </c>
      <c r="C140" s="2" t="s">
        <v>101</v>
      </c>
      <c r="D140" s="3">
        <v>36</v>
      </c>
    </row>
    <row r="141" spans="1:4">
      <c r="A141" s="11" t="s">
        <v>188</v>
      </c>
      <c r="B141" s="2" t="s">
        <v>189</v>
      </c>
      <c r="C141" s="2" t="s">
        <v>173</v>
      </c>
      <c r="D141" s="3">
        <v>36</v>
      </c>
    </row>
    <row r="142" spans="1:4">
      <c r="A142" s="11" t="s">
        <v>190</v>
      </c>
      <c r="B142" s="2" t="s">
        <v>191</v>
      </c>
      <c r="C142" s="2" t="s">
        <v>192</v>
      </c>
      <c r="D142" s="3">
        <v>36</v>
      </c>
    </row>
    <row r="143" spans="1:4">
      <c r="A143" s="11" t="s">
        <v>193</v>
      </c>
      <c r="B143" s="2" t="s">
        <v>173</v>
      </c>
      <c r="C143" s="2" t="s">
        <v>173</v>
      </c>
      <c r="D143" s="3"/>
    </row>
    <row r="144" spans="1:4">
      <c r="A144" s="11" t="s">
        <v>194</v>
      </c>
      <c r="B144" s="2" t="s">
        <v>173</v>
      </c>
      <c r="C144" s="2" t="s">
        <v>173</v>
      </c>
      <c r="D144" s="3"/>
    </row>
    <row r="145" spans="1:4">
      <c r="A145" s="11" t="s">
        <v>195</v>
      </c>
      <c r="B145" s="2" t="s">
        <v>173</v>
      </c>
      <c r="C145" s="2" t="s">
        <v>173</v>
      </c>
      <c r="D145" s="3"/>
    </row>
    <row r="146" spans="1:4">
      <c r="A146" s="11" t="s">
        <v>196</v>
      </c>
      <c r="B146" s="2" t="s">
        <v>173</v>
      </c>
      <c r="C146" s="2" t="s">
        <v>173</v>
      </c>
      <c r="D146" s="3"/>
    </row>
    <row r="147" spans="1:4">
      <c r="A147" s="11" t="s">
        <v>197</v>
      </c>
      <c r="B147" s="2" t="s">
        <v>173</v>
      </c>
      <c r="C147" s="2" t="s">
        <v>173</v>
      </c>
      <c r="D147" s="3"/>
    </row>
    <row r="148" spans="1:4">
      <c r="A148" s="11" t="s">
        <v>198</v>
      </c>
      <c r="B148" s="2" t="s">
        <v>97</v>
      </c>
      <c r="C148" s="2" t="s">
        <v>98</v>
      </c>
      <c r="D148" s="3">
        <v>12</v>
      </c>
    </row>
    <row r="149" spans="1:4">
      <c r="A149" s="11" t="s">
        <v>199</v>
      </c>
      <c r="B149" s="2" t="s">
        <v>173</v>
      </c>
      <c r="C149" s="2" t="s">
        <v>173</v>
      </c>
      <c r="D149" s="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D191-FD95-4A4F-B985-CA873A880D16}">
  <sheetPr codeName="Sheet2">
    <tabColor rgb="FF002060"/>
  </sheetPr>
  <dimension ref="A1:N121"/>
  <sheetViews>
    <sheetView topLeftCell="A107" workbookViewId="0">
      <selection activeCell="C110" sqref="C110"/>
    </sheetView>
  </sheetViews>
  <sheetFormatPr defaultColWidth="10.77734375" defaultRowHeight="15.95"/>
  <cols>
    <col min="1" max="1" width="20.6640625" style="5" bestFit="1" customWidth="1"/>
    <col min="2" max="2" width="52.6640625" style="5" bestFit="1" customWidth="1"/>
    <col min="3" max="3" width="18" style="5" bestFit="1" customWidth="1"/>
    <col min="4" max="4" width="18.77734375" style="5" bestFit="1" customWidth="1"/>
    <col min="5" max="5" width="38.33203125" style="5" bestFit="1" customWidth="1"/>
    <col min="6" max="6" width="19.44140625" style="5" bestFit="1" customWidth="1"/>
    <col min="7" max="7" width="31.77734375" style="5" bestFit="1" customWidth="1"/>
    <col min="8" max="8" width="36" style="5" bestFit="1" customWidth="1"/>
    <col min="9" max="9" width="33" style="5" bestFit="1" customWidth="1"/>
    <col min="10" max="10" width="15" style="5" bestFit="1" customWidth="1"/>
    <col min="11" max="12" width="20.109375" style="5" bestFit="1" customWidth="1"/>
    <col min="13" max="14" width="27.109375" style="5" bestFit="1" customWidth="1"/>
    <col min="15" max="16384" width="10.77734375" style="5"/>
  </cols>
  <sheetData>
    <row r="1" spans="1:14" ht="33.950000000000003">
      <c r="A1" s="14" t="s">
        <v>200</v>
      </c>
      <c r="B1" s="15" t="s">
        <v>201</v>
      </c>
      <c r="C1" s="13" t="s">
        <v>202</v>
      </c>
      <c r="D1" s="13" t="s">
        <v>203</v>
      </c>
      <c r="E1" s="13" t="s">
        <v>204</v>
      </c>
      <c r="F1" s="13" t="s">
        <v>205</v>
      </c>
      <c r="G1" s="13" t="s">
        <v>206</v>
      </c>
      <c r="H1" s="13" t="s">
        <v>207</v>
      </c>
      <c r="I1" s="13" t="s">
        <v>208</v>
      </c>
      <c r="J1" s="13" t="s">
        <v>209</v>
      </c>
      <c r="K1" s="13" t="s">
        <v>210</v>
      </c>
      <c r="L1" s="15" t="s">
        <v>211</v>
      </c>
      <c r="M1" s="15" t="s">
        <v>212</v>
      </c>
      <c r="N1" s="13" t="s">
        <v>213</v>
      </c>
    </row>
    <row r="2" spans="1:14">
      <c r="A2" s="11" t="s">
        <v>214</v>
      </c>
      <c r="B2" s="11" t="s">
        <v>93</v>
      </c>
      <c r="C2" s="5" t="s">
        <v>215</v>
      </c>
      <c r="D2" s="5" t="s">
        <v>216</v>
      </c>
      <c r="E2" s="5" t="s">
        <v>217</v>
      </c>
      <c r="F2" s="5" t="s">
        <v>218</v>
      </c>
      <c r="G2" s="12">
        <v>98.3</v>
      </c>
      <c r="H2" s="8">
        <v>233</v>
      </c>
      <c r="I2" s="8">
        <v>17</v>
      </c>
      <c r="J2" s="8" t="str">
        <f>IF(ISNUMBER(SEARCH("-NEAT-",Sales_SKU!$B2)),"Neat",IF(ISNUMBER(SEARCH("-PWD-",Sales_SKU!$B2)),"powder",""))</f>
        <v>Neat</v>
      </c>
      <c r="K2" s="5" t="s">
        <v>219</v>
      </c>
      <c r="L2" s="11" t="s">
        <v>220</v>
      </c>
      <c r="M2" s="11" t="s">
        <v>221</v>
      </c>
      <c r="N2" s="5" t="s">
        <v>222</v>
      </c>
    </row>
    <row r="3" spans="1:14">
      <c r="A3" s="11" t="s">
        <v>223</v>
      </c>
      <c r="B3" s="11" t="s">
        <v>93</v>
      </c>
      <c r="C3" s="5" t="s">
        <v>215</v>
      </c>
      <c r="D3" s="5" t="s">
        <v>216</v>
      </c>
      <c r="E3" s="5" t="s">
        <v>217</v>
      </c>
      <c r="F3" s="5" t="s">
        <v>218</v>
      </c>
      <c r="G3" s="12">
        <v>98.3</v>
      </c>
      <c r="H3" s="8">
        <v>246</v>
      </c>
      <c r="I3" s="8">
        <v>19</v>
      </c>
      <c r="J3" s="8" t="str">
        <f>IF(ISNUMBER(SEARCH("-NEAT-",Sales_SKU!$B3)),"Neat",IF(ISNUMBER(SEARCH("-PWD-",Sales_SKU!$B3)),"powder",""))</f>
        <v>Neat</v>
      </c>
      <c r="K3" s="5" t="s">
        <v>219</v>
      </c>
      <c r="L3" s="11" t="s">
        <v>220</v>
      </c>
      <c r="M3" s="11" t="s">
        <v>224</v>
      </c>
      <c r="N3" s="5" t="s">
        <v>225</v>
      </c>
    </row>
    <row r="4" spans="1:14">
      <c r="A4" s="11" t="s">
        <v>226</v>
      </c>
      <c r="B4" s="11" t="s">
        <v>93</v>
      </c>
      <c r="C4" s="5" t="s">
        <v>215</v>
      </c>
      <c r="D4" s="5" t="s">
        <v>216</v>
      </c>
      <c r="E4" s="5" t="s">
        <v>217</v>
      </c>
      <c r="F4" s="5" t="s">
        <v>218</v>
      </c>
      <c r="G4" s="12">
        <v>98.3</v>
      </c>
      <c r="H4" s="8">
        <v>259</v>
      </c>
      <c r="I4" s="8">
        <v>23</v>
      </c>
      <c r="J4" s="8" t="str">
        <f>IF(ISNUMBER(SEARCH("-NEAT-",Sales_SKU!$B4)),"Neat",IF(ISNUMBER(SEARCH("-PWD-",Sales_SKU!$B4)),"powder",""))</f>
        <v>Neat</v>
      </c>
      <c r="K4" s="5" t="s">
        <v>219</v>
      </c>
      <c r="L4" s="11" t="s">
        <v>220</v>
      </c>
      <c r="M4" s="11" t="s">
        <v>227</v>
      </c>
      <c r="N4" s="5" t="s">
        <v>228</v>
      </c>
    </row>
    <row r="5" spans="1:14">
      <c r="A5" s="11" t="s">
        <v>229</v>
      </c>
      <c r="B5" s="11" t="s">
        <v>96</v>
      </c>
      <c r="C5" s="5" t="s">
        <v>230</v>
      </c>
      <c r="D5" s="5" t="s">
        <v>216</v>
      </c>
      <c r="E5" s="5" t="s">
        <v>231</v>
      </c>
      <c r="F5" s="5" t="s">
        <v>232</v>
      </c>
      <c r="G5" s="12">
        <v>98.8</v>
      </c>
      <c r="H5" s="8">
        <v>139</v>
      </c>
      <c r="I5" s="8">
        <v>8</v>
      </c>
      <c r="J5" s="8" t="str">
        <f>IF(ISNUMBER(SEARCH("-NEAT-",Sales_SKU!$B5)),"Neat",IF(ISNUMBER(SEARCH("-PWD-",Sales_SKU!$B5)),"powder",""))</f>
        <v>Neat</v>
      </c>
      <c r="K5" s="5" t="s">
        <v>233</v>
      </c>
      <c r="L5" s="11" t="s">
        <v>234</v>
      </c>
      <c r="M5" s="11" t="s">
        <v>221</v>
      </c>
      <c r="N5" s="5" t="s">
        <v>235</v>
      </c>
    </row>
    <row r="6" spans="1:14">
      <c r="A6" s="11" t="s">
        <v>236</v>
      </c>
      <c r="B6" s="11" t="s">
        <v>96</v>
      </c>
      <c r="C6" s="5" t="s">
        <v>230</v>
      </c>
      <c r="D6" s="5" t="s">
        <v>216</v>
      </c>
      <c r="E6" s="5" t="s">
        <v>231</v>
      </c>
      <c r="F6" s="5" t="s">
        <v>232</v>
      </c>
      <c r="G6" s="12">
        <v>98.8</v>
      </c>
      <c r="H6" s="8">
        <v>51</v>
      </c>
      <c r="I6" s="8">
        <v>8</v>
      </c>
      <c r="J6" s="8" t="str">
        <f>IF(ISNUMBER(SEARCH("-NEAT-",Sales_SKU!$B6)),"Neat",IF(ISNUMBER(SEARCH("-PWD-",Sales_SKU!$B6)),"powder",""))</f>
        <v>Neat</v>
      </c>
      <c r="K6" s="5" t="s">
        <v>233</v>
      </c>
      <c r="L6" s="11" t="s">
        <v>234</v>
      </c>
      <c r="M6" s="11" t="s">
        <v>224</v>
      </c>
      <c r="N6" s="5" t="s">
        <v>237</v>
      </c>
    </row>
    <row r="7" spans="1:14">
      <c r="A7" s="11" t="s">
        <v>238</v>
      </c>
      <c r="B7" s="11" t="s">
        <v>96</v>
      </c>
      <c r="C7" s="5" t="s">
        <v>230</v>
      </c>
      <c r="D7" s="5" t="s">
        <v>216</v>
      </c>
      <c r="E7" s="5" t="s">
        <v>231</v>
      </c>
      <c r="F7" s="5" t="s">
        <v>232</v>
      </c>
      <c r="G7" s="12">
        <v>98.8</v>
      </c>
      <c r="H7" s="8">
        <v>64</v>
      </c>
      <c r="I7" s="8">
        <v>9</v>
      </c>
      <c r="J7" s="8" t="str">
        <f>IF(ISNUMBER(SEARCH("-NEAT-",Sales_SKU!$B7)),"Neat",IF(ISNUMBER(SEARCH("-PWD-",Sales_SKU!$B7)),"powder",""))</f>
        <v>Neat</v>
      </c>
      <c r="K7" s="5" t="s">
        <v>233</v>
      </c>
      <c r="L7" s="11" t="s">
        <v>234</v>
      </c>
      <c r="M7" s="11" t="s">
        <v>227</v>
      </c>
      <c r="N7" s="5" t="s">
        <v>239</v>
      </c>
    </row>
    <row r="8" spans="1:14">
      <c r="A8" s="11" t="s">
        <v>240</v>
      </c>
      <c r="B8" s="11" t="s">
        <v>99</v>
      </c>
      <c r="C8" s="5" t="s">
        <v>230</v>
      </c>
      <c r="D8" s="5" t="s">
        <v>216</v>
      </c>
      <c r="E8" s="5" t="s">
        <v>241</v>
      </c>
      <c r="F8" s="5" t="s">
        <v>242</v>
      </c>
      <c r="G8" s="12">
        <v>98.4</v>
      </c>
      <c r="H8" s="8">
        <v>345</v>
      </c>
      <c r="I8" s="8">
        <v>22</v>
      </c>
      <c r="J8" s="8" t="str">
        <f>IF(ISNUMBER(SEARCH("-NEAT-",Sales_SKU!$B8)),"Neat",IF(ISNUMBER(SEARCH("-PWD-",Sales_SKU!$B8)),"powder",""))</f>
        <v>Neat</v>
      </c>
      <c r="K8" s="5" t="s">
        <v>243</v>
      </c>
      <c r="L8" s="11" t="s">
        <v>244</v>
      </c>
      <c r="M8" s="11" t="s">
        <v>221</v>
      </c>
      <c r="N8" s="5" t="s">
        <v>245</v>
      </c>
    </row>
    <row r="9" spans="1:14">
      <c r="A9" s="11" t="s">
        <v>246</v>
      </c>
      <c r="B9" s="11" t="s">
        <v>99</v>
      </c>
      <c r="C9" s="5" t="s">
        <v>230</v>
      </c>
      <c r="D9" s="5" t="s">
        <v>216</v>
      </c>
      <c r="E9" s="5" t="s">
        <v>241</v>
      </c>
      <c r="F9" s="5" t="s">
        <v>242</v>
      </c>
      <c r="G9" s="12">
        <v>98.4</v>
      </c>
      <c r="H9" s="8">
        <v>358</v>
      </c>
      <c r="I9" s="8">
        <v>21</v>
      </c>
      <c r="J9" s="8" t="str">
        <f>IF(ISNUMBER(SEARCH("-NEAT-",Sales_SKU!$B9)),"Neat",IF(ISNUMBER(SEARCH("-PWD-",Sales_SKU!$B9)),"powder",""))</f>
        <v>Neat</v>
      </c>
      <c r="K9" s="5" t="s">
        <v>243</v>
      </c>
      <c r="L9" s="11" t="s">
        <v>244</v>
      </c>
      <c r="M9" s="11" t="s">
        <v>224</v>
      </c>
      <c r="N9" s="5" t="s">
        <v>247</v>
      </c>
    </row>
    <row r="10" spans="1:14">
      <c r="A10" s="11" t="s">
        <v>248</v>
      </c>
      <c r="B10" s="11" t="s">
        <v>99</v>
      </c>
      <c r="C10" s="5" t="s">
        <v>230</v>
      </c>
      <c r="D10" s="5" t="s">
        <v>216</v>
      </c>
      <c r="E10" s="5" t="s">
        <v>241</v>
      </c>
      <c r="F10" s="5" t="s">
        <v>242</v>
      </c>
      <c r="G10" s="12">
        <v>98.4</v>
      </c>
      <c r="H10" s="8">
        <v>371</v>
      </c>
      <c r="I10" s="8">
        <v>17</v>
      </c>
      <c r="J10" s="8" t="str">
        <f>IF(ISNUMBER(SEARCH("-NEAT-",Sales_SKU!$B10)),"Neat",IF(ISNUMBER(SEARCH("-PWD-",Sales_SKU!$B10)),"powder",""))</f>
        <v>Neat</v>
      </c>
      <c r="K10" s="5" t="s">
        <v>243</v>
      </c>
      <c r="L10" s="11" t="s">
        <v>244</v>
      </c>
      <c r="M10" s="11" t="s">
        <v>227</v>
      </c>
      <c r="N10" s="5" t="s">
        <v>249</v>
      </c>
    </row>
    <row r="11" spans="1:14">
      <c r="A11" s="11" t="s">
        <v>250</v>
      </c>
      <c r="B11" s="11" t="s">
        <v>102</v>
      </c>
      <c r="C11" s="5" t="s">
        <v>215</v>
      </c>
      <c r="D11" s="5" t="s">
        <v>216</v>
      </c>
      <c r="E11" s="5" t="s">
        <v>251</v>
      </c>
      <c r="F11" s="5" t="s">
        <v>252</v>
      </c>
      <c r="G11" s="12">
        <v>98.2</v>
      </c>
      <c r="H11" s="8">
        <v>200</v>
      </c>
      <c r="I11" s="8">
        <v>14</v>
      </c>
      <c r="J11" s="8" t="str">
        <f>IF(ISNUMBER(SEARCH("-NEAT-",Sales_SKU!$B11)),"Neat",IF(ISNUMBER(SEARCH("-PWD-",Sales_SKU!$B11)),"powder",""))</f>
        <v>Neat</v>
      </c>
      <c r="K11" s="5" t="s">
        <v>253</v>
      </c>
      <c r="L11" s="11" t="s">
        <v>254</v>
      </c>
      <c r="M11" s="11" t="s">
        <v>221</v>
      </c>
      <c r="N11" s="5" t="s">
        <v>255</v>
      </c>
    </row>
    <row r="12" spans="1:14">
      <c r="A12" s="11" t="s">
        <v>256</v>
      </c>
      <c r="B12" s="11" t="s">
        <v>102</v>
      </c>
      <c r="C12" s="5" t="s">
        <v>215</v>
      </c>
      <c r="D12" s="5" t="s">
        <v>216</v>
      </c>
      <c r="E12" s="5" t="s">
        <v>251</v>
      </c>
      <c r="F12" s="5" t="s">
        <v>252</v>
      </c>
      <c r="G12" s="12">
        <v>98.2</v>
      </c>
      <c r="H12" s="8">
        <v>213</v>
      </c>
      <c r="I12" s="8">
        <v>14</v>
      </c>
      <c r="J12" s="8" t="str">
        <f>IF(ISNUMBER(SEARCH("-NEAT-",Sales_SKU!$B12)),"Neat",IF(ISNUMBER(SEARCH("-PWD-",Sales_SKU!$B12)),"powder",""))</f>
        <v>Neat</v>
      </c>
      <c r="K12" s="5" t="s">
        <v>253</v>
      </c>
      <c r="L12" s="11" t="s">
        <v>254</v>
      </c>
      <c r="M12" s="11" t="s">
        <v>224</v>
      </c>
      <c r="N12" s="5" t="s">
        <v>257</v>
      </c>
    </row>
    <row r="13" spans="1:14">
      <c r="A13" s="11" t="s">
        <v>258</v>
      </c>
      <c r="B13" s="11" t="s">
        <v>102</v>
      </c>
      <c r="C13" s="5" t="s">
        <v>215</v>
      </c>
      <c r="D13" s="5" t="s">
        <v>216</v>
      </c>
      <c r="E13" s="5" t="s">
        <v>251</v>
      </c>
      <c r="F13" s="5" t="s">
        <v>252</v>
      </c>
      <c r="G13" s="12">
        <v>98.2</v>
      </c>
      <c r="H13" s="8">
        <v>226</v>
      </c>
      <c r="I13" s="8">
        <v>9</v>
      </c>
      <c r="J13" s="8" t="str">
        <f>IF(ISNUMBER(SEARCH("-NEAT-",Sales_SKU!$B13)),"Neat",IF(ISNUMBER(SEARCH("-PWD-",Sales_SKU!$B13)),"powder",""))</f>
        <v>Neat</v>
      </c>
      <c r="K13" s="5" t="s">
        <v>253</v>
      </c>
      <c r="L13" s="11" t="s">
        <v>254</v>
      </c>
      <c r="M13" s="11" t="s">
        <v>227</v>
      </c>
      <c r="N13" s="5" t="s">
        <v>259</v>
      </c>
    </row>
    <row r="14" spans="1:14">
      <c r="A14" s="11" t="s">
        <v>260</v>
      </c>
      <c r="B14" s="11" t="s">
        <v>105</v>
      </c>
      <c r="C14" s="5" t="s">
        <v>215</v>
      </c>
      <c r="D14" s="5" t="s">
        <v>216</v>
      </c>
      <c r="E14" s="5" t="s">
        <v>261</v>
      </c>
      <c r="F14" s="5" t="s">
        <v>218</v>
      </c>
      <c r="G14" s="12">
        <v>98.2</v>
      </c>
      <c r="H14" s="8">
        <v>256</v>
      </c>
      <c r="I14" s="8">
        <v>22</v>
      </c>
      <c r="J14" s="8" t="str">
        <f>IF(ISNUMBER(SEARCH("-NEAT-",Sales_SKU!$B14)),"Neat",IF(ISNUMBER(SEARCH("-PWD-",Sales_SKU!$B14)),"powder",""))</f>
        <v>Neat</v>
      </c>
      <c r="K14" s="5" t="s">
        <v>262</v>
      </c>
      <c r="L14" s="11" t="s">
        <v>220</v>
      </c>
      <c r="M14" s="11" t="s">
        <v>221</v>
      </c>
      <c r="N14" s="5" t="s">
        <v>222</v>
      </c>
    </row>
    <row r="15" spans="1:14">
      <c r="A15" s="11" t="s">
        <v>263</v>
      </c>
      <c r="B15" s="11" t="s">
        <v>105</v>
      </c>
      <c r="C15" s="5" t="s">
        <v>215</v>
      </c>
      <c r="D15" s="5" t="s">
        <v>216</v>
      </c>
      <c r="E15" s="5" t="s">
        <v>261</v>
      </c>
      <c r="F15" s="5" t="s">
        <v>218</v>
      </c>
      <c r="G15" s="12">
        <v>98.2</v>
      </c>
      <c r="H15" s="8">
        <v>269</v>
      </c>
      <c r="I15" s="8">
        <v>24</v>
      </c>
      <c r="J15" s="8" t="str">
        <f>IF(ISNUMBER(SEARCH("-NEAT-",Sales_SKU!$B15)),"Neat",IF(ISNUMBER(SEARCH("-PWD-",Sales_SKU!$B15)),"powder",""))</f>
        <v>Neat</v>
      </c>
      <c r="K15" s="5" t="s">
        <v>262</v>
      </c>
      <c r="L15" s="11" t="s">
        <v>220</v>
      </c>
      <c r="M15" s="11" t="s">
        <v>224</v>
      </c>
      <c r="N15" s="5" t="s">
        <v>225</v>
      </c>
    </row>
    <row r="16" spans="1:14">
      <c r="A16" s="11" t="s">
        <v>264</v>
      </c>
      <c r="B16" s="11" t="s">
        <v>105</v>
      </c>
      <c r="C16" s="5" t="s">
        <v>215</v>
      </c>
      <c r="D16" s="5" t="s">
        <v>216</v>
      </c>
      <c r="E16" s="5" t="s">
        <v>261</v>
      </c>
      <c r="F16" s="5" t="s">
        <v>218</v>
      </c>
      <c r="G16" s="12">
        <v>98.2</v>
      </c>
      <c r="H16" s="8">
        <v>282</v>
      </c>
      <c r="I16" s="8">
        <v>17</v>
      </c>
      <c r="J16" s="8" t="str">
        <f>IF(ISNUMBER(SEARCH("-NEAT-",Sales_SKU!$B16)),"Neat",IF(ISNUMBER(SEARCH("-PWD-",Sales_SKU!$B16)),"powder",""))</f>
        <v>Neat</v>
      </c>
      <c r="K16" s="5" t="s">
        <v>262</v>
      </c>
      <c r="L16" s="11" t="s">
        <v>220</v>
      </c>
      <c r="M16" s="11" t="s">
        <v>227</v>
      </c>
      <c r="N16" s="5" t="s">
        <v>228</v>
      </c>
    </row>
    <row r="17" spans="1:14">
      <c r="A17" s="11" t="s">
        <v>265</v>
      </c>
      <c r="B17" s="11" t="s">
        <v>107</v>
      </c>
      <c r="C17" s="5" t="s">
        <v>230</v>
      </c>
      <c r="D17" s="5" t="s">
        <v>216</v>
      </c>
      <c r="E17" s="5" t="s">
        <v>266</v>
      </c>
      <c r="F17" s="5" t="s">
        <v>242</v>
      </c>
      <c r="G17" s="12">
        <v>99.2</v>
      </c>
      <c r="H17" s="8">
        <v>332</v>
      </c>
      <c r="I17" s="8">
        <v>19</v>
      </c>
      <c r="J17" s="8" t="str">
        <f>IF(ISNUMBER(SEARCH("-NEAT-",Sales_SKU!$B17)),"Neat",IF(ISNUMBER(SEARCH("-PWD-",Sales_SKU!$B17)),"powder",""))</f>
        <v>Neat</v>
      </c>
      <c r="K17" s="5" t="s">
        <v>253</v>
      </c>
      <c r="L17" s="11" t="s">
        <v>234</v>
      </c>
      <c r="M17" s="11" t="s">
        <v>221</v>
      </c>
      <c r="N17" s="5" t="s">
        <v>245</v>
      </c>
    </row>
    <row r="18" spans="1:14">
      <c r="A18" s="11" t="s">
        <v>267</v>
      </c>
      <c r="B18" s="11" t="s">
        <v>107</v>
      </c>
      <c r="C18" s="5" t="s">
        <v>230</v>
      </c>
      <c r="D18" s="5" t="s">
        <v>216</v>
      </c>
      <c r="E18" s="5" t="s">
        <v>266</v>
      </c>
      <c r="F18" s="5" t="s">
        <v>242</v>
      </c>
      <c r="G18" s="12">
        <v>99.2</v>
      </c>
      <c r="H18" s="8">
        <v>345</v>
      </c>
      <c r="I18" s="8">
        <v>15</v>
      </c>
      <c r="J18" s="8" t="str">
        <f>IF(ISNUMBER(SEARCH("-NEAT-",Sales_SKU!$B18)),"Neat",IF(ISNUMBER(SEARCH("-PWD-",Sales_SKU!$B18)),"powder",""))</f>
        <v>Neat</v>
      </c>
      <c r="K18" s="5" t="s">
        <v>253</v>
      </c>
      <c r="L18" s="11" t="s">
        <v>234</v>
      </c>
      <c r="M18" s="11" t="s">
        <v>224</v>
      </c>
      <c r="N18" s="5" t="s">
        <v>247</v>
      </c>
    </row>
    <row r="19" spans="1:14">
      <c r="A19" s="11" t="s">
        <v>268</v>
      </c>
      <c r="B19" s="11" t="s">
        <v>107</v>
      </c>
      <c r="C19" s="5" t="s">
        <v>230</v>
      </c>
      <c r="D19" s="5" t="s">
        <v>216</v>
      </c>
      <c r="E19" s="5" t="s">
        <v>266</v>
      </c>
      <c r="F19" s="5" t="s">
        <v>242</v>
      </c>
      <c r="G19" s="12">
        <v>99.2</v>
      </c>
      <c r="H19" s="8">
        <v>358</v>
      </c>
      <c r="I19" s="8">
        <v>14</v>
      </c>
      <c r="J19" s="8" t="str">
        <f>IF(ISNUMBER(SEARCH("-NEAT-",Sales_SKU!$B19)),"Neat",IF(ISNUMBER(SEARCH("-PWD-",Sales_SKU!$B19)),"powder",""))</f>
        <v>Neat</v>
      </c>
      <c r="K19" s="5" t="s">
        <v>253</v>
      </c>
      <c r="L19" s="11" t="s">
        <v>234</v>
      </c>
      <c r="M19" s="11" t="s">
        <v>227</v>
      </c>
      <c r="N19" s="5" t="s">
        <v>249</v>
      </c>
    </row>
    <row r="20" spans="1:14">
      <c r="A20" s="11" t="s">
        <v>269</v>
      </c>
      <c r="B20" s="11" t="s">
        <v>109</v>
      </c>
      <c r="C20" s="5" t="s">
        <v>215</v>
      </c>
      <c r="D20" s="5" t="s">
        <v>216</v>
      </c>
      <c r="E20" s="5" t="s">
        <v>270</v>
      </c>
      <c r="F20" s="5" t="s">
        <v>252</v>
      </c>
      <c r="G20" s="12">
        <v>98.7</v>
      </c>
      <c r="H20" s="8">
        <v>138</v>
      </c>
      <c r="I20" s="8">
        <v>12</v>
      </c>
      <c r="J20" s="8" t="str">
        <f>IF(ISNUMBER(SEARCH("-NEAT-",Sales_SKU!$B20)),"Neat",IF(ISNUMBER(SEARCH("-PWD-",Sales_SKU!$B20)),"powder",""))</f>
        <v>Neat</v>
      </c>
      <c r="K20" s="5" t="s">
        <v>219</v>
      </c>
      <c r="L20" s="11" t="s">
        <v>244</v>
      </c>
      <c r="M20" s="11" t="s">
        <v>221</v>
      </c>
      <c r="N20" s="5" t="s">
        <v>255</v>
      </c>
    </row>
    <row r="21" spans="1:14">
      <c r="A21" s="11" t="s">
        <v>271</v>
      </c>
      <c r="B21" s="11" t="s">
        <v>109</v>
      </c>
      <c r="C21" s="5" t="s">
        <v>215</v>
      </c>
      <c r="D21" s="5" t="s">
        <v>216</v>
      </c>
      <c r="E21" s="5" t="s">
        <v>270</v>
      </c>
      <c r="F21" s="5" t="s">
        <v>252</v>
      </c>
      <c r="G21" s="12">
        <v>98.7</v>
      </c>
      <c r="H21" s="8">
        <v>151</v>
      </c>
      <c r="I21" s="8">
        <v>16</v>
      </c>
      <c r="J21" s="8" t="str">
        <f>IF(ISNUMBER(SEARCH("-NEAT-",Sales_SKU!$B21)),"Neat",IF(ISNUMBER(SEARCH("-PWD-",Sales_SKU!$B21)),"powder",""))</f>
        <v>Neat</v>
      </c>
      <c r="K21" s="5" t="s">
        <v>219</v>
      </c>
      <c r="L21" s="11" t="s">
        <v>244</v>
      </c>
      <c r="M21" s="11" t="s">
        <v>224</v>
      </c>
      <c r="N21" s="5" t="s">
        <v>257</v>
      </c>
    </row>
    <row r="22" spans="1:14">
      <c r="A22" s="11" t="s">
        <v>272</v>
      </c>
      <c r="B22" s="11" t="s">
        <v>109</v>
      </c>
      <c r="C22" s="5" t="s">
        <v>215</v>
      </c>
      <c r="D22" s="5" t="s">
        <v>216</v>
      </c>
      <c r="E22" s="5" t="s">
        <v>270</v>
      </c>
      <c r="F22" s="5" t="s">
        <v>252</v>
      </c>
      <c r="G22" s="12">
        <v>98.7</v>
      </c>
      <c r="H22" s="8">
        <v>164</v>
      </c>
      <c r="I22" s="8">
        <v>11</v>
      </c>
      <c r="J22" s="8" t="str">
        <f>IF(ISNUMBER(SEARCH("-NEAT-",Sales_SKU!$B22)),"Neat",IF(ISNUMBER(SEARCH("-PWD-",Sales_SKU!$B22)),"powder",""))</f>
        <v>Neat</v>
      </c>
      <c r="K22" s="5" t="s">
        <v>219</v>
      </c>
      <c r="L22" s="11" t="s">
        <v>244</v>
      </c>
      <c r="M22" s="11" t="s">
        <v>227</v>
      </c>
      <c r="N22" s="5" t="s">
        <v>259</v>
      </c>
    </row>
    <row r="23" spans="1:14">
      <c r="A23" s="11" t="s">
        <v>273</v>
      </c>
      <c r="B23" s="11" t="s">
        <v>112</v>
      </c>
      <c r="C23" s="5" t="s">
        <v>215</v>
      </c>
      <c r="D23" s="5" t="s">
        <v>274</v>
      </c>
      <c r="E23" s="5" t="s">
        <v>275</v>
      </c>
      <c r="F23" s="5" t="s">
        <v>276</v>
      </c>
      <c r="G23" s="12">
        <v>99.5</v>
      </c>
      <c r="H23" s="8">
        <v>244</v>
      </c>
      <c r="I23" s="8">
        <v>17</v>
      </c>
      <c r="J23" s="8" t="str">
        <f>IF(ISNUMBER(SEARCH("-NEAT-",Sales_SKU!$B23)),"Neat",IF(ISNUMBER(SEARCH("-PWD-",Sales_SKU!$B23)),"powder",""))</f>
        <v>Neat</v>
      </c>
      <c r="K23" s="5" t="s">
        <v>253</v>
      </c>
      <c r="L23" s="11" t="s">
        <v>254</v>
      </c>
      <c r="M23" s="11" t="s">
        <v>221</v>
      </c>
      <c r="N23" s="5" t="s">
        <v>277</v>
      </c>
    </row>
    <row r="24" spans="1:14">
      <c r="A24" s="11" t="s">
        <v>278</v>
      </c>
      <c r="B24" s="11" t="s">
        <v>112</v>
      </c>
      <c r="C24" s="5" t="s">
        <v>215</v>
      </c>
      <c r="D24" s="5" t="s">
        <v>274</v>
      </c>
      <c r="E24" s="5" t="s">
        <v>275</v>
      </c>
      <c r="F24" s="5" t="s">
        <v>276</v>
      </c>
      <c r="G24" s="12">
        <v>99.5</v>
      </c>
      <c r="H24" s="8">
        <v>257</v>
      </c>
      <c r="I24" s="8">
        <v>10</v>
      </c>
      <c r="J24" s="8" t="str">
        <f>IF(ISNUMBER(SEARCH("-NEAT-",Sales_SKU!$B24)),"Neat",IF(ISNUMBER(SEARCH("-PWD-",Sales_SKU!$B24)),"powder",""))</f>
        <v>Neat</v>
      </c>
      <c r="K24" s="5" t="s">
        <v>253</v>
      </c>
      <c r="L24" s="11" t="s">
        <v>254</v>
      </c>
      <c r="M24" s="11" t="s">
        <v>224</v>
      </c>
      <c r="N24" s="5" t="s">
        <v>279</v>
      </c>
    </row>
    <row r="25" spans="1:14">
      <c r="A25" s="11" t="s">
        <v>280</v>
      </c>
      <c r="B25" s="11" t="s">
        <v>112</v>
      </c>
      <c r="C25" s="5" t="s">
        <v>215</v>
      </c>
      <c r="D25" s="5" t="s">
        <v>274</v>
      </c>
      <c r="E25" s="5" t="s">
        <v>275</v>
      </c>
      <c r="F25" s="5" t="s">
        <v>276</v>
      </c>
      <c r="G25" s="12">
        <v>99.5</v>
      </c>
      <c r="H25" s="8">
        <v>270</v>
      </c>
      <c r="I25" s="8">
        <v>12</v>
      </c>
      <c r="J25" s="8" t="str">
        <f>IF(ISNUMBER(SEARCH("-NEAT-",Sales_SKU!$B25)),"Neat",IF(ISNUMBER(SEARCH("-PWD-",Sales_SKU!$B25)),"powder",""))</f>
        <v>Neat</v>
      </c>
      <c r="K25" s="5" t="s">
        <v>253</v>
      </c>
      <c r="L25" s="11" t="s">
        <v>254</v>
      </c>
      <c r="M25" s="11" t="s">
        <v>227</v>
      </c>
      <c r="N25" s="5" t="s">
        <v>281</v>
      </c>
    </row>
    <row r="26" spans="1:14">
      <c r="A26" s="11" t="s">
        <v>282</v>
      </c>
      <c r="B26" s="11" t="s">
        <v>114</v>
      </c>
      <c r="C26" s="5" t="s">
        <v>215</v>
      </c>
      <c r="D26" s="5" t="s">
        <v>283</v>
      </c>
      <c r="E26" s="5" t="s">
        <v>284</v>
      </c>
      <c r="F26" s="5" t="s">
        <v>242</v>
      </c>
      <c r="G26" s="12">
        <v>99.9</v>
      </c>
      <c r="H26" s="8">
        <v>350</v>
      </c>
      <c r="I26" s="8">
        <v>13</v>
      </c>
      <c r="J26" s="8" t="str">
        <f>IF(ISNUMBER(SEARCH("-NEAT-",Sales_SKU!$B26)),"Neat",IF(ISNUMBER(SEARCH("-PWD-",Sales_SKU!$B26)),"powder",""))</f>
        <v>powder</v>
      </c>
      <c r="K26" s="5" t="s">
        <v>285</v>
      </c>
      <c r="L26" s="11" t="s">
        <v>220</v>
      </c>
      <c r="M26" s="11" t="s">
        <v>221</v>
      </c>
      <c r="N26" s="5" t="s">
        <v>286</v>
      </c>
    </row>
    <row r="27" spans="1:14">
      <c r="A27" s="11" t="s">
        <v>287</v>
      </c>
      <c r="B27" s="11" t="s">
        <v>114</v>
      </c>
      <c r="C27" s="5" t="s">
        <v>215</v>
      </c>
      <c r="D27" s="5" t="s">
        <v>283</v>
      </c>
      <c r="E27" s="5" t="s">
        <v>284</v>
      </c>
      <c r="F27" s="5" t="s">
        <v>242</v>
      </c>
      <c r="G27" s="12">
        <v>99.9</v>
      </c>
      <c r="H27" s="8">
        <v>363</v>
      </c>
      <c r="I27" s="8">
        <v>12</v>
      </c>
      <c r="J27" s="8" t="str">
        <f>IF(ISNUMBER(SEARCH("-NEAT-",Sales_SKU!$B27)),"Neat",IF(ISNUMBER(SEARCH("-PWD-",Sales_SKU!$B27)),"powder",""))</f>
        <v>powder</v>
      </c>
      <c r="K27" s="5" t="s">
        <v>285</v>
      </c>
      <c r="L27" s="11" t="s">
        <v>220</v>
      </c>
      <c r="M27" s="11" t="s">
        <v>224</v>
      </c>
      <c r="N27" s="5" t="s">
        <v>288</v>
      </c>
    </row>
    <row r="28" spans="1:14">
      <c r="A28" s="11" t="s">
        <v>289</v>
      </c>
      <c r="B28" s="11" t="s">
        <v>114</v>
      </c>
      <c r="C28" s="5" t="s">
        <v>215</v>
      </c>
      <c r="D28" s="5" t="s">
        <v>283</v>
      </c>
      <c r="E28" s="5" t="s">
        <v>284</v>
      </c>
      <c r="F28" s="5" t="s">
        <v>242</v>
      </c>
      <c r="G28" s="12">
        <v>99.9</v>
      </c>
      <c r="H28" s="8">
        <v>376</v>
      </c>
      <c r="I28" s="8">
        <v>25</v>
      </c>
      <c r="J28" s="8" t="str">
        <f>IF(ISNUMBER(SEARCH("-NEAT-",Sales_SKU!$B28)),"Neat",IF(ISNUMBER(SEARCH("-PWD-",Sales_SKU!$B28)),"powder",""))</f>
        <v>powder</v>
      </c>
      <c r="K28" s="5" t="s">
        <v>285</v>
      </c>
      <c r="L28" s="11" t="s">
        <v>220</v>
      </c>
      <c r="M28" s="11" t="s">
        <v>227</v>
      </c>
      <c r="N28" s="5" t="s">
        <v>290</v>
      </c>
    </row>
    <row r="29" spans="1:14">
      <c r="A29" s="11" t="s">
        <v>291</v>
      </c>
      <c r="B29" s="11" t="s">
        <v>117</v>
      </c>
      <c r="C29" s="5" t="s">
        <v>215</v>
      </c>
      <c r="D29" s="5" t="s">
        <v>292</v>
      </c>
      <c r="E29" s="5" t="s">
        <v>293</v>
      </c>
      <c r="F29" s="5" t="s">
        <v>218</v>
      </c>
      <c r="G29" s="12">
        <v>99.7</v>
      </c>
      <c r="H29" s="8">
        <v>466</v>
      </c>
      <c r="I29" s="8">
        <v>19</v>
      </c>
      <c r="J29" s="8" t="str">
        <f>IF(ISNUMBER(SEARCH("-NEAT-",Sales_SKU!$B29)),"Neat",IF(ISNUMBER(SEARCH("-PWD-",Sales_SKU!$B29)),"powder",""))</f>
        <v>powder</v>
      </c>
      <c r="K29" s="5" t="s">
        <v>285</v>
      </c>
      <c r="L29" s="11" t="s">
        <v>234</v>
      </c>
      <c r="M29" s="11" t="s">
        <v>221</v>
      </c>
      <c r="N29" s="5" t="s">
        <v>294</v>
      </c>
    </row>
    <row r="30" spans="1:14">
      <c r="A30" s="11" t="s">
        <v>295</v>
      </c>
      <c r="B30" s="11" t="s">
        <v>117</v>
      </c>
      <c r="C30" s="5" t="s">
        <v>215</v>
      </c>
      <c r="D30" s="5" t="s">
        <v>292</v>
      </c>
      <c r="E30" s="5" t="s">
        <v>293</v>
      </c>
      <c r="F30" s="5" t="s">
        <v>218</v>
      </c>
      <c r="G30" s="12">
        <v>99.7</v>
      </c>
      <c r="H30" s="8">
        <v>479</v>
      </c>
      <c r="I30" s="8">
        <v>21</v>
      </c>
      <c r="J30" s="8" t="str">
        <f>IF(ISNUMBER(SEARCH("-NEAT-",Sales_SKU!$B30)),"Neat",IF(ISNUMBER(SEARCH("-PWD-",Sales_SKU!$B30)),"powder",""))</f>
        <v>powder</v>
      </c>
      <c r="K30" s="5" t="s">
        <v>285</v>
      </c>
      <c r="L30" s="11" t="s">
        <v>234</v>
      </c>
      <c r="M30" s="11" t="s">
        <v>224</v>
      </c>
      <c r="N30" s="5" t="s">
        <v>296</v>
      </c>
    </row>
    <row r="31" spans="1:14">
      <c r="A31" s="11" t="s">
        <v>297</v>
      </c>
      <c r="B31" s="11" t="s">
        <v>117</v>
      </c>
      <c r="C31" s="5" t="s">
        <v>215</v>
      </c>
      <c r="D31" s="5" t="s">
        <v>292</v>
      </c>
      <c r="E31" s="5" t="s">
        <v>293</v>
      </c>
      <c r="F31" s="5" t="s">
        <v>218</v>
      </c>
      <c r="G31" s="12">
        <v>99.7</v>
      </c>
      <c r="H31" s="8">
        <v>492</v>
      </c>
      <c r="I31" s="8">
        <v>25</v>
      </c>
      <c r="J31" s="8" t="str">
        <f>IF(ISNUMBER(SEARCH("-NEAT-",Sales_SKU!$B31)),"Neat",IF(ISNUMBER(SEARCH("-PWD-",Sales_SKU!$B31)),"powder",""))</f>
        <v>powder</v>
      </c>
      <c r="K31" s="5" t="s">
        <v>285</v>
      </c>
      <c r="L31" s="11" t="s">
        <v>234</v>
      </c>
      <c r="M31" s="11" t="s">
        <v>227</v>
      </c>
      <c r="N31" s="5" t="s">
        <v>298</v>
      </c>
    </row>
    <row r="32" spans="1:14">
      <c r="A32" s="11" t="s">
        <v>299</v>
      </c>
      <c r="B32" s="11" t="s">
        <v>120</v>
      </c>
      <c r="C32" s="5" t="s">
        <v>230</v>
      </c>
      <c r="D32" s="5" t="s">
        <v>216</v>
      </c>
      <c r="E32" s="5" t="s">
        <v>217</v>
      </c>
      <c r="F32" s="5" t="s">
        <v>252</v>
      </c>
      <c r="G32" s="12">
        <v>99.8</v>
      </c>
      <c r="H32" s="8">
        <v>120</v>
      </c>
      <c r="I32" s="8">
        <v>10</v>
      </c>
      <c r="J32" s="8" t="str">
        <f>IF(ISNUMBER(SEARCH("-NEAT-",Sales_SKU!$B32)),"Neat",IF(ISNUMBER(SEARCH("-PWD-",Sales_SKU!$B32)),"powder",""))</f>
        <v>Neat</v>
      </c>
      <c r="K32" s="5" t="s">
        <v>219</v>
      </c>
      <c r="L32" s="11" t="s">
        <v>244</v>
      </c>
      <c r="M32" s="11" t="s">
        <v>221</v>
      </c>
      <c r="N32" s="5" t="s">
        <v>255</v>
      </c>
    </row>
    <row r="33" spans="1:14">
      <c r="A33" s="11" t="s">
        <v>300</v>
      </c>
      <c r="B33" s="11" t="s">
        <v>120</v>
      </c>
      <c r="C33" s="5" t="s">
        <v>230</v>
      </c>
      <c r="D33" s="5" t="s">
        <v>216</v>
      </c>
      <c r="E33" s="5" t="s">
        <v>217</v>
      </c>
      <c r="F33" s="5" t="s">
        <v>252</v>
      </c>
      <c r="G33" s="12">
        <v>99.8</v>
      </c>
      <c r="H33" s="8">
        <v>133</v>
      </c>
      <c r="I33" s="8">
        <v>10</v>
      </c>
      <c r="J33" s="8" t="str">
        <f>IF(ISNUMBER(SEARCH("-NEAT-",Sales_SKU!$B33)),"Neat",IF(ISNUMBER(SEARCH("-PWD-",Sales_SKU!$B33)),"powder",""))</f>
        <v>Neat</v>
      </c>
      <c r="K33" s="5" t="s">
        <v>219</v>
      </c>
      <c r="L33" s="11" t="s">
        <v>244</v>
      </c>
      <c r="M33" s="11" t="s">
        <v>224</v>
      </c>
      <c r="N33" s="5" t="s">
        <v>257</v>
      </c>
    </row>
    <row r="34" spans="1:14">
      <c r="A34" s="11" t="s">
        <v>301</v>
      </c>
      <c r="B34" s="11" t="s">
        <v>120</v>
      </c>
      <c r="C34" s="5" t="s">
        <v>230</v>
      </c>
      <c r="D34" s="5" t="s">
        <v>216</v>
      </c>
      <c r="E34" s="5" t="s">
        <v>217</v>
      </c>
      <c r="F34" s="5" t="s">
        <v>252</v>
      </c>
      <c r="G34" s="12">
        <v>99.8</v>
      </c>
      <c r="H34" s="8">
        <v>146</v>
      </c>
      <c r="I34" s="8">
        <v>14</v>
      </c>
      <c r="J34" s="8" t="str">
        <f>IF(ISNUMBER(SEARCH("-NEAT-",Sales_SKU!$B34)),"Neat",IF(ISNUMBER(SEARCH("-PWD-",Sales_SKU!$B34)),"powder",""))</f>
        <v>Neat</v>
      </c>
      <c r="K34" s="5" t="s">
        <v>219</v>
      </c>
      <c r="L34" s="11" t="s">
        <v>244</v>
      </c>
      <c r="M34" s="11" t="s">
        <v>227</v>
      </c>
      <c r="N34" s="5" t="s">
        <v>259</v>
      </c>
    </row>
    <row r="35" spans="1:14">
      <c r="A35" s="11" t="s">
        <v>302</v>
      </c>
      <c r="B35" s="11" t="s">
        <v>121</v>
      </c>
      <c r="C35" s="5" t="s">
        <v>215</v>
      </c>
      <c r="D35" s="5" t="s">
        <v>216</v>
      </c>
      <c r="E35" s="5" t="s">
        <v>231</v>
      </c>
      <c r="F35" s="5" t="s">
        <v>252</v>
      </c>
      <c r="G35" s="12">
        <v>98</v>
      </c>
      <c r="H35" s="8">
        <v>196</v>
      </c>
      <c r="I35" s="8">
        <v>11</v>
      </c>
      <c r="J35" s="8" t="str">
        <f>IF(ISNUMBER(SEARCH("-NEAT-",Sales_SKU!$B35)),"Neat",IF(ISNUMBER(SEARCH("-PWD-",Sales_SKU!$B35)),"powder",""))</f>
        <v>Neat</v>
      </c>
      <c r="K35" s="5" t="s">
        <v>243</v>
      </c>
      <c r="L35" s="11" t="s">
        <v>254</v>
      </c>
      <c r="M35" s="11" t="s">
        <v>221</v>
      </c>
      <c r="N35" s="5" t="s">
        <v>255</v>
      </c>
    </row>
    <row r="36" spans="1:14">
      <c r="A36" s="11" t="s">
        <v>303</v>
      </c>
      <c r="B36" s="11" t="s">
        <v>121</v>
      </c>
      <c r="C36" s="5" t="s">
        <v>215</v>
      </c>
      <c r="D36" s="5" t="s">
        <v>216</v>
      </c>
      <c r="E36" s="5" t="s">
        <v>231</v>
      </c>
      <c r="F36" s="5" t="s">
        <v>252</v>
      </c>
      <c r="G36" s="12">
        <v>98</v>
      </c>
      <c r="H36" s="8">
        <v>209</v>
      </c>
      <c r="I36" s="8">
        <v>15</v>
      </c>
      <c r="J36" s="8" t="str">
        <f>IF(ISNUMBER(SEARCH("-NEAT-",Sales_SKU!$B36)),"Neat",IF(ISNUMBER(SEARCH("-PWD-",Sales_SKU!$B36)),"powder",""))</f>
        <v>Neat</v>
      </c>
      <c r="K36" s="5" t="s">
        <v>243</v>
      </c>
      <c r="L36" s="11" t="s">
        <v>254</v>
      </c>
      <c r="M36" s="11" t="s">
        <v>224</v>
      </c>
      <c r="N36" s="5" t="s">
        <v>257</v>
      </c>
    </row>
    <row r="37" spans="1:14">
      <c r="A37" s="11" t="s">
        <v>304</v>
      </c>
      <c r="B37" s="11" t="s">
        <v>121</v>
      </c>
      <c r="C37" s="5" t="s">
        <v>215</v>
      </c>
      <c r="D37" s="5" t="s">
        <v>216</v>
      </c>
      <c r="E37" s="5" t="s">
        <v>231</v>
      </c>
      <c r="F37" s="5" t="s">
        <v>252</v>
      </c>
      <c r="G37" s="12">
        <v>98</v>
      </c>
      <c r="H37" s="8">
        <v>222</v>
      </c>
      <c r="I37" s="8">
        <v>15</v>
      </c>
      <c r="J37" s="8" t="str">
        <f>IF(ISNUMBER(SEARCH("-NEAT-",Sales_SKU!$B37)),"Neat",IF(ISNUMBER(SEARCH("-PWD-",Sales_SKU!$B37)),"powder",""))</f>
        <v>Neat</v>
      </c>
      <c r="K37" s="5" t="s">
        <v>243</v>
      </c>
      <c r="L37" s="11" t="s">
        <v>254</v>
      </c>
      <c r="M37" s="11" t="s">
        <v>227</v>
      </c>
      <c r="N37" s="5" t="s">
        <v>259</v>
      </c>
    </row>
    <row r="38" spans="1:14">
      <c r="A38" s="11" t="s">
        <v>305</v>
      </c>
      <c r="B38" s="11" t="s">
        <v>122</v>
      </c>
      <c r="C38" s="5" t="s">
        <v>215</v>
      </c>
      <c r="D38" s="5" t="s">
        <v>216</v>
      </c>
      <c r="E38" s="5" t="s">
        <v>241</v>
      </c>
      <c r="F38" s="5" t="s">
        <v>252</v>
      </c>
      <c r="G38" s="12">
        <v>98.7</v>
      </c>
      <c r="H38" s="8">
        <v>143</v>
      </c>
      <c r="I38" s="8">
        <v>16</v>
      </c>
      <c r="J38" s="8" t="str">
        <f>IF(ISNUMBER(SEARCH("-NEAT-",Sales_SKU!$B38)),"Neat",IF(ISNUMBER(SEARCH("-PWD-",Sales_SKU!$B38)),"powder",""))</f>
        <v>Neat</v>
      </c>
      <c r="K38" s="5" t="s">
        <v>233</v>
      </c>
      <c r="L38" s="11" t="s">
        <v>220</v>
      </c>
      <c r="M38" s="11" t="s">
        <v>221</v>
      </c>
      <c r="N38" s="5" t="s">
        <v>255</v>
      </c>
    </row>
    <row r="39" spans="1:14">
      <c r="A39" s="11" t="s">
        <v>306</v>
      </c>
      <c r="B39" s="11" t="s">
        <v>122</v>
      </c>
      <c r="C39" s="5" t="s">
        <v>215</v>
      </c>
      <c r="D39" s="5" t="s">
        <v>216</v>
      </c>
      <c r="E39" s="5" t="s">
        <v>241</v>
      </c>
      <c r="F39" s="5" t="s">
        <v>252</v>
      </c>
      <c r="G39" s="12">
        <v>98.7</v>
      </c>
      <c r="H39" s="8">
        <v>156</v>
      </c>
      <c r="I39" s="8">
        <v>16</v>
      </c>
      <c r="J39" s="8" t="str">
        <f>IF(ISNUMBER(SEARCH("-NEAT-",Sales_SKU!$B39)),"Neat",IF(ISNUMBER(SEARCH("-PWD-",Sales_SKU!$B39)),"powder",""))</f>
        <v>Neat</v>
      </c>
      <c r="K39" s="5" t="s">
        <v>233</v>
      </c>
      <c r="L39" s="11" t="s">
        <v>220</v>
      </c>
      <c r="M39" s="11" t="s">
        <v>224</v>
      </c>
      <c r="N39" s="5" t="s">
        <v>257</v>
      </c>
    </row>
    <row r="40" spans="1:14">
      <c r="A40" s="11" t="s">
        <v>307</v>
      </c>
      <c r="B40" s="11" t="s">
        <v>122</v>
      </c>
      <c r="C40" s="5" t="s">
        <v>215</v>
      </c>
      <c r="D40" s="5" t="s">
        <v>216</v>
      </c>
      <c r="E40" s="5" t="s">
        <v>241</v>
      </c>
      <c r="F40" s="5" t="s">
        <v>252</v>
      </c>
      <c r="G40" s="12">
        <v>98.7</v>
      </c>
      <c r="H40" s="8">
        <v>169</v>
      </c>
      <c r="I40" s="8">
        <v>11</v>
      </c>
      <c r="J40" s="8" t="str">
        <f>IF(ISNUMBER(SEARCH("-NEAT-",Sales_SKU!$B40)),"Neat",IF(ISNUMBER(SEARCH("-PWD-",Sales_SKU!$B40)),"powder",""))</f>
        <v>Neat</v>
      </c>
      <c r="K40" s="5" t="s">
        <v>233</v>
      </c>
      <c r="L40" s="11" t="s">
        <v>220</v>
      </c>
      <c r="M40" s="11" t="s">
        <v>227</v>
      </c>
      <c r="N40" s="5" t="s">
        <v>259</v>
      </c>
    </row>
    <row r="41" spans="1:14">
      <c r="A41" s="11" t="s">
        <v>308</v>
      </c>
      <c r="B41" s="11" t="s">
        <v>123</v>
      </c>
      <c r="C41" s="5" t="s">
        <v>215</v>
      </c>
      <c r="D41" s="5" t="s">
        <v>216</v>
      </c>
      <c r="E41" s="5" t="s">
        <v>251</v>
      </c>
      <c r="F41" s="5" t="s">
        <v>242</v>
      </c>
      <c r="G41" s="12">
        <v>98.3</v>
      </c>
      <c r="H41" s="8">
        <v>279</v>
      </c>
      <c r="I41" s="8">
        <v>21</v>
      </c>
      <c r="J41" s="8" t="str">
        <f>IF(ISNUMBER(SEARCH("-NEAT-",Sales_SKU!$B41)),"Neat",IF(ISNUMBER(SEARCH("-PWD-",Sales_SKU!$B41)),"powder",""))</f>
        <v>Neat</v>
      </c>
      <c r="K41" s="5" t="s">
        <v>243</v>
      </c>
      <c r="L41" s="11" t="s">
        <v>234</v>
      </c>
      <c r="M41" s="11" t="s">
        <v>221</v>
      </c>
      <c r="N41" s="5" t="s">
        <v>245</v>
      </c>
    </row>
    <row r="42" spans="1:14">
      <c r="A42" s="11" t="s">
        <v>309</v>
      </c>
      <c r="B42" s="11" t="s">
        <v>123</v>
      </c>
      <c r="C42" s="5" t="s">
        <v>215</v>
      </c>
      <c r="D42" s="5" t="s">
        <v>216</v>
      </c>
      <c r="E42" s="5" t="s">
        <v>251</v>
      </c>
      <c r="F42" s="5" t="s">
        <v>242</v>
      </c>
      <c r="G42" s="12">
        <v>98.3</v>
      </c>
      <c r="H42" s="8">
        <v>292</v>
      </c>
      <c r="I42" s="8">
        <v>20</v>
      </c>
      <c r="J42" s="8" t="str">
        <f>IF(ISNUMBER(SEARCH("-NEAT-",Sales_SKU!$B42)),"Neat",IF(ISNUMBER(SEARCH("-PWD-",Sales_SKU!$B42)),"powder",""))</f>
        <v>Neat</v>
      </c>
      <c r="K42" s="5" t="s">
        <v>243</v>
      </c>
      <c r="L42" s="11" t="s">
        <v>234</v>
      </c>
      <c r="M42" s="11" t="s">
        <v>224</v>
      </c>
      <c r="N42" s="5" t="s">
        <v>247</v>
      </c>
    </row>
    <row r="43" spans="1:14">
      <c r="A43" s="11" t="s">
        <v>310</v>
      </c>
      <c r="B43" s="11" t="s">
        <v>123</v>
      </c>
      <c r="C43" s="5" t="s">
        <v>215</v>
      </c>
      <c r="D43" s="5" t="s">
        <v>216</v>
      </c>
      <c r="E43" s="5" t="s">
        <v>251</v>
      </c>
      <c r="F43" s="5" t="s">
        <v>242</v>
      </c>
      <c r="G43" s="12">
        <v>98.3</v>
      </c>
      <c r="H43" s="8">
        <v>305</v>
      </c>
      <c r="I43" s="8">
        <v>16</v>
      </c>
      <c r="J43" s="8" t="str">
        <f>IF(ISNUMBER(SEARCH("-NEAT-",Sales_SKU!$B43)),"Neat",IF(ISNUMBER(SEARCH("-PWD-",Sales_SKU!$B43)),"powder",""))</f>
        <v>Neat</v>
      </c>
      <c r="K43" s="5" t="s">
        <v>243</v>
      </c>
      <c r="L43" s="11" t="s">
        <v>234</v>
      </c>
      <c r="M43" s="11" t="s">
        <v>227</v>
      </c>
      <c r="N43" s="5" t="s">
        <v>249</v>
      </c>
    </row>
    <row r="44" spans="1:14">
      <c r="A44" s="11" t="s">
        <v>311</v>
      </c>
      <c r="B44" s="11" t="s">
        <v>124</v>
      </c>
      <c r="C44" s="5" t="s">
        <v>230</v>
      </c>
      <c r="D44" s="5" t="s">
        <v>216</v>
      </c>
      <c r="E44" s="5" t="s">
        <v>261</v>
      </c>
      <c r="F44" s="5" t="s">
        <v>252</v>
      </c>
      <c r="G44" s="12">
        <v>98.6</v>
      </c>
      <c r="H44" s="8">
        <v>134</v>
      </c>
      <c r="I44" s="8">
        <v>13</v>
      </c>
      <c r="J44" s="8" t="str">
        <f>IF(ISNUMBER(SEARCH("-NEAT-",Sales_SKU!$B44)),"Neat",IF(ISNUMBER(SEARCH("-PWD-",Sales_SKU!$B44)),"powder",""))</f>
        <v>Neat</v>
      </c>
      <c r="K44" s="5" t="s">
        <v>253</v>
      </c>
      <c r="L44" s="11" t="s">
        <v>244</v>
      </c>
      <c r="M44" s="11" t="s">
        <v>221</v>
      </c>
      <c r="N44" s="5" t="s">
        <v>255</v>
      </c>
    </row>
    <row r="45" spans="1:14">
      <c r="A45" s="11" t="s">
        <v>312</v>
      </c>
      <c r="B45" s="11" t="s">
        <v>124</v>
      </c>
      <c r="C45" s="5" t="s">
        <v>230</v>
      </c>
      <c r="D45" s="5" t="s">
        <v>216</v>
      </c>
      <c r="E45" s="5" t="s">
        <v>261</v>
      </c>
      <c r="F45" s="5" t="s">
        <v>252</v>
      </c>
      <c r="G45" s="12">
        <v>98.6</v>
      </c>
      <c r="H45" s="8">
        <v>147</v>
      </c>
      <c r="I45" s="8">
        <v>13</v>
      </c>
      <c r="J45" s="8" t="str">
        <f>IF(ISNUMBER(SEARCH("-NEAT-",Sales_SKU!$B45)),"Neat",IF(ISNUMBER(SEARCH("-PWD-",Sales_SKU!$B45)),"powder",""))</f>
        <v>Neat</v>
      </c>
      <c r="K45" s="5" t="s">
        <v>253</v>
      </c>
      <c r="L45" s="11" t="s">
        <v>244</v>
      </c>
      <c r="M45" s="11" t="s">
        <v>224</v>
      </c>
      <c r="N45" s="5" t="s">
        <v>257</v>
      </c>
    </row>
    <row r="46" spans="1:14">
      <c r="A46" s="11" t="s">
        <v>313</v>
      </c>
      <c r="B46" s="11" t="s">
        <v>124</v>
      </c>
      <c r="C46" s="5" t="s">
        <v>230</v>
      </c>
      <c r="D46" s="5" t="s">
        <v>216</v>
      </c>
      <c r="E46" s="5" t="s">
        <v>261</v>
      </c>
      <c r="F46" s="5" t="s">
        <v>252</v>
      </c>
      <c r="G46" s="12">
        <v>98.6</v>
      </c>
      <c r="H46" s="8">
        <v>160</v>
      </c>
      <c r="I46" s="8">
        <v>8</v>
      </c>
      <c r="J46" s="8" t="str">
        <f>IF(ISNUMBER(SEARCH("-NEAT-",Sales_SKU!$B46)),"Neat",IF(ISNUMBER(SEARCH("-PWD-",Sales_SKU!$B46)),"powder",""))</f>
        <v>Neat</v>
      </c>
      <c r="K46" s="5" t="s">
        <v>253</v>
      </c>
      <c r="L46" s="11" t="s">
        <v>244</v>
      </c>
      <c r="M46" s="11" t="s">
        <v>227</v>
      </c>
      <c r="N46" s="5" t="s">
        <v>259</v>
      </c>
    </row>
    <row r="47" spans="1:14">
      <c r="A47" s="11" t="s">
        <v>314</v>
      </c>
      <c r="B47" s="11" t="s">
        <v>125</v>
      </c>
      <c r="C47" s="5" t="s">
        <v>215</v>
      </c>
      <c r="D47" s="5" t="s">
        <v>216</v>
      </c>
      <c r="E47" s="5" t="s">
        <v>266</v>
      </c>
      <c r="F47" s="5" t="s">
        <v>276</v>
      </c>
      <c r="G47" s="12">
        <v>98.2</v>
      </c>
      <c r="H47" s="8">
        <v>170</v>
      </c>
      <c r="I47" s="8">
        <v>16</v>
      </c>
      <c r="J47" s="8" t="str">
        <f>IF(ISNUMBER(SEARCH("-NEAT-",Sales_SKU!$B47)),"Neat",IF(ISNUMBER(SEARCH("-PWD-",Sales_SKU!$B47)),"powder",""))</f>
        <v>Neat</v>
      </c>
      <c r="K47" s="5" t="s">
        <v>253</v>
      </c>
      <c r="L47" s="11" t="s">
        <v>254</v>
      </c>
      <c r="M47" s="11" t="s">
        <v>221</v>
      </c>
      <c r="N47" s="5" t="s">
        <v>315</v>
      </c>
    </row>
    <row r="48" spans="1:14">
      <c r="A48" s="11" t="s">
        <v>316</v>
      </c>
      <c r="B48" s="11" t="s">
        <v>125</v>
      </c>
      <c r="C48" s="5" t="s">
        <v>215</v>
      </c>
      <c r="D48" s="5" t="s">
        <v>216</v>
      </c>
      <c r="E48" s="5" t="s">
        <v>266</v>
      </c>
      <c r="F48" s="5" t="s">
        <v>276</v>
      </c>
      <c r="G48" s="12">
        <v>98.2</v>
      </c>
      <c r="H48" s="8">
        <v>183</v>
      </c>
      <c r="I48" s="8">
        <v>18</v>
      </c>
      <c r="J48" s="8" t="str">
        <f>IF(ISNUMBER(SEARCH("-NEAT-",Sales_SKU!$B48)),"Neat",IF(ISNUMBER(SEARCH("-PWD-",Sales_SKU!$B48)),"powder",""))</f>
        <v>Neat</v>
      </c>
      <c r="K48" s="5" t="s">
        <v>253</v>
      </c>
      <c r="L48" s="11" t="s">
        <v>254</v>
      </c>
      <c r="M48" s="11" t="s">
        <v>224</v>
      </c>
      <c r="N48" s="5" t="s">
        <v>317</v>
      </c>
    </row>
    <row r="49" spans="1:14">
      <c r="A49" s="11" t="s">
        <v>318</v>
      </c>
      <c r="B49" s="11" t="s">
        <v>125</v>
      </c>
      <c r="C49" s="5" t="s">
        <v>215</v>
      </c>
      <c r="D49" s="5" t="s">
        <v>216</v>
      </c>
      <c r="E49" s="5" t="s">
        <v>266</v>
      </c>
      <c r="F49" s="5" t="s">
        <v>276</v>
      </c>
      <c r="G49" s="12">
        <v>98.2</v>
      </c>
      <c r="H49" s="8">
        <v>196</v>
      </c>
      <c r="I49" s="8">
        <v>11</v>
      </c>
      <c r="J49" s="8" t="str">
        <f>IF(ISNUMBER(SEARCH("-NEAT-",Sales_SKU!$B49)),"Neat",IF(ISNUMBER(SEARCH("-PWD-",Sales_SKU!$B49)),"powder",""))</f>
        <v>Neat</v>
      </c>
      <c r="K49" s="5" t="s">
        <v>253</v>
      </c>
      <c r="L49" s="11" t="s">
        <v>254</v>
      </c>
      <c r="M49" s="11" t="s">
        <v>227</v>
      </c>
      <c r="N49" s="5" t="s">
        <v>319</v>
      </c>
    </row>
    <row r="50" spans="1:14">
      <c r="A50" s="11" t="s">
        <v>320</v>
      </c>
      <c r="B50" s="11" t="s">
        <v>126</v>
      </c>
      <c r="C50" s="5" t="s">
        <v>215</v>
      </c>
      <c r="D50" s="5" t="s">
        <v>216</v>
      </c>
      <c r="E50" s="5" t="s">
        <v>270</v>
      </c>
      <c r="F50" s="5" t="s">
        <v>232</v>
      </c>
      <c r="G50" s="12">
        <v>99.5</v>
      </c>
      <c r="H50" s="8">
        <v>74</v>
      </c>
      <c r="I50" s="8">
        <v>7</v>
      </c>
      <c r="J50" s="8" t="str">
        <f>IF(ISNUMBER(SEARCH("-NEAT-",Sales_SKU!$B50)),"Neat",IF(ISNUMBER(SEARCH("-PWD-",Sales_SKU!$B50)),"powder",""))</f>
        <v>Neat</v>
      </c>
      <c r="K50" s="5" t="s">
        <v>219</v>
      </c>
      <c r="L50" s="11" t="s">
        <v>220</v>
      </c>
      <c r="M50" s="11" t="s">
        <v>221</v>
      </c>
      <c r="N50" s="5" t="s">
        <v>235</v>
      </c>
    </row>
    <row r="51" spans="1:14">
      <c r="A51" s="11" t="s">
        <v>321</v>
      </c>
      <c r="B51" s="11" t="s">
        <v>126</v>
      </c>
      <c r="C51" s="5" t="s">
        <v>215</v>
      </c>
      <c r="D51" s="5" t="s">
        <v>216</v>
      </c>
      <c r="E51" s="5" t="s">
        <v>270</v>
      </c>
      <c r="F51" s="5" t="s">
        <v>232</v>
      </c>
      <c r="G51" s="12">
        <v>99.5</v>
      </c>
      <c r="H51" s="8">
        <v>87</v>
      </c>
      <c r="I51" s="8">
        <v>7</v>
      </c>
      <c r="J51" s="8" t="str">
        <f>IF(ISNUMBER(SEARCH("-NEAT-",Sales_SKU!$B51)),"Neat",IF(ISNUMBER(SEARCH("-PWD-",Sales_SKU!$B51)),"powder",""))</f>
        <v>Neat</v>
      </c>
      <c r="K51" s="5" t="s">
        <v>219</v>
      </c>
      <c r="L51" s="11" t="s">
        <v>220</v>
      </c>
      <c r="M51" s="11" t="s">
        <v>224</v>
      </c>
      <c r="N51" s="5" t="s">
        <v>237</v>
      </c>
    </row>
    <row r="52" spans="1:14">
      <c r="A52" s="11" t="s">
        <v>322</v>
      </c>
      <c r="B52" s="11" t="s">
        <v>126</v>
      </c>
      <c r="C52" s="5" t="s">
        <v>215</v>
      </c>
      <c r="D52" s="5" t="s">
        <v>216</v>
      </c>
      <c r="E52" s="5" t="s">
        <v>270</v>
      </c>
      <c r="F52" s="5" t="s">
        <v>232</v>
      </c>
      <c r="G52" s="12">
        <v>99.5</v>
      </c>
      <c r="H52" s="8">
        <v>100</v>
      </c>
      <c r="I52" s="8">
        <v>8</v>
      </c>
      <c r="J52" s="8" t="str">
        <f>IF(ISNUMBER(SEARCH("-NEAT-",Sales_SKU!$B52)),"Neat",IF(ISNUMBER(SEARCH("-PWD-",Sales_SKU!$B52)),"powder",""))</f>
        <v>Neat</v>
      </c>
      <c r="K52" s="5" t="s">
        <v>219</v>
      </c>
      <c r="L52" s="11" t="s">
        <v>220</v>
      </c>
      <c r="M52" s="11" t="s">
        <v>227</v>
      </c>
      <c r="N52" s="5" t="s">
        <v>239</v>
      </c>
    </row>
    <row r="53" spans="1:14">
      <c r="A53" s="11" t="s">
        <v>323</v>
      </c>
      <c r="B53" s="11" t="s">
        <v>127</v>
      </c>
      <c r="C53" s="5" t="s">
        <v>215</v>
      </c>
      <c r="D53" s="5" t="s">
        <v>274</v>
      </c>
      <c r="E53" s="5" t="s">
        <v>275</v>
      </c>
      <c r="F53" s="5" t="s">
        <v>218</v>
      </c>
      <c r="G53" s="12">
        <v>98</v>
      </c>
      <c r="H53" s="8">
        <v>342</v>
      </c>
      <c r="I53" s="8">
        <v>18</v>
      </c>
      <c r="J53" s="8" t="str">
        <f>IF(ISNUMBER(SEARCH("-NEAT-",Sales_SKU!$B53)),"Neat",IF(ISNUMBER(SEARCH("-PWD-",Sales_SKU!$B53)),"powder",""))</f>
        <v>Neat</v>
      </c>
      <c r="K53" s="5" t="s">
        <v>253</v>
      </c>
      <c r="L53" s="11" t="s">
        <v>234</v>
      </c>
      <c r="M53" s="11" t="s">
        <v>221</v>
      </c>
      <c r="N53" s="5" t="s">
        <v>324</v>
      </c>
    </row>
    <row r="54" spans="1:14">
      <c r="A54" s="11" t="s">
        <v>325</v>
      </c>
      <c r="B54" s="11" t="s">
        <v>127</v>
      </c>
      <c r="C54" s="5" t="s">
        <v>215</v>
      </c>
      <c r="D54" s="5" t="s">
        <v>274</v>
      </c>
      <c r="E54" s="5" t="s">
        <v>275</v>
      </c>
      <c r="F54" s="5" t="s">
        <v>218</v>
      </c>
      <c r="G54" s="12">
        <v>98</v>
      </c>
      <c r="H54" s="8">
        <v>355</v>
      </c>
      <c r="I54" s="8">
        <v>20</v>
      </c>
      <c r="J54" s="8" t="str">
        <f>IF(ISNUMBER(SEARCH("-NEAT-",Sales_SKU!$B54)),"Neat",IF(ISNUMBER(SEARCH("-PWD-",Sales_SKU!$B54)),"powder",""))</f>
        <v>Neat</v>
      </c>
      <c r="K54" s="5" t="s">
        <v>253</v>
      </c>
      <c r="L54" s="11" t="s">
        <v>234</v>
      </c>
      <c r="M54" s="11" t="s">
        <v>224</v>
      </c>
      <c r="N54" s="5" t="s">
        <v>326</v>
      </c>
    </row>
    <row r="55" spans="1:14">
      <c r="A55" s="11" t="s">
        <v>327</v>
      </c>
      <c r="B55" s="11" t="s">
        <v>127</v>
      </c>
      <c r="C55" s="5" t="s">
        <v>215</v>
      </c>
      <c r="D55" s="5" t="s">
        <v>274</v>
      </c>
      <c r="E55" s="5" t="s">
        <v>275</v>
      </c>
      <c r="F55" s="5" t="s">
        <v>218</v>
      </c>
      <c r="G55" s="12">
        <v>98</v>
      </c>
      <c r="H55" s="8">
        <v>368</v>
      </c>
      <c r="I55" s="8">
        <v>22</v>
      </c>
      <c r="J55" s="8" t="str">
        <f>IF(ISNUMBER(SEARCH("-NEAT-",Sales_SKU!$B55)),"Neat",IF(ISNUMBER(SEARCH("-PWD-",Sales_SKU!$B55)),"powder",""))</f>
        <v>Neat</v>
      </c>
      <c r="K55" s="5" t="s">
        <v>253</v>
      </c>
      <c r="L55" s="11" t="s">
        <v>234</v>
      </c>
      <c r="M55" s="11" t="s">
        <v>227</v>
      </c>
      <c r="N55" s="5" t="s">
        <v>328</v>
      </c>
    </row>
    <row r="56" spans="1:14">
      <c r="A56" s="11" t="s">
        <v>329</v>
      </c>
      <c r="B56" s="11" t="s">
        <v>128</v>
      </c>
      <c r="C56" s="5" t="s">
        <v>215</v>
      </c>
      <c r="D56" s="5" t="s">
        <v>283</v>
      </c>
      <c r="E56" s="5" t="s">
        <v>284</v>
      </c>
      <c r="F56" s="5" t="s">
        <v>218</v>
      </c>
      <c r="G56" s="12">
        <v>98.3</v>
      </c>
      <c r="H56" s="8">
        <v>248</v>
      </c>
      <c r="I56" s="8">
        <v>21</v>
      </c>
      <c r="J56" s="8" t="str">
        <f>IF(ISNUMBER(SEARCH("-NEAT-",Sales_SKU!$B56)),"Neat",IF(ISNUMBER(SEARCH("-PWD-",Sales_SKU!$B56)),"powder",""))</f>
        <v>powder</v>
      </c>
      <c r="K56" s="5" t="s">
        <v>285</v>
      </c>
      <c r="L56" s="11" t="s">
        <v>244</v>
      </c>
      <c r="M56" s="11" t="s">
        <v>221</v>
      </c>
      <c r="N56" s="5" t="s">
        <v>330</v>
      </c>
    </row>
    <row r="57" spans="1:14">
      <c r="A57" s="11" t="s">
        <v>331</v>
      </c>
      <c r="B57" s="11" t="s">
        <v>128</v>
      </c>
      <c r="C57" s="5" t="s">
        <v>215</v>
      </c>
      <c r="D57" s="5" t="s">
        <v>283</v>
      </c>
      <c r="E57" s="5" t="s">
        <v>284</v>
      </c>
      <c r="F57" s="5" t="s">
        <v>218</v>
      </c>
      <c r="G57" s="12">
        <v>98.3</v>
      </c>
      <c r="H57" s="8">
        <v>261</v>
      </c>
      <c r="I57" s="8">
        <v>23</v>
      </c>
      <c r="J57" s="8" t="str">
        <f>IF(ISNUMBER(SEARCH("-NEAT-",Sales_SKU!$B57)),"Neat",IF(ISNUMBER(SEARCH("-PWD-",Sales_SKU!$B57)),"powder",""))</f>
        <v>powder</v>
      </c>
      <c r="K57" s="5" t="s">
        <v>285</v>
      </c>
      <c r="L57" s="11" t="s">
        <v>244</v>
      </c>
      <c r="M57" s="11" t="s">
        <v>224</v>
      </c>
      <c r="N57" s="5" t="s">
        <v>332</v>
      </c>
    </row>
    <row r="58" spans="1:14">
      <c r="A58" s="11" t="s">
        <v>333</v>
      </c>
      <c r="B58" s="11" t="s">
        <v>128</v>
      </c>
      <c r="C58" s="5" t="s">
        <v>215</v>
      </c>
      <c r="D58" s="5" t="s">
        <v>283</v>
      </c>
      <c r="E58" s="5" t="s">
        <v>284</v>
      </c>
      <c r="F58" s="5" t="s">
        <v>218</v>
      </c>
      <c r="G58" s="12">
        <v>98.3</v>
      </c>
      <c r="H58" s="8">
        <v>274</v>
      </c>
      <c r="I58" s="8">
        <v>16</v>
      </c>
      <c r="J58" s="8" t="str">
        <f>IF(ISNUMBER(SEARCH("-NEAT-",Sales_SKU!$B58)),"Neat",IF(ISNUMBER(SEARCH("-PWD-",Sales_SKU!$B58)),"powder",""))</f>
        <v>powder</v>
      </c>
      <c r="K58" s="5" t="s">
        <v>285</v>
      </c>
      <c r="L58" s="11" t="s">
        <v>244</v>
      </c>
      <c r="M58" s="11" t="s">
        <v>227</v>
      </c>
      <c r="N58" s="5" t="s">
        <v>334</v>
      </c>
    </row>
    <row r="59" spans="1:14">
      <c r="A59" s="11" t="s">
        <v>335</v>
      </c>
      <c r="B59" s="11" t="s">
        <v>129</v>
      </c>
      <c r="C59" s="5" t="s">
        <v>230</v>
      </c>
      <c r="D59" s="5" t="s">
        <v>292</v>
      </c>
      <c r="E59" s="5" t="s">
        <v>293</v>
      </c>
      <c r="F59" s="5" t="s">
        <v>218</v>
      </c>
      <c r="G59" s="12">
        <v>98.8</v>
      </c>
      <c r="H59" s="8">
        <v>324</v>
      </c>
      <c r="I59" s="8">
        <v>15</v>
      </c>
      <c r="J59" s="8" t="str">
        <f>IF(ISNUMBER(SEARCH("-NEAT-",Sales_SKU!$B59)),"Neat",IF(ISNUMBER(SEARCH("-PWD-",Sales_SKU!$B59)),"powder",""))</f>
        <v>powder</v>
      </c>
      <c r="K59" s="5" t="s">
        <v>285</v>
      </c>
      <c r="L59" s="11" t="s">
        <v>254</v>
      </c>
      <c r="M59" s="11" t="s">
        <v>221</v>
      </c>
      <c r="N59" s="5" t="s">
        <v>294</v>
      </c>
    </row>
    <row r="60" spans="1:14">
      <c r="A60" s="11" t="s">
        <v>336</v>
      </c>
      <c r="B60" s="11" t="s">
        <v>129</v>
      </c>
      <c r="C60" s="5" t="s">
        <v>230</v>
      </c>
      <c r="D60" s="5" t="s">
        <v>292</v>
      </c>
      <c r="E60" s="5" t="s">
        <v>293</v>
      </c>
      <c r="F60" s="5" t="s">
        <v>218</v>
      </c>
      <c r="G60" s="12">
        <v>98.8</v>
      </c>
      <c r="H60" s="8">
        <v>337</v>
      </c>
      <c r="I60" s="8">
        <v>17</v>
      </c>
      <c r="J60" s="8" t="str">
        <f>IF(ISNUMBER(SEARCH("-NEAT-",Sales_SKU!$B60)),"Neat",IF(ISNUMBER(SEARCH("-PWD-",Sales_SKU!$B60)),"powder",""))</f>
        <v>powder</v>
      </c>
      <c r="K60" s="5" t="s">
        <v>285</v>
      </c>
      <c r="L60" s="11" t="s">
        <v>254</v>
      </c>
      <c r="M60" s="11" t="s">
        <v>224</v>
      </c>
      <c r="N60" s="5" t="s">
        <v>296</v>
      </c>
    </row>
    <row r="61" spans="1:14">
      <c r="A61" s="11" t="s">
        <v>337</v>
      </c>
      <c r="B61" s="11" t="s">
        <v>129</v>
      </c>
      <c r="C61" s="5" t="s">
        <v>230</v>
      </c>
      <c r="D61" s="5" t="s">
        <v>292</v>
      </c>
      <c r="E61" s="5" t="s">
        <v>293</v>
      </c>
      <c r="F61" s="5" t="s">
        <v>218</v>
      </c>
      <c r="G61" s="12">
        <v>98.8</v>
      </c>
      <c r="H61" s="8">
        <v>350</v>
      </c>
      <c r="I61" s="8">
        <v>19</v>
      </c>
      <c r="J61" s="8" t="str">
        <f>IF(ISNUMBER(SEARCH("-NEAT-",Sales_SKU!$B61)),"Neat",IF(ISNUMBER(SEARCH("-PWD-",Sales_SKU!$B61)),"powder",""))</f>
        <v>powder</v>
      </c>
      <c r="K61" s="5" t="s">
        <v>285</v>
      </c>
      <c r="L61" s="11" t="s">
        <v>254</v>
      </c>
      <c r="M61" s="11" t="s">
        <v>227</v>
      </c>
      <c r="N61" s="5" t="s">
        <v>298</v>
      </c>
    </row>
    <row r="62" spans="1:14">
      <c r="A62" s="11" t="s">
        <v>338</v>
      </c>
      <c r="B62" s="11" t="s">
        <v>130</v>
      </c>
      <c r="C62" s="5" t="s">
        <v>215</v>
      </c>
      <c r="D62" s="5" t="s">
        <v>216</v>
      </c>
      <c r="E62" s="5" t="s">
        <v>217</v>
      </c>
      <c r="F62" s="5" t="s">
        <v>218</v>
      </c>
      <c r="G62" s="12">
        <v>99.5</v>
      </c>
      <c r="H62" s="8">
        <v>400</v>
      </c>
      <c r="I62" s="8">
        <v>18</v>
      </c>
      <c r="J62" s="8" t="str">
        <f>IF(ISNUMBER(SEARCH("-NEAT-",Sales_SKU!$B62)),"Neat",IF(ISNUMBER(SEARCH("-PWD-",Sales_SKU!$B62)),"powder",""))</f>
        <v>Neat</v>
      </c>
      <c r="K62" s="5" t="s">
        <v>262</v>
      </c>
      <c r="L62" s="11" t="s">
        <v>220</v>
      </c>
      <c r="M62" s="11" t="s">
        <v>221</v>
      </c>
      <c r="N62" s="5" t="s">
        <v>222</v>
      </c>
    </row>
    <row r="63" spans="1:14">
      <c r="A63" s="11" t="s">
        <v>339</v>
      </c>
      <c r="B63" s="11" t="s">
        <v>130</v>
      </c>
      <c r="C63" s="5" t="s">
        <v>215</v>
      </c>
      <c r="D63" s="5" t="s">
        <v>216</v>
      </c>
      <c r="E63" s="5" t="s">
        <v>217</v>
      </c>
      <c r="F63" s="5" t="s">
        <v>218</v>
      </c>
      <c r="G63" s="12">
        <v>99.5</v>
      </c>
      <c r="H63" s="8">
        <v>413</v>
      </c>
      <c r="I63" s="8">
        <v>20</v>
      </c>
      <c r="J63" s="8" t="str">
        <f>IF(ISNUMBER(SEARCH("-NEAT-",Sales_SKU!$B63)),"Neat",IF(ISNUMBER(SEARCH("-PWD-",Sales_SKU!$B63)),"powder",""))</f>
        <v>Neat</v>
      </c>
      <c r="K63" s="5" t="s">
        <v>262</v>
      </c>
      <c r="L63" s="11" t="s">
        <v>220</v>
      </c>
      <c r="M63" s="11" t="s">
        <v>224</v>
      </c>
      <c r="N63" s="5" t="s">
        <v>225</v>
      </c>
    </row>
    <row r="64" spans="1:14">
      <c r="A64" s="11" t="s">
        <v>340</v>
      </c>
      <c r="B64" s="11" t="s">
        <v>130</v>
      </c>
      <c r="C64" s="5" t="s">
        <v>215</v>
      </c>
      <c r="D64" s="5" t="s">
        <v>216</v>
      </c>
      <c r="E64" s="5" t="s">
        <v>217</v>
      </c>
      <c r="F64" s="5" t="s">
        <v>218</v>
      </c>
      <c r="G64" s="12">
        <v>99.5</v>
      </c>
      <c r="H64" s="8">
        <v>426</v>
      </c>
      <c r="I64" s="8">
        <v>24</v>
      </c>
      <c r="J64" s="8" t="str">
        <f>IF(ISNUMBER(SEARCH("-NEAT-",Sales_SKU!$B64)),"Neat",IF(ISNUMBER(SEARCH("-PWD-",Sales_SKU!$B64)),"powder",""))</f>
        <v>Neat</v>
      </c>
      <c r="K64" s="5" t="s">
        <v>262</v>
      </c>
      <c r="L64" s="11" t="s">
        <v>220</v>
      </c>
      <c r="M64" s="11" t="s">
        <v>227</v>
      </c>
      <c r="N64" s="5" t="s">
        <v>228</v>
      </c>
    </row>
    <row r="65" spans="1:14">
      <c r="A65" s="11" t="s">
        <v>341</v>
      </c>
      <c r="B65" s="11" t="s">
        <v>131</v>
      </c>
      <c r="C65" s="5" t="s">
        <v>215</v>
      </c>
      <c r="D65" s="5" t="s">
        <v>216</v>
      </c>
      <c r="E65" s="5" t="s">
        <v>231</v>
      </c>
      <c r="F65" s="5" t="s">
        <v>242</v>
      </c>
      <c r="G65" s="12">
        <v>98.8</v>
      </c>
      <c r="H65" s="8">
        <v>195</v>
      </c>
      <c r="I65" s="8">
        <v>12</v>
      </c>
      <c r="J65" s="8" t="str">
        <f>IF(ISNUMBER(SEARCH("-NEAT-",Sales_SKU!$B65)),"Neat",IF(ISNUMBER(SEARCH("-PWD-",Sales_SKU!$B65)),"powder",""))</f>
        <v>Neat</v>
      </c>
      <c r="K65" s="5" t="s">
        <v>219</v>
      </c>
      <c r="L65" s="11" t="s">
        <v>234</v>
      </c>
      <c r="M65" s="11" t="s">
        <v>221</v>
      </c>
      <c r="N65" s="5" t="s">
        <v>245</v>
      </c>
    </row>
    <row r="66" spans="1:14">
      <c r="A66" s="11" t="s">
        <v>342</v>
      </c>
      <c r="B66" s="11" t="s">
        <v>131</v>
      </c>
      <c r="C66" s="5" t="s">
        <v>215</v>
      </c>
      <c r="D66" s="5" t="s">
        <v>216</v>
      </c>
      <c r="E66" s="5" t="s">
        <v>231</v>
      </c>
      <c r="F66" s="5" t="s">
        <v>242</v>
      </c>
      <c r="G66" s="12">
        <v>98.8</v>
      </c>
      <c r="H66" s="8">
        <v>208</v>
      </c>
      <c r="I66" s="8">
        <v>22</v>
      </c>
      <c r="J66" s="8" t="str">
        <f>IF(ISNUMBER(SEARCH("-NEAT-",Sales_SKU!$B66)),"Neat",IF(ISNUMBER(SEARCH("-PWD-",Sales_SKU!$B66)),"powder",""))</f>
        <v>Neat</v>
      </c>
      <c r="K66" s="5" t="s">
        <v>219</v>
      </c>
      <c r="L66" s="11" t="s">
        <v>234</v>
      </c>
      <c r="M66" s="11" t="s">
        <v>224</v>
      </c>
      <c r="N66" s="5" t="s">
        <v>247</v>
      </c>
    </row>
    <row r="67" spans="1:14">
      <c r="A67" s="11" t="s">
        <v>343</v>
      </c>
      <c r="B67" s="11" t="s">
        <v>131</v>
      </c>
      <c r="C67" s="5" t="s">
        <v>215</v>
      </c>
      <c r="D67" s="5" t="s">
        <v>216</v>
      </c>
      <c r="E67" s="5" t="s">
        <v>231</v>
      </c>
      <c r="F67" s="5" t="s">
        <v>242</v>
      </c>
      <c r="G67" s="12">
        <v>98.8</v>
      </c>
      <c r="H67" s="8">
        <v>221</v>
      </c>
      <c r="I67" s="8">
        <v>21</v>
      </c>
      <c r="J67" s="8" t="str">
        <f>IF(ISNUMBER(SEARCH("-NEAT-",Sales_SKU!$B67)),"Neat",IF(ISNUMBER(SEARCH("-PWD-",Sales_SKU!$B67)),"powder",""))</f>
        <v>Neat</v>
      </c>
      <c r="K67" s="5" t="s">
        <v>219</v>
      </c>
      <c r="L67" s="11" t="s">
        <v>234</v>
      </c>
      <c r="M67" s="11" t="s">
        <v>227</v>
      </c>
      <c r="N67" s="5" t="s">
        <v>249</v>
      </c>
    </row>
    <row r="68" spans="1:14">
      <c r="A68" s="11" t="s">
        <v>344</v>
      </c>
      <c r="B68" s="11" t="s">
        <v>132</v>
      </c>
      <c r="C68" s="5" t="s">
        <v>215</v>
      </c>
      <c r="D68" s="5" t="s">
        <v>216</v>
      </c>
      <c r="E68" s="5" t="s">
        <v>241</v>
      </c>
      <c r="F68" s="5" t="s">
        <v>232</v>
      </c>
      <c r="G68" s="12">
        <v>98.7</v>
      </c>
      <c r="H68" s="8">
        <v>79</v>
      </c>
      <c r="I68" s="8">
        <v>10</v>
      </c>
      <c r="J68" s="8" t="str">
        <f>IF(ISNUMBER(SEARCH("-NEAT-",Sales_SKU!$B68)),"Neat",IF(ISNUMBER(SEARCH("-PWD-",Sales_SKU!$B68)),"powder",""))</f>
        <v>Neat</v>
      </c>
      <c r="K68" s="5" t="s">
        <v>233</v>
      </c>
      <c r="L68" s="11" t="s">
        <v>244</v>
      </c>
      <c r="M68" s="11" t="s">
        <v>221</v>
      </c>
      <c r="N68" s="5" t="s">
        <v>235</v>
      </c>
    </row>
    <row r="69" spans="1:14">
      <c r="A69" s="11" t="s">
        <v>345</v>
      </c>
      <c r="B69" s="11" t="s">
        <v>132</v>
      </c>
      <c r="C69" s="5" t="s">
        <v>215</v>
      </c>
      <c r="D69" s="5" t="s">
        <v>216</v>
      </c>
      <c r="E69" s="5" t="s">
        <v>241</v>
      </c>
      <c r="F69" s="5" t="s">
        <v>232</v>
      </c>
      <c r="G69" s="12">
        <v>98.7</v>
      </c>
      <c r="H69" s="8">
        <v>92</v>
      </c>
      <c r="I69" s="8">
        <v>5</v>
      </c>
      <c r="J69" s="8" t="str">
        <f>IF(ISNUMBER(SEARCH("-NEAT-",Sales_SKU!$B69)),"Neat",IF(ISNUMBER(SEARCH("-PWD-",Sales_SKU!$B69)),"powder",""))</f>
        <v>Neat</v>
      </c>
      <c r="K69" s="5" t="s">
        <v>233</v>
      </c>
      <c r="L69" s="11" t="s">
        <v>244</v>
      </c>
      <c r="M69" s="11" t="s">
        <v>224</v>
      </c>
      <c r="N69" s="5" t="s">
        <v>237</v>
      </c>
    </row>
    <row r="70" spans="1:14">
      <c r="A70" s="11" t="s">
        <v>346</v>
      </c>
      <c r="B70" s="11" t="s">
        <v>132</v>
      </c>
      <c r="C70" s="5" t="s">
        <v>215</v>
      </c>
      <c r="D70" s="5" t="s">
        <v>216</v>
      </c>
      <c r="E70" s="5" t="s">
        <v>241</v>
      </c>
      <c r="F70" s="5" t="s">
        <v>232</v>
      </c>
      <c r="G70" s="12">
        <v>98.7</v>
      </c>
      <c r="H70" s="8">
        <v>105</v>
      </c>
      <c r="I70" s="8">
        <v>5</v>
      </c>
      <c r="J70" s="8" t="str">
        <f>IF(ISNUMBER(SEARCH("-NEAT-",Sales_SKU!$B70)),"Neat",IF(ISNUMBER(SEARCH("-PWD-",Sales_SKU!$B70)),"powder",""))</f>
        <v>Neat</v>
      </c>
      <c r="K70" s="5" t="s">
        <v>233</v>
      </c>
      <c r="L70" s="11" t="s">
        <v>244</v>
      </c>
      <c r="M70" s="11" t="s">
        <v>227</v>
      </c>
      <c r="N70" s="5" t="s">
        <v>239</v>
      </c>
    </row>
    <row r="71" spans="1:14">
      <c r="A71" s="11" t="s">
        <v>347</v>
      </c>
      <c r="B71" s="11" t="s">
        <v>133</v>
      </c>
      <c r="C71" s="5" t="s">
        <v>215</v>
      </c>
      <c r="D71" s="5" t="s">
        <v>216</v>
      </c>
      <c r="E71" s="5" t="s">
        <v>251</v>
      </c>
      <c r="F71" s="5" t="s">
        <v>242</v>
      </c>
      <c r="G71" s="12">
        <v>98.9</v>
      </c>
      <c r="H71" s="8">
        <v>347</v>
      </c>
      <c r="I71" s="8">
        <v>23</v>
      </c>
      <c r="J71" s="8" t="str">
        <f>IF(ISNUMBER(SEARCH("-NEAT-",Sales_SKU!$B71)),"Neat",IF(ISNUMBER(SEARCH("-PWD-",Sales_SKU!$B71)),"powder",""))</f>
        <v>Neat</v>
      </c>
      <c r="K71" s="5" t="s">
        <v>243</v>
      </c>
      <c r="L71" s="11" t="s">
        <v>254</v>
      </c>
      <c r="M71" s="11" t="s">
        <v>221</v>
      </c>
      <c r="N71" s="5" t="s">
        <v>245</v>
      </c>
    </row>
    <row r="72" spans="1:14">
      <c r="A72" s="11" t="s">
        <v>348</v>
      </c>
      <c r="B72" s="11" t="s">
        <v>133</v>
      </c>
      <c r="C72" s="5" t="s">
        <v>215</v>
      </c>
      <c r="D72" s="5" t="s">
        <v>216</v>
      </c>
      <c r="E72" s="5" t="s">
        <v>251</v>
      </c>
      <c r="F72" s="5" t="s">
        <v>242</v>
      </c>
      <c r="G72" s="12">
        <v>98.9</v>
      </c>
      <c r="H72" s="8">
        <v>360</v>
      </c>
      <c r="I72" s="8">
        <v>19</v>
      </c>
      <c r="J72" s="8" t="str">
        <f>IF(ISNUMBER(SEARCH("-NEAT-",Sales_SKU!$B72)),"Neat",IF(ISNUMBER(SEARCH("-PWD-",Sales_SKU!$B72)),"powder",""))</f>
        <v>Neat</v>
      </c>
      <c r="K72" s="5" t="s">
        <v>243</v>
      </c>
      <c r="L72" s="11" t="s">
        <v>254</v>
      </c>
      <c r="M72" s="11" t="s">
        <v>224</v>
      </c>
      <c r="N72" s="5" t="s">
        <v>247</v>
      </c>
    </row>
    <row r="73" spans="1:14">
      <c r="A73" s="11" t="s">
        <v>349</v>
      </c>
      <c r="B73" s="11" t="s">
        <v>133</v>
      </c>
      <c r="C73" s="5" t="s">
        <v>215</v>
      </c>
      <c r="D73" s="5" t="s">
        <v>216</v>
      </c>
      <c r="E73" s="5" t="s">
        <v>251</v>
      </c>
      <c r="F73" s="5" t="s">
        <v>242</v>
      </c>
      <c r="G73" s="12">
        <v>98.9</v>
      </c>
      <c r="H73" s="8">
        <v>373</v>
      </c>
      <c r="I73" s="8">
        <v>18</v>
      </c>
      <c r="J73" s="8" t="str">
        <f>IF(ISNUMBER(SEARCH("-NEAT-",Sales_SKU!$B73)),"Neat",IF(ISNUMBER(SEARCH("-PWD-",Sales_SKU!$B73)),"powder",""))</f>
        <v>Neat</v>
      </c>
      <c r="K73" s="5" t="s">
        <v>243</v>
      </c>
      <c r="L73" s="11" t="s">
        <v>254</v>
      </c>
      <c r="M73" s="11" t="s">
        <v>227</v>
      </c>
      <c r="N73" s="5" t="s">
        <v>249</v>
      </c>
    </row>
    <row r="74" spans="1:14">
      <c r="A74" s="11" t="s">
        <v>350</v>
      </c>
      <c r="B74" s="11" t="s">
        <v>134</v>
      </c>
      <c r="C74" s="5" t="s">
        <v>215</v>
      </c>
      <c r="D74" s="5" t="s">
        <v>216</v>
      </c>
      <c r="E74" s="5" t="s">
        <v>261</v>
      </c>
      <c r="F74" s="5" t="s">
        <v>252</v>
      </c>
      <c r="G74" s="12">
        <v>98</v>
      </c>
      <c r="H74" s="8">
        <v>153</v>
      </c>
      <c r="I74" s="8">
        <v>16</v>
      </c>
      <c r="J74" s="8" t="str">
        <f>IF(ISNUMBER(SEARCH("-NEAT-",Sales_SKU!$B74)),"Neat",IF(ISNUMBER(SEARCH("-PWD-",Sales_SKU!$B74)),"powder",""))</f>
        <v>Neat</v>
      </c>
      <c r="K74" s="5" t="s">
        <v>262</v>
      </c>
      <c r="L74" s="11" t="s">
        <v>220</v>
      </c>
      <c r="M74" s="11" t="s">
        <v>221</v>
      </c>
      <c r="N74" s="5" t="s">
        <v>255</v>
      </c>
    </row>
    <row r="75" spans="1:14">
      <c r="A75" s="11" t="s">
        <v>351</v>
      </c>
      <c r="B75" s="11" t="s">
        <v>134</v>
      </c>
      <c r="C75" s="5" t="s">
        <v>215</v>
      </c>
      <c r="D75" s="5" t="s">
        <v>216</v>
      </c>
      <c r="E75" s="5" t="s">
        <v>261</v>
      </c>
      <c r="F75" s="5" t="s">
        <v>252</v>
      </c>
      <c r="G75" s="12">
        <v>98</v>
      </c>
      <c r="H75" s="8">
        <v>166</v>
      </c>
      <c r="I75" s="8">
        <v>11</v>
      </c>
      <c r="J75" s="8" t="str">
        <f>IF(ISNUMBER(SEARCH("-NEAT-",Sales_SKU!$B75)),"Neat",IF(ISNUMBER(SEARCH("-PWD-",Sales_SKU!$B75)),"powder",""))</f>
        <v>Neat</v>
      </c>
      <c r="K75" s="5" t="s">
        <v>262</v>
      </c>
      <c r="L75" s="11" t="s">
        <v>220</v>
      </c>
      <c r="M75" s="11" t="s">
        <v>224</v>
      </c>
      <c r="N75" s="5" t="s">
        <v>257</v>
      </c>
    </row>
    <row r="76" spans="1:14">
      <c r="A76" s="11" t="s">
        <v>352</v>
      </c>
      <c r="B76" s="11" t="s">
        <v>134</v>
      </c>
      <c r="C76" s="5" t="s">
        <v>215</v>
      </c>
      <c r="D76" s="5" t="s">
        <v>216</v>
      </c>
      <c r="E76" s="5" t="s">
        <v>261</v>
      </c>
      <c r="F76" s="5" t="s">
        <v>252</v>
      </c>
      <c r="G76" s="12">
        <v>98</v>
      </c>
      <c r="H76" s="8">
        <v>179</v>
      </c>
      <c r="I76" s="8">
        <v>11</v>
      </c>
      <c r="J76" s="8" t="str">
        <f>IF(ISNUMBER(SEARCH("-NEAT-",Sales_SKU!$B76)),"Neat",IF(ISNUMBER(SEARCH("-PWD-",Sales_SKU!$B76)),"powder",""))</f>
        <v>Neat</v>
      </c>
      <c r="K76" s="5" t="s">
        <v>262</v>
      </c>
      <c r="L76" s="11" t="s">
        <v>220</v>
      </c>
      <c r="M76" s="11" t="s">
        <v>227</v>
      </c>
      <c r="N76" s="5" t="s">
        <v>259</v>
      </c>
    </row>
    <row r="77" spans="1:14">
      <c r="A77" s="11" t="s">
        <v>353</v>
      </c>
      <c r="B77" s="11" t="s">
        <v>135</v>
      </c>
      <c r="C77" s="5" t="s">
        <v>215</v>
      </c>
      <c r="D77" s="5" t="s">
        <v>216</v>
      </c>
      <c r="E77" s="5" t="s">
        <v>266</v>
      </c>
      <c r="F77" s="5" t="s">
        <v>242</v>
      </c>
      <c r="G77" s="12">
        <v>98.3</v>
      </c>
      <c r="H77" s="8">
        <v>289</v>
      </c>
      <c r="I77" s="8">
        <v>20</v>
      </c>
      <c r="J77" s="8" t="str">
        <f>IF(ISNUMBER(SEARCH("-NEAT-",Sales_SKU!$B77)),"Neat",IF(ISNUMBER(SEARCH("-PWD-",Sales_SKU!$B77)),"powder",""))</f>
        <v>Neat</v>
      </c>
      <c r="K77" s="5" t="s">
        <v>262</v>
      </c>
      <c r="L77" s="11" t="s">
        <v>234</v>
      </c>
      <c r="M77" s="11" t="s">
        <v>221</v>
      </c>
      <c r="N77" s="5" t="s">
        <v>245</v>
      </c>
    </row>
    <row r="78" spans="1:14">
      <c r="A78" s="11" t="s">
        <v>354</v>
      </c>
      <c r="B78" s="11" t="s">
        <v>135</v>
      </c>
      <c r="C78" s="5" t="s">
        <v>215</v>
      </c>
      <c r="D78" s="5" t="s">
        <v>216</v>
      </c>
      <c r="E78" s="5" t="s">
        <v>266</v>
      </c>
      <c r="F78" s="5" t="s">
        <v>242</v>
      </c>
      <c r="G78" s="12">
        <v>98.3</v>
      </c>
      <c r="H78" s="8">
        <v>302</v>
      </c>
      <c r="I78" s="8">
        <v>16</v>
      </c>
      <c r="J78" s="8" t="str">
        <f>IF(ISNUMBER(SEARCH("-NEAT-",Sales_SKU!$B78)),"Neat",IF(ISNUMBER(SEARCH("-PWD-",Sales_SKU!$B78)),"powder",""))</f>
        <v>Neat</v>
      </c>
      <c r="K78" s="5" t="s">
        <v>262</v>
      </c>
      <c r="L78" s="11" t="s">
        <v>234</v>
      </c>
      <c r="M78" s="11" t="s">
        <v>224</v>
      </c>
      <c r="N78" s="5" t="s">
        <v>247</v>
      </c>
    </row>
    <row r="79" spans="1:14">
      <c r="A79" s="11" t="s">
        <v>355</v>
      </c>
      <c r="B79" s="11" t="s">
        <v>135</v>
      </c>
      <c r="C79" s="5" t="s">
        <v>215</v>
      </c>
      <c r="D79" s="5" t="s">
        <v>216</v>
      </c>
      <c r="E79" s="5" t="s">
        <v>266</v>
      </c>
      <c r="F79" s="5" t="s">
        <v>242</v>
      </c>
      <c r="G79" s="12">
        <v>98.3</v>
      </c>
      <c r="H79" s="8">
        <v>315</v>
      </c>
      <c r="I79" s="8">
        <v>15</v>
      </c>
      <c r="J79" s="8" t="str">
        <f>IF(ISNUMBER(SEARCH("-NEAT-",Sales_SKU!$B79)),"Neat",IF(ISNUMBER(SEARCH("-PWD-",Sales_SKU!$B79)),"powder",""))</f>
        <v>Neat</v>
      </c>
      <c r="K79" s="5" t="s">
        <v>262</v>
      </c>
      <c r="L79" s="11" t="s">
        <v>234</v>
      </c>
      <c r="M79" s="11" t="s">
        <v>227</v>
      </c>
      <c r="N79" s="5" t="s">
        <v>249</v>
      </c>
    </row>
    <row r="80" spans="1:14">
      <c r="A80" s="11" t="s">
        <v>356</v>
      </c>
      <c r="B80" s="11" t="s">
        <v>136</v>
      </c>
      <c r="C80" s="5" t="s">
        <v>215</v>
      </c>
      <c r="D80" s="5" t="s">
        <v>216</v>
      </c>
      <c r="E80" s="5" t="s">
        <v>270</v>
      </c>
      <c r="F80" s="5" t="s">
        <v>276</v>
      </c>
      <c r="G80" s="12">
        <v>99.6</v>
      </c>
      <c r="H80" s="8">
        <v>335</v>
      </c>
      <c r="I80" s="8">
        <v>15</v>
      </c>
      <c r="J80" s="8" t="str">
        <f>IF(ISNUMBER(SEARCH("-NEAT-",Sales_SKU!$B80)),"Neat",IF(ISNUMBER(SEARCH("-PWD-",Sales_SKU!$B80)),"powder",""))</f>
        <v>Neat</v>
      </c>
      <c r="K80" s="5" t="s">
        <v>262</v>
      </c>
      <c r="L80" s="11" t="s">
        <v>244</v>
      </c>
      <c r="M80" s="11" t="s">
        <v>221</v>
      </c>
      <c r="N80" s="5" t="s">
        <v>315</v>
      </c>
    </row>
    <row r="81" spans="1:14">
      <c r="A81" s="11" t="s">
        <v>357</v>
      </c>
      <c r="B81" s="11" t="s">
        <v>136</v>
      </c>
      <c r="C81" s="5" t="s">
        <v>215</v>
      </c>
      <c r="D81" s="5" t="s">
        <v>216</v>
      </c>
      <c r="E81" s="5" t="s">
        <v>270</v>
      </c>
      <c r="F81" s="5" t="s">
        <v>276</v>
      </c>
      <c r="G81" s="12">
        <v>99.6</v>
      </c>
      <c r="H81" s="8">
        <v>348</v>
      </c>
      <c r="I81" s="8">
        <v>17</v>
      </c>
      <c r="J81" s="8" t="str">
        <f>IF(ISNUMBER(SEARCH("-NEAT-",Sales_SKU!$B81)),"Neat",IF(ISNUMBER(SEARCH("-PWD-",Sales_SKU!$B81)),"powder",""))</f>
        <v>Neat</v>
      </c>
      <c r="K81" s="5" t="s">
        <v>262</v>
      </c>
      <c r="L81" s="11" t="s">
        <v>244</v>
      </c>
      <c r="M81" s="11" t="s">
        <v>224</v>
      </c>
      <c r="N81" s="5" t="s">
        <v>317</v>
      </c>
    </row>
    <row r="82" spans="1:14">
      <c r="A82" s="11" t="s">
        <v>358</v>
      </c>
      <c r="B82" s="11" t="s">
        <v>136</v>
      </c>
      <c r="C82" s="5" t="s">
        <v>215</v>
      </c>
      <c r="D82" s="5" t="s">
        <v>216</v>
      </c>
      <c r="E82" s="5" t="s">
        <v>270</v>
      </c>
      <c r="F82" s="5" t="s">
        <v>276</v>
      </c>
      <c r="G82" s="12">
        <v>99.6</v>
      </c>
      <c r="H82" s="8">
        <v>361</v>
      </c>
      <c r="I82" s="8">
        <v>10</v>
      </c>
      <c r="J82" s="8" t="str">
        <f>IF(ISNUMBER(SEARCH("-NEAT-",Sales_SKU!$B82)),"Neat",IF(ISNUMBER(SEARCH("-PWD-",Sales_SKU!$B82)),"powder",""))</f>
        <v>Neat</v>
      </c>
      <c r="K82" s="5" t="s">
        <v>262</v>
      </c>
      <c r="L82" s="11" t="s">
        <v>244</v>
      </c>
      <c r="M82" s="11" t="s">
        <v>227</v>
      </c>
      <c r="N82" s="5" t="s">
        <v>319</v>
      </c>
    </row>
    <row r="83" spans="1:14">
      <c r="A83" s="11" t="s">
        <v>359</v>
      </c>
      <c r="B83" s="11" t="s">
        <v>137</v>
      </c>
      <c r="C83" s="5" t="s">
        <v>230</v>
      </c>
      <c r="D83" s="5" t="s">
        <v>274</v>
      </c>
      <c r="E83" s="5" t="s">
        <v>275</v>
      </c>
      <c r="F83" s="5" t="s">
        <v>242</v>
      </c>
      <c r="G83" s="12">
        <v>98.4</v>
      </c>
      <c r="H83" s="8">
        <v>200</v>
      </c>
      <c r="I83" s="8">
        <v>17</v>
      </c>
      <c r="J83" s="8" t="str">
        <f>IF(ISNUMBER(SEARCH("-NEAT-",Sales_SKU!$B83)),"Neat",IF(ISNUMBER(SEARCH("-PWD-",Sales_SKU!$B83)),"powder",""))</f>
        <v>Neat</v>
      </c>
      <c r="K83" s="5" t="s">
        <v>243</v>
      </c>
      <c r="L83" s="11" t="s">
        <v>254</v>
      </c>
      <c r="M83" s="11" t="s">
        <v>221</v>
      </c>
      <c r="N83" s="5" t="s">
        <v>360</v>
      </c>
    </row>
    <row r="84" spans="1:14">
      <c r="A84" s="11" t="s">
        <v>361</v>
      </c>
      <c r="B84" s="11" t="s">
        <v>137</v>
      </c>
      <c r="C84" s="5" t="s">
        <v>230</v>
      </c>
      <c r="D84" s="5" t="s">
        <v>274</v>
      </c>
      <c r="E84" s="5" t="s">
        <v>275</v>
      </c>
      <c r="F84" s="5" t="s">
        <v>242</v>
      </c>
      <c r="G84" s="12">
        <v>98.4</v>
      </c>
      <c r="H84" s="8">
        <v>213</v>
      </c>
      <c r="I84" s="8">
        <v>13</v>
      </c>
      <c r="J84" s="8" t="str">
        <f>IF(ISNUMBER(SEARCH("-NEAT-",Sales_SKU!$B84)),"Neat",IF(ISNUMBER(SEARCH("-PWD-",Sales_SKU!$B84)),"powder",""))</f>
        <v>Neat</v>
      </c>
      <c r="K84" s="5" t="s">
        <v>243</v>
      </c>
      <c r="L84" s="11" t="s">
        <v>254</v>
      </c>
      <c r="M84" s="11" t="s">
        <v>224</v>
      </c>
      <c r="N84" s="5" t="s">
        <v>362</v>
      </c>
    </row>
    <row r="85" spans="1:14">
      <c r="A85" s="11" t="s">
        <v>363</v>
      </c>
      <c r="B85" s="11" t="s">
        <v>137</v>
      </c>
      <c r="C85" s="5" t="s">
        <v>230</v>
      </c>
      <c r="D85" s="5" t="s">
        <v>274</v>
      </c>
      <c r="E85" s="5" t="s">
        <v>275</v>
      </c>
      <c r="F85" s="5" t="s">
        <v>242</v>
      </c>
      <c r="G85" s="12">
        <v>98.4</v>
      </c>
      <c r="H85" s="8">
        <v>226</v>
      </c>
      <c r="I85" s="8">
        <v>12</v>
      </c>
      <c r="J85" s="8" t="str">
        <f>IF(ISNUMBER(SEARCH("-NEAT-",Sales_SKU!$B85)),"Neat",IF(ISNUMBER(SEARCH("-PWD-",Sales_SKU!$B85)),"powder",""))</f>
        <v>Neat</v>
      </c>
      <c r="K85" s="5" t="s">
        <v>243</v>
      </c>
      <c r="L85" s="11" t="s">
        <v>254</v>
      </c>
      <c r="M85" s="11" t="s">
        <v>227</v>
      </c>
      <c r="N85" s="5" t="s">
        <v>364</v>
      </c>
    </row>
    <row r="86" spans="1:14">
      <c r="A86" s="11" t="s">
        <v>365</v>
      </c>
      <c r="B86" s="11" t="s">
        <v>138</v>
      </c>
      <c r="C86" s="5" t="s">
        <v>230</v>
      </c>
      <c r="D86" s="5" t="s">
        <v>283</v>
      </c>
      <c r="E86" s="5" t="s">
        <v>284</v>
      </c>
      <c r="F86" s="5" t="s">
        <v>252</v>
      </c>
      <c r="G86" s="12">
        <v>98.3</v>
      </c>
      <c r="H86" s="8">
        <v>135</v>
      </c>
      <c r="I86" s="8">
        <v>10</v>
      </c>
      <c r="J86" s="8" t="str">
        <f>IF(ISNUMBER(SEARCH("-NEAT-",Sales_SKU!$B86)),"Neat",IF(ISNUMBER(SEARCH("-PWD-",Sales_SKU!$B86)),"powder",""))</f>
        <v>powder</v>
      </c>
      <c r="K86" s="5" t="s">
        <v>285</v>
      </c>
      <c r="L86" s="11" t="s">
        <v>220</v>
      </c>
      <c r="M86" s="11" t="s">
        <v>221</v>
      </c>
      <c r="N86" s="5" t="s">
        <v>366</v>
      </c>
    </row>
    <row r="87" spans="1:14">
      <c r="A87" s="11" t="s">
        <v>367</v>
      </c>
      <c r="B87" s="11" t="s">
        <v>138</v>
      </c>
      <c r="C87" s="5" t="s">
        <v>230</v>
      </c>
      <c r="D87" s="5" t="s">
        <v>283</v>
      </c>
      <c r="E87" s="5" t="s">
        <v>284</v>
      </c>
      <c r="F87" s="5" t="s">
        <v>252</v>
      </c>
      <c r="G87" s="12">
        <v>98.3</v>
      </c>
      <c r="H87" s="8">
        <v>148</v>
      </c>
      <c r="I87" s="8">
        <v>14</v>
      </c>
      <c r="J87" s="8" t="str">
        <f>IF(ISNUMBER(SEARCH("-NEAT-",Sales_SKU!$B87)),"Neat",IF(ISNUMBER(SEARCH("-PWD-",Sales_SKU!$B87)),"powder",""))</f>
        <v>powder</v>
      </c>
      <c r="K87" s="5" t="s">
        <v>285</v>
      </c>
      <c r="L87" s="11" t="s">
        <v>220</v>
      </c>
      <c r="M87" s="11" t="s">
        <v>224</v>
      </c>
      <c r="N87" s="5" t="s">
        <v>368</v>
      </c>
    </row>
    <row r="88" spans="1:14">
      <c r="A88" s="11" t="s">
        <v>369</v>
      </c>
      <c r="B88" s="11" t="s">
        <v>138</v>
      </c>
      <c r="C88" s="5" t="s">
        <v>230</v>
      </c>
      <c r="D88" s="5" t="s">
        <v>283</v>
      </c>
      <c r="E88" s="5" t="s">
        <v>284</v>
      </c>
      <c r="F88" s="5" t="s">
        <v>252</v>
      </c>
      <c r="G88" s="12">
        <v>98.3</v>
      </c>
      <c r="H88" s="8">
        <v>161</v>
      </c>
      <c r="I88" s="8">
        <v>9</v>
      </c>
      <c r="J88" s="8" t="str">
        <f>IF(ISNUMBER(SEARCH("-NEAT-",Sales_SKU!$B88)),"Neat",IF(ISNUMBER(SEARCH("-PWD-",Sales_SKU!$B88)),"powder",""))</f>
        <v>powder</v>
      </c>
      <c r="K88" s="5" t="s">
        <v>285</v>
      </c>
      <c r="L88" s="11" t="s">
        <v>220</v>
      </c>
      <c r="M88" s="11" t="s">
        <v>227</v>
      </c>
      <c r="N88" s="5" t="s">
        <v>370</v>
      </c>
    </row>
    <row r="89" spans="1:14">
      <c r="A89" s="11" t="s">
        <v>371</v>
      </c>
      <c r="B89" s="11" t="s">
        <v>139</v>
      </c>
      <c r="C89" s="5" t="s">
        <v>230</v>
      </c>
      <c r="D89" s="5" t="s">
        <v>292</v>
      </c>
      <c r="E89" s="5" t="s">
        <v>293</v>
      </c>
      <c r="F89" s="5" t="s">
        <v>232</v>
      </c>
      <c r="G89" s="12">
        <v>99.9</v>
      </c>
      <c r="H89" s="8">
        <v>59</v>
      </c>
      <c r="I89" s="8">
        <v>9</v>
      </c>
      <c r="J89" s="8" t="str">
        <f>IF(ISNUMBER(SEARCH("-NEAT-",Sales_SKU!$B89)),"Neat",IF(ISNUMBER(SEARCH("-PWD-",Sales_SKU!$B89)),"powder",""))</f>
        <v>powder</v>
      </c>
      <c r="K89" s="5" t="s">
        <v>285</v>
      </c>
      <c r="L89" s="11" t="s">
        <v>234</v>
      </c>
      <c r="M89" s="11" t="s">
        <v>221</v>
      </c>
      <c r="N89" s="5" t="s">
        <v>372</v>
      </c>
    </row>
    <row r="90" spans="1:14">
      <c r="A90" s="11" t="s">
        <v>373</v>
      </c>
      <c r="B90" s="11" t="s">
        <v>139</v>
      </c>
      <c r="C90" s="5" t="s">
        <v>230</v>
      </c>
      <c r="D90" s="5" t="s">
        <v>292</v>
      </c>
      <c r="E90" s="5" t="s">
        <v>293</v>
      </c>
      <c r="F90" s="5" t="s">
        <v>232</v>
      </c>
      <c r="G90" s="12">
        <v>99.9</v>
      </c>
      <c r="H90" s="8">
        <v>72</v>
      </c>
      <c r="I90" s="8">
        <v>10</v>
      </c>
      <c r="J90" s="8" t="str">
        <f>IF(ISNUMBER(SEARCH("-NEAT-",Sales_SKU!$B90)),"Neat",IF(ISNUMBER(SEARCH("-PWD-",Sales_SKU!$B90)),"powder",""))</f>
        <v>powder</v>
      </c>
      <c r="K90" s="5" t="s">
        <v>285</v>
      </c>
      <c r="L90" s="11" t="s">
        <v>234</v>
      </c>
      <c r="M90" s="11" t="s">
        <v>224</v>
      </c>
      <c r="N90" s="5" t="s">
        <v>374</v>
      </c>
    </row>
    <row r="91" spans="1:14">
      <c r="A91" s="11" t="s">
        <v>375</v>
      </c>
      <c r="B91" s="11" t="s">
        <v>139</v>
      </c>
      <c r="C91" s="5" t="s">
        <v>230</v>
      </c>
      <c r="D91" s="5" t="s">
        <v>292</v>
      </c>
      <c r="E91" s="5" t="s">
        <v>293</v>
      </c>
      <c r="F91" s="5" t="s">
        <v>232</v>
      </c>
      <c r="G91" s="12">
        <v>99.9</v>
      </c>
      <c r="H91" s="8">
        <v>85</v>
      </c>
      <c r="I91" s="8">
        <v>10</v>
      </c>
      <c r="J91" s="8" t="str">
        <f>IF(ISNUMBER(SEARCH("-NEAT-",Sales_SKU!$B91)),"Neat",IF(ISNUMBER(SEARCH("-PWD-",Sales_SKU!$B91)),"powder",""))</f>
        <v>powder</v>
      </c>
      <c r="K91" s="5" t="s">
        <v>285</v>
      </c>
      <c r="L91" s="11" t="s">
        <v>234</v>
      </c>
      <c r="M91" s="11" t="s">
        <v>227</v>
      </c>
      <c r="N91" s="5" t="s">
        <v>376</v>
      </c>
    </row>
    <row r="92" spans="1:14">
      <c r="A92" s="11" t="s">
        <v>377</v>
      </c>
      <c r="B92" s="11" t="s">
        <v>140</v>
      </c>
      <c r="C92" s="5" t="s">
        <v>230</v>
      </c>
      <c r="D92" s="5" t="s">
        <v>216</v>
      </c>
      <c r="E92" s="5" t="s">
        <v>217</v>
      </c>
      <c r="F92" s="5" t="s">
        <v>218</v>
      </c>
      <c r="G92" s="12">
        <v>98.8</v>
      </c>
      <c r="H92" s="8">
        <v>258</v>
      </c>
      <c r="I92" s="8">
        <v>23</v>
      </c>
      <c r="J92" s="8" t="str">
        <f>IF(ISNUMBER(SEARCH("-NEAT-",Sales_SKU!$B92)),"Neat",IF(ISNUMBER(SEARCH("-PWD-",Sales_SKU!$B92)),"powder",""))</f>
        <v>Neat</v>
      </c>
      <c r="K92" s="5" t="s">
        <v>243</v>
      </c>
      <c r="L92" s="11" t="s">
        <v>244</v>
      </c>
      <c r="M92" s="11" t="s">
        <v>221</v>
      </c>
      <c r="N92" s="5" t="s">
        <v>222</v>
      </c>
    </row>
    <row r="93" spans="1:14">
      <c r="A93" s="11" t="s">
        <v>378</v>
      </c>
      <c r="B93" s="11" t="s">
        <v>140</v>
      </c>
      <c r="C93" s="5" t="s">
        <v>230</v>
      </c>
      <c r="D93" s="5" t="s">
        <v>216</v>
      </c>
      <c r="E93" s="5" t="s">
        <v>217</v>
      </c>
      <c r="F93" s="5" t="s">
        <v>218</v>
      </c>
      <c r="G93" s="12">
        <v>98.8</v>
      </c>
      <c r="H93" s="8">
        <v>271</v>
      </c>
      <c r="I93" s="8">
        <v>16</v>
      </c>
      <c r="J93" s="8" t="str">
        <f>IF(ISNUMBER(SEARCH("-NEAT-",Sales_SKU!$B93)),"Neat",IF(ISNUMBER(SEARCH("-PWD-",Sales_SKU!$B93)),"powder",""))</f>
        <v>Neat</v>
      </c>
      <c r="K93" s="5" t="s">
        <v>243</v>
      </c>
      <c r="L93" s="11" t="s">
        <v>244</v>
      </c>
      <c r="M93" s="11" t="s">
        <v>224</v>
      </c>
      <c r="N93" s="5" t="s">
        <v>225</v>
      </c>
    </row>
    <row r="94" spans="1:14">
      <c r="A94" s="11" t="s">
        <v>379</v>
      </c>
      <c r="B94" s="11" t="s">
        <v>140</v>
      </c>
      <c r="C94" s="5" t="s">
        <v>230</v>
      </c>
      <c r="D94" s="5" t="s">
        <v>216</v>
      </c>
      <c r="E94" s="5" t="s">
        <v>217</v>
      </c>
      <c r="F94" s="5" t="s">
        <v>218</v>
      </c>
      <c r="G94" s="12">
        <v>98.8</v>
      </c>
      <c r="H94" s="8">
        <v>284</v>
      </c>
      <c r="I94" s="8">
        <v>18</v>
      </c>
      <c r="J94" s="8" t="str">
        <f>IF(ISNUMBER(SEARCH("-NEAT-",Sales_SKU!$B94)),"Neat",IF(ISNUMBER(SEARCH("-PWD-",Sales_SKU!$B94)),"powder",""))</f>
        <v>Neat</v>
      </c>
      <c r="K94" s="5" t="s">
        <v>243</v>
      </c>
      <c r="L94" s="11" t="s">
        <v>244</v>
      </c>
      <c r="M94" s="11" t="s">
        <v>227</v>
      </c>
      <c r="N94" s="5" t="s">
        <v>228</v>
      </c>
    </row>
    <row r="95" spans="1:14">
      <c r="A95" s="11" t="s">
        <v>380</v>
      </c>
      <c r="B95" s="11" t="s">
        <v>141</v>
      </c>
      <c r="C95" s="5" t="s">
        <v>215</v>
      </c>
      <c r="D95" s="5" t="s">
        <v>216</v>
      </c>
      <c r="E95" s="5" t="s">
        <v>231</v>
      </c>
      <c r="F95" s="5" t="s">
        <v>232</v>
      </c>
      <c r="G95" s="12">
        <v>99.9</v>
      </c>
      <c r="H95" s="8">
        <v>63</v>
      </c>
      <c r="I95" s="8">
        <v>6</v>
      </c>
      <c r="J95" s="8" t="str">
        <f>IF(ISNUMBER(SEARCH("-NEAT-",Sales_SKU!$B95)),"Neat",IF(ISNUMBER(SEARCH("-PWD-",Sales_SKU!$B95)),"powder",""))</f>
        <v>Neat</v>
      </c>
      <c r="K95" s="5" t="s">
        <v>243</v>
      </c>
      <c r="L95" s="11" t="s">
        <v>254</v>
      </c>
      <c r="M95" s="11" t="s">
        <v>221</v>
      </c>
      <c r="N95" s="5" t="s">
        <v>235</v>
      </c>
    </row>
    <row r="96" spans="1:14">
      <c r="A96" s="11" t="s">
        <v>381</v>
      </c>
      <c r="B96" s="11" t="s">
        <v>141</v>
      </c>
      <c r="C96" s="5" t="s">
        <v>215</v>
      </c>
      <c r="D96" s="5" t="s">
        <v>216</v>
      </c>
      <c r="E96" s="5" t="s">
        <v>231</v>
      </c>
      <c r="F96" s="5" t="s">
        <v>232</v>
      </c>
      <c r="G96" s="12">
        <v>99.9</v>
      </c>
      <c r="H96" s="8">
        <v>76</v>
      </c>
      <c r="I96" s="8">
        <v>7</v>
      </c>
      <c r="J96" s="8" t="str">
        <f>IF(ISNUMBER(SEARCH("-NEAT-",Sales_SKU!$B96)),"Neat",IF(ISNUMBER(SEARCH("-PWD-",Sales_SKU!$B96)),"powder",""))</f>
        <v>Neat</v>
      </c>
      <c r="K96" s="5" t="s">
        <v>243</v>
      </c>
      <c r="L96" s="11" t="s">
        <v>254</v>
      </c>
      <c r="M96" s="11" t="s">
        <v>224</v>
      </c>
      <c r="N96" s="5" t="s">
        <v>237</v>
      </c>
    </row>
    <row r="97" spans="1:14">
      <c r="A97" s="11" t="s">
        <v>382</v>
      </c>
      <c r="B97" s="11" t="s">
        <v>141</v>
      </c>
      <c r="C97" s="5" t="s">
        <v>215</v>
      </c>
      <c r="D97" s="5" t="s">
        <v>216</v>
      </c>
      <c r="E97" s="5" t="s">
        <v>231</v>
      </c>
      <c r="F97" s="5" t="s">
        <v>232</v>
      </c>
      <c r="G97" s="12">
        <v>99.9</v>
      </c>
      <c r="H97" s="8">
        <v>89</v>
      </c>
      <c r="I97" s="8">
        <v>7</v>
      </c>
      <c r="J97" s="8" t="str">
        <f>IF(ISNUMBER(SEARCH("-NEAT-",Sales_SKU!$B97)),"Neat",IF(ISNUMBER(SEARCH("-PWD-",Sales_SKU!$B97)),"powder",""))</f>
        <v>Neat</v>
      </c>
      <c r="K97" s="5" t="s">
        <v>243</v>
      </c>
      <c r="L97" s="11" t="s">
        <v>254</v>
      </c>
      <c r="M97" s="11" t="s">
        <v>227</v>
      </c>
      <c r="N97" s="5" t="s">
        <v>239</v>
      </c>
    </row>
    <row r="98" spans="1:14">
      <c r="A98" s="11" t="s">
        <v>383</v>
      </c>
      <c r="B98" s="11" t="s">
        <v>142</v>
      </c>
      <c r="C98" s="5" t="s">
        <v>215</v>
      </c>
      <c r="D98" s="5" t="s">
        <v>216</v>
      </c>
      <c r="E98" s="5" t="s">
        <v>241</v>
      </c>
      <c r="F98" s="5" t="s">
        <v>252</v>
      </c>
      <c r="G98" s="12">
        <v>98.1</v>
      </c>
      <c r="H98" s="8">
        <v>149</v>
      </c>
      <c r="I98" s="8">
        <v>8</v>
      </c>
      <c r="J98" s="8" t="str">
        <f>IF(ISNUMBER(SEARCH("-NEAT-",Sales_SKU!$B98)),"Neat",IF(ISNUMBER(SEARCH("-PWD-",Sales_SKU!$B98)),"powder",""))</f>
        <v>Neat</v>
      </c>
      <c r="K98" s="5" t="s">
        <v>243</v>
      </c>
      <c r="L98" s="11" t="s">
        <v>220</v>
      </c>
      <c r="M98" s="11" t="s">
        <v>221</v>
      </c>
      <c r="N98" s="5" t="s">
        <v>255</v>
      </c>
    </row>
    <row r="99" spans="1:14">
      <c r="A99" s="11" t="s">
        <v>384</v>
      </c>
      <c r="B99" s="11" t="s">
        <v>142</v>
      </c>
      <c r="C99" s="5" t="s">
        <v>215</v>
      </c>
      <c r="D99" s="5" t="s">
        <v>216</v>
      </c>
      <c r="E99" s="5" t="s">
        <v>241</v>
      </c>
      <c r="F99" s="5" t="s">
        <v>252</v>
      </c>
      <c r="G99" s="12">
        <v>98.1</v>
      </c>
      <c r="H99" s="8">
        <v>162</v>
      </c>
      <c r="I99" s="8">
        <v>8</v>
      </c>
      <c r="J99" s="8" t="str">
        <f>IF(ISNUMBER(SEARCH("-NEAT-",Sales_SKU!$B99)),"Neat",IF(ISNUMBER(SEARCH("-PWD-",Sales_SKU!$B99)),"powder",""))</f>
        <v>Neat</v>
      </c>
      <c r="K99" s="5" t="s">
        <v>243</v>
      </c>
      <c r="L99" s="11" t="s">
        <v>220</v>
      </c>
      <c r="M99" s="11" t="s">
        <v>224</v>
      </c>
      <c r="N99" s="5" t="s">
        <v>257</v>
      </c>
    </row>
    <row r="100" spans="1:14">
      <c r="A100" s="11" t="s">
        <v>385</v>
      </c>
      <c r="B100" s="11" t="s">
        <v>142</v>
      </c>
      <c r="C100" s="5" t="s">
        <v>215</v>
      </c>
      <c r="D100" s="5" t="s">
        <v>216</v>
      </c>
      <c r="E100" s="5" t="s">
        <v>241</v>
      </c>
      <c r="F100" s="5" t="s">
        <v>252</v>
      </c>
      <c r="G100" s="12">
        <v>98.1</v>
      </c>
      <c r="H100" s="8">
        <v>175</v>
      </c>
      <c r="I100" s="8">
        <v>12</v>
      </c>
      <c r="J100" s="8" t="str">
        <f>IF(ISNUMBER(SEARCH("-NEAT-",Sales_SKU!$B100)),"Neat",IF(ISNUMBER(SEARCH("-PWD-",Sales_SKU!$B100)),"powder",""))</f>
        <v>Neat</v>
      </c>
      <c r="K100" s="5" t="s">
        <v>243</v>
      </c>
      <c r="L100" s="11" t="s">
        <v>220</v>
      </c>
      <c r="M100" s="11" t="s">
        <v>227</v>
      </c>
      <c r="N100" s="5" t="s">
        <v>259</v>
      </c>
    </row>
    <row r="101" spans="1:14">
      <c r="A101" s="11" t="s">
        <v>386</v>
      </c>
      <c r="B101" s="11" t="s">
        <v>143</v>
      </c>
      <c r="C101" s="5" t="s">
        <v>215</v>
      </c>
      <c r="D101" s="5" t="s">
        <v>216</v>
      </c>
      <c r="E101" s="5" t="s">
        <v>251</v>
      </c>
      <c r="F101" s="5" t="s">
        <v>232</v>
      </c>
      <c r="G101" s="12">
        <v>98.7</v>
      </c>
      <c r="H101" s="8">
        <v>114</v>
      </c>
      <c r="I101" s="8">
        <v>9</v>
      </c>
      <c r="J101" s="8" t="str">
        <f>IF(ISNUMBER(SEARCH("-NEAT-",Sales_SKU!$B101)),"Neat",IF(ISNUMBER(SEARCH("-PWD-",Sales_SKU!$B101)),"powder",""))</f>
        <v>Neat</v>
      </c>
      <c r="K101" s="5" t="s">
        <v>243</v>
      </c>
      <c r="L101" s="11" t="s">
        <v>234</v>
      </c>
      <c r="M101" s="11" t="s">
        <v>221</v>
      </c>
      <c r="N101" s="5" t="s">
        <v>235</v>
      </c>
    </row>
    <row r="102" spans="1:14">
      <c r="A102" s="11" t="s">
        <v>387</v>
      </c>
      <c r="B102" s="11" t="s">
        <v>143</v>
      </c>
      <c r="C102" s="5" t="s">
        <v>215</v>
      </c>
      <c r="D102" s="5" t="s">
        <v>216</v>
      </c>
      <c r="E102" s="5" t="s">
        <v>251</v>
      </c>
      <c r="F102" s="5" t="s">
        <v>232</v>
      </c>
      <c r="G102" s="12">
        <v>98.7</v>
      </c>
      <c r="H102" s="8">
        <v>127</v>
      </c>
      <c r="I102" s="8">
        <v>10</v>
      </c>
      <c r="J102" s="8" t="str">
        <f>IF(ISNUMBER(SEARCH("-NEAT-",Sales_SKU!$B102)),"Neat",IF(ISNUMBER(SEARCH("-PWD-",Sales_SKU!$B102)),"powder",""))</f>
        <v>Neat</v>
      </c>
      <c r="K102" s="5" t="s">
        <v>243</v>
      </c>
      <c r="L102" s="11" t="s">
        <v>234</v>
      </c>
      <c r="M102" s="11" t="s">
        <v>224</v>
      </c>
      <c r="N102" s="5" t="s">
        <v>237</v>
      </c>
    </row>
    <row r="103" spans="1:14">
      <c r="A103" s="11" t="s">
        <v>388</v>
      </c>
      <c r="B103" s="11" t="s">
        <v>143</v>
      </c>
      <c r="C103" s="5" t="s">
        <v>215</v>
      </c>
      <c r="D103" s="5" t="s">
        <v>216</v>
      </c>
      <c r="E103" s="5" t="s">
        <v>251</v>
      </c>
      <c r="F103" s="5" t="s">
        <v>232</v>
      </c>
      <c r="G103" s="12">
        <v>98.7</v>
      </c>
      <c r="H103" s="8">
        <v>140</v>
      </c>
      <c r="I103" s="8">
        <v>10</v>
      </c>
      <c r="J103" s="8" t="str">
        <f>IF(ISNUMBER(SEARCH("-NEAT-",Sales_SKU!$B103)),"Neat",IF(ISNUMBER(SEARCH("-PWD-",Sales_SKU!$B103)),"powder",""))</f>
        <v>Neat</v>
      </c>
      <c r="K103" s="5" t="s">
        <v>243</v>
      </c>
      <c r="L103" s="11" t="s">
        <v>234</v>
      </c>
      <c r="M103" s="11" t="s">
        <v>227</v>
      </c>
      <c r="N103" s="5" t="s">
        <v>239</v>
      </c>
    </row>
    <row r="104" spans="1:14">
      <c r="A104" s="11" t="s">
        <v>389</v>
      </c>
      <c r="B104" s="11" t="s">
        <v>144</v>
      </c>
      <c r="C104" s="5" t="s">
        <v>215</v>
      </c>
      <c r="D104" s="5" t="s">
        <v>216</v>
      </c>
      <c r="E104" s="5" t="s">
        <v>261</v>
      </c>
      <c r="F104" s="5" t="s">
        <v>242</v>
      </c>
      <c r="G104" s="12">
        <v>98.7</v>
      </c>
      <c r="H104" s="8">
        <v>281</v>
      </c>
      <c r="I104" s="8">
        <v>22</v>
      </c>
      <c r="J104" s="8" t="str">
        <f>IF(ISNUMBER(SEARCH("-NEAT-",Sales_SKU!$B104)),"Neat",IF(ISNUMBER(SEARCH("-PWD-",Sales_SKU!$B104)),"powder",""))</f>
        <v>Neat</v>
      </c>
      <c r="K104" s="5" t="s">
        <v>253</v>
      </c>
      <c r="L104" s="11" t="s">
        <v>244</v>
      </c>
      <c r="M104" s="11" t="s">
        <v>221</v>
      </c>
      <c r="N104" s="5" t="s">
        <v>245</v>
      </c>
    </row>
    <row r="105" spans="1:14">
      <c r="A105" s="11" t="s">
        <v>390</v>
      </c>
      <c r="B105" s="11" t="s">
        <v>144</v>
      </c>
      <c r="C105" s="5" t="s">
        <v>215</v>
      </c>
      <c r="D105" s="5" t="s">
        <v>216</v>
      </c>
      <c r="E105" s="5" t="s">
        <v>261</v>
      </c>
      <c r="F105" s="5" t="s">
        <v>242</v>
      </c>
      <c r="G105" s="12">
        <v>98.7</v>
      </c>
      <c r="H105" s="8">
        <v>294</v>
      </c>
      <c r="I105" s="8">
        <v>18</v>
      </c>
      <c r="J105" s="8" t="str">
        <f>IF(ISNUMBER(SEARCH("-NEAT-",Sales_SKU!$B105)),"Neat",IF(ISNUMBER(SEARCH("-PWD-",Sales_SKU!$B105)),"powder",""))</f>
        <v>Neat</v>
      </c>
      <c r="K105" s="5" t="s">
        <v>253</v>
      </c>
      <c r="L105" s="11" t="s">
        <v>244</v>
      </c>
      <c r="M105" s="11" t="s">
        <v>224</v>
      </c>
      <c r="N105" s="5" t="s">
        <v>247</v>
      </c>
    </row>
    <row r="106" spans="1:14">
      <c r="A106" s="11" t="s">
        <v>391</v>
      </c>
      <c r="B106" s="11" t="s">
        <v>144</v>
      </c>
      <c r="C106" s="5" t="s">
        <v>215</v>
      </c>
      <c r="D106" s="5" t="s">
        <v>216</v>
      </c>
      <c r="E106" s="5" t="s">
        <v>261</v>
      </c>
      <c r="F106" s="5" t="s">
        <v>242</v>
      </c>
      <c r="G106" s="12">
        <v>98.7</v>
      </c>
      <c r="H106" s="8">
        <v>307</v>
      </c>
      <c r="I106" s="8">
        <v>17</v>
      </c>
      <c r="J106" s="8" t="str">
        <f>IF(ISNUMBER(SEARCH("-NEAT-",Sales_SKU!$B106)),"Neat",IF(ISNUMBER(SEARCH("-PWD-",Sales_SKU!$B106)),"powder",""))</f>
        <v>Neat</v>
      </c>
      <c r="K106" s="5" t="s">
        <v>253</v>
      </c>
      <c r="L106" s="11" t="s">
        <v>244</v>
      </c>
      <c r="M106" s="11" t="s">
        <v>227</v>
      </c>
      <c r="N106" s="5" t="s">
        <v>249</v>
      </c>
    </row>
    <row r="107" spans="1:14">
      <c r="A107" s="11" t="s">
        <v>392</v>
      </c>
      <c r="B107" s="11" t="s">
        <v>145</v>
      </c>
      <c r="C107" s="5" t="s">
        <v>215</v>
      </c>
      <c r="D107" s="5" t="s">
        <v>216</v>
      </c>
      <c r="E107" s="5" t="s">
        <v>266</v>
      </c>
      <c r="F107" s="5" t="s">
        <v>242</v>
      </c>
      <c r="G107" s="12">
        <v>98.8</v>
      </c>
      <c r="H107" s="8">
        <v>357</v>
      </c>
      <c r="I107" s="8">
        <v>19</v>
      </c>
      <c r="J107" s="8" t="str">
        <f>IF(ISNUMBER(SEARCH("-NEAT-",Sales_SKU!$B107)),"Neat",IF(ISNUMBER(SEARCH("-PWD-",Sales_SKU!$B107)),"powder",""))</f>
        <v>Neat</v>
      </c>
      <c r="K107" s="5" t="s">
        <v>253</v>
      </c>
      <c r="L107" s="11" t="s">
        <v>254</v>
      </c>
      <c r="M107" s="11" t="s">
        <v>221</v>
      </c>
      <c r="N107" s="5" t="s">
        <v>245</v>
      </c>
    </row>
    <row r="108" spans="1:14">
      <c r="A108" s="11" t="s">
        <v>393</v>
      </c>
      <c r="B108" s="11" t="s">
        <v>145</v>
      </c>
      <c r="C108" s="5" t="s">
        <v>215</v>
      </c>
      <c r="D108" s="5" t="s">
        <v>216</v>
      </c>
      <c r="E108" s="5" t="s">
        <v>266</v>
      </c>
      <c r="F108" s="5" t="s">
        <v>242</v>
      </c>
      <c r="G108" s="12">
        <v>98.8</v>
      </c>
      <c r="H108" s="8">
        <v>370</v>
      </c>
      <c r="I108" s="8">
        <v>18</v>
      </c>
      <c r="J108" s="8" t="str">
        <f>IF(ISNUMBER(SEARCH("-NEAT-",Sales_SKU!$B108)),"Neat",IF(ISNUMBER(SEARCH("-PWD-",Sales_SKU!$B108)),"powder",""))</f>
        <v>Neat</v>
      </c>
      <c r="K108" s="5" t="s">
        <v>253</v>
      </c>
      <c r="L108" s="11" t="s">
        <v>254</v>
      </c>
      <c r="M108" s="11" t="s">
        <v>224</v>
      </c>
      <c r="N108" s="5" t="s">
        <v>247</v>
      </c>
    </row>
    <row r="109" spans="1:14">
      <c r="A109" s="11" t="s">
        <v>394</v>
      </c>
      <c r="B109" s="11" t="s">
        <v>145</v>
      </c>
      <c r="C109" s="5" t="s">
        <v>215</v>
      </c>
      <c r="D109" s="5" t="s">
        <v>216</v>
      </c>
      <c r="E109" s="5" t="s">
        <v>266</v>
      </c>
      <c r="F109" s="5" t="s">
        <v>242</v>
      </c>
      <c r="G109" s="12">
        <v>98.8</v>
      </c>
      <c r="H109" s="8">
        <v>383</v>
      </c>
      <c r="I109" s="8">
        <v>14</v>
      </c>
      <c r="J109" s="8" t="str">
        <f>IF(ISNUMBER(SEARCH("-NEAT-",Sales_SKU!$B109)),"Neat",IF(ISNUMBER(SEARCH("-PWD-",Sales_SKU!$B109)),"powder",""))</f>
        <v>Neat</v>
      </c>
      <c r="K109" s="5" t="s">
        <v>253</v>
      </c>
      <c r="L109" s="11" t="s">
        <v>254</v>
      </c>
      <c r="M109" s="11" t="s">
        <v>227</v>
      </c>
      <c r="N109" s="5" t="s">
        <v>249</v>
      </c>
    </row>
    <row r="110" spans="1:14">
      <c r="A110" s="11" t="s">
        <v>395</v>
      </c>
      <c r="B110" s="11" t="s">
        <v>146</v>
      </c>
      <c r="C110" s="5" t="s">
        <v>215</v>
      </c>
      <c r="D110" s="5" t="s">
        <v>216</v>
      </c>
      <c r="E110" s="5" t="s">
        <v>270</v>
      </c>
      <c r="F110" s="5" t="s">
        <v>218</v>
      </c>
      <c r="G110" s="12">
        <v>98.6</v>
      </c>
      <c r="H110" s="8">
        <v>263</v>
      </c>
      <c r="I110" s="8">
        <v>25</v>
      </c>
      <c r="J110" s="8" t="str">
        <f>IF(ISNUMBER(SEARCH("-NEAT-",Sales_SKU!$B110)),"Neat",IF(ISNUMBER(SEARCH("-PWD-",Sales_SKU!$B110)),"powder",""))</f>
        <v>Neat</v>
      </c>
      <c r="K110" s="5" t="s">
        <v>219</v>
      </c>
      <c r="L110" s="11" t="s">
        <v>220</v>
      </c>
      <c r="M110" s="11" t="s">
        <v>221</v>
      </c>
      <c r="N110" s="5" t="s">
        <v>222</v>
      </c>
    </row>
    <row r="111" spans="1:14">
      <c r="A111" s="11" t="s">
        <v>396</v>
      </c>
      <c r="B111" s="11" t="s">
        <v>146</v>
      </c>
      <c r="C111" s="5" t="s">
        <v>215</v>
      </c>
      <c r="D111" s="5" t="s">
        <v>216</v>
      </c>
      <c r="E111" s="5" t="s">
        <v>270</v>
      </c>
      <c r="F111" s="5" t="s">
        <v>218</v>
      </c>
      <c r="G111" s="12">
        <v>98.6</v>
      </c>
      <c r="H111" s="8">
        <v>276</v>
      </c>
      <c r="I111" s="8">
        <v>18</v>
      </c>
      <c r="J111" s="8" t="str">
        <f>IF(ISNUMBER(SEARCH("-NEAT-",Sales_SKU!$B111)),"Neat",IF(ISNUMBER(SEARCH("-PWD-",Sales_SKU!$B111)),"powder",""))</f>
        <v>Neat</v>
      </c>
      <c r="K111" s="5" t="s">
        <v>219</v>
      </c>
      <c r="L111" s="11" t="s">
        <v>220</v>
      </c>
      <c r="M111" s="11" t="s">
        <v>224</v>
      </c>
      <c r="N111" s="5" t="s">
        <v>225</v>
      </c>
    </row>
    <row r="112" spans="1:14">
      <c r="A112" s="11" t="s">
        <v>397</v>
      </c>
      <c r="B112" s="11" t="s">
        <v>146</v>
      </c>
      <c r="C112" s="5" t="s">
        <v>215</v>
      </c>
      <c r="D112" s="5" t="s">
        <v>216</v>
      </c>
      <c r="E112" s="5" t="s">
        <v>270</v>
      </c>
      <c r="F112" s="5" t="s">
        <v>218</v>
      </c>
      <c r="G112" s="12">
        <v>98.6</v>
      </c>
      <c r="H112" s="8">
        <v>289</v>
      </c>
      <c r="I112" s="8">
        <v>20</v>
      </c>
      <c r="J112" s="8" t="str">
        <f>IF(ISNUMBER(SEARCH("-NEAT-",Sales_SKU!$B112)),"Neat",IF(ISNUMBER(SEARCH("-PWD-",Sales_SKU!$B112)),"powder",""))</f>
        <v>Neat</v>
      </c>
      <c r="K112" s="5" t="s">
        <v>219</v>
      </c>
      <c r="L112" s="11" t="s">
        <v>220</v>
      </c>
      <c r="M112" s="11" t="s">
        <v>227</v>
      </c>
      <c r="N112" s="5" t="s">
        <v>228</v>
      </c>
    </row>
    <row r="113" spans="1:14">
      <c r="A113" s="11" t="s">
        <v>398</v>
      </c>
      <c r="B113" s="11" t="s">
        <v>147</v>
      </c>
      <c r="C113" s="5" t="s">
        <v>215</v>
      </c>
      <c r="D113" s="5" t="s">
        <v>274</v>
      </c>
      <c r="E113" s="5" t="s">
        <v>275</v>
      </c>
      <c r="F113" s="5" t="s">
        <v>252</v>
      </c>
      <c r="G113" s="12">
        <v>98.7</v>
      </c>
      <c r="H113" s="8">
        <v>239</v>
      </c>
      <c r="I113" s="8">
        <v>12</v>
      </c>
      <c r="J113" s="8" t="str">
        <f>IF(ISNUMBER(SEARCH("-NEAT-",Sales_SKU!$B113)),"Neat",IF(ISNUMBER(SEARCH("-PWD-",Sales_SKU!$B113)),"powder",""))</f>
        <v>Neat</v>
      </c>
      <c r="K113" s="5" t="s">
        <v>243</v>
      </c>
      <c r="L113" s="11" t="s">
        <v>234</v>
      </c>
      <c r="M113" s="11" t="s">
        <v>221</v>
      </c>
      <c r="N113" s="5" t="s">
        <v>399</v>
      </c>
    </row>
    <row r="114" spans="1:14">
      <c r="A114" s="11" t="s">
        <v>400</v>
      </c>
      <c r="B114" s="11" t="s">
        <v>147</v>
      </c>
      <c r="C114" s="5" t="s">
        <v>215</v>
      </c>
      <c r="D114" s="5" t="s">
        <v>274</v>
      </c>
      <c r="E114" s="5" t="s">
        <v>275</v>
      </c>
      <c r="F114" s="5" t="s">
        <v>252</v>
      </c>
      <c r="G114" s="12">
        <v>98.7</v>
      </c>
      <c r="H114" s="8">
        <v>252</v>
      </c>
      <c r="I114" s="8">
        <v>16</v>
      </c>
      <c r="J114" s="8" t="str">
        <f>IF(ISNUMBER(SEARCH("-NEAT-",Sales_SKU!$B114)),"Neat",IF(ISNUMBER(SEARCH("-PWD-",Sales_SKU!$B114)),"powder",""))</f>
        <v>Neat</v>
      </c>
      <c r="K114" s="5" t="s">
        <v>243</v>
      </c>
      <c r="L114" s="11" t="s">
        <v>234</v>
      </c>
      <c r="M114" s="11" t="s">
        <v>224</v>
      </c>
      <c r="N114" s="5" t="s">
        <v>401</v>
      </c>
    </row>
    <row r="115" spans="1:14">
      <c r="A115" s="11" t="s">
        <v>402</v>
      </c>
      <c r="B115" s="11" t="s">
        <v>147</v>
      </c>
      <c r="C115" s="5" t="s">
        <v>215</v>
      </c>
      <c r="D115" s="5" t="s">
        <v>274</v>
      </c>
      <c r="E115" s="5" t="s">
        <v>275</v>
      </c>
      <c r="F115" s="5" t="s">
        <v>252</v>
      </c>
      <c r="G115" s="12">
        <v>98.7</v>
      </c>
      <c r="H115" s="8">
        <v>265</v>
      </c>
      <c r="I115" s="8">
        <v>11</v>
      </c>
      <c r="J115" s="8" t="str">
        <f>IF(ISNUMBER(SEARCH("-NEAT-",Sales_SKU!$B115)),"Neat",IF(ISNUMBER(SEARCH("-PWD-",Sales_SKU!$B115)),"powder",""))</f>
        <v>Neat</v>
      </c>
      <c r="K115" s="5" t="s">
        <v>243</v>
      </c>
      <c r="L115" s="11" t="s">
        <v>234</v>
      </c>
      <c r="M115" s="11" t="s">
        <v>227</v>
      </c>
      <c r="N115" s="5" t="s">
        <v>403</v>
      </c>
    </row>
    <row r="116" spans="1:14">
      <c r="A116" s="11" t="s">
        <v>404</v>
      </c>
      <c r="B116" s="11" t="s">
        <v>148</v>
      </c>
      <c r="C116" s="5" t="s">
        <v>215</v>
      </c>
      <c r="D116" s="5" t="s">
        <v>283</v>
      </c>
      <c r="E116" s="5" t="s">
        <v>284</v>
      </c>
      <c r="F116" s="5" t="s">
        <v>252</v>
      </c>
      <c r="G116" s="12">
        <v>98.7</v>
      </c>
      <c r="H116" s="8">
        <v>154</v>
      </c>
      <c r="I116" s="8">
        <v>8</v>
      </c>
      <c r="J116" s="8" t="str">
        <f>IF(ISNUMBER(SEARCH("-NEAT-",Sales_SKU!$B116)),"Neat",IF(ISNUMBER(SEARCH("-PWD-",Sales_SKU!$B116)),"powder",""))</f>
        <v>powder</v>
      </c>
      <c r="K116" s="5" t="s">
        <v>285</v>
      </c>
      <c r="L116" s="11" t="s">
        <v>244</v>
      </c>
      <c r="M116" s="11" t="s">
        <v>221</v>
      </c>
      <c r="N116" s="5" t="s">
        <v>366</v>
      </c>
    </row>
    <row r="117" spans="1:14">
      <c r="A117" s="11" t="s">
        <v>405</v>
      </c>
      <c r="B117" s="11" t="s">
        <v>148</v>
      </c>
      <c r="C117" s="5" t="s">
        <v>215</v>
      </c>
      <c r="D117" s="5" t="s">
        <v>283</v>
      </c>
      <c r="E117" s="5" t="s">
        <v>284</v>
      </c>
      <c r="F117" s="5" t="s">
        <v>252</v>
      </c>
      <c r="G117" s="12">
        <v>98.7</v>
      </c>
      <c r="H117" s="8">
        <v>167</v>
      </c>
      <c r="I117" s="8">
        <v>8</v>
      </c>
      <c r="J117" s="8" t="str">
        <f>IF(ISNUMBER(SEARCH("-NEAT-",Sales_SKU!$B117)),"Neat",IF(ISNUMBER(SEARCH("-PWD-",Sales_SKU!$B117)),"powder",""))</f>
        <v>powder</v>
      </c>
      <c r="K117" s="5" t="s">
        <v>285</v>
      </c>
      <c r="L117" s="11" t="s">
        <v>244</v>
      </c>
      <c r="M117" s="11" t="s">
        <v>224</v>
      </c>
      <c r="N117" s="5" t="s">
        <v>368</v>
      </c>
    </row>
    <row r="118" spans="1:14">
      <c r="A118" s="11" t="s">
        <v>406</v>
      </c>
      <c r="B118" s="11" t="s">
        <v>148</v>
      </c>
      <c r="C118" s="5" t="s">
        <v>215</v>
      </c>
      <c r="D118" s="5" t="s">
        <v>283</v>
      </c>
      <c r="E118" s="5" t="s">
        <v>284</v>
      </c>
      <c r="F118" s="5" t="s">
        <v>252</v>
      </c>
      <c r="G118" s="12">
        <v>98.7</v>
      </c>
      <c r="H118" s="8">
        <v>180</v>
      </c>
      <c r="I118" s="8">
        <v>12</v>
      </c>
      <c r="J118" s="8" t="str">
        <f>IF(ISNUMBER(SEARCH("-NEAT-",Sales_SKU!$B118)),"Neat",IF(ISNUMBER(SEARCH("-PWD-",Sales_SKU!$B118)),"powder",""))</f>
        <v>powder</v>
      </c>
      <c r="K118" s="5" t="s">
        <v>285</v>
      </c>
      <c r="L118" s="11" t="s">
        <v>244</v>
      </c>
      <c r="M118" s="11" t="s">
        <v>227</v>
      </c>
      <c r="N118" s="5" t="s">
        <v>370</v>
      </c>
    </row>
    <row r="119" spans="1:14">
      <c r="A119" s="11" t="s">
        <v>407</v>
      </c>
      <c r="B119" s="11" t="s">
        <v>149</v>
      </c>
      <c r="C119" s="5" t="s">
        <v>215</v>
      </c>
      <c r="D119" s="5" t="s">
        <v>292</v>
      </c>
      <c r="E119" s="5" t="s">
        <v>293</v>
      </c>
      <c r="F119" s="5" t="s">
        <v>218</v>
      </c>
      <c r="G119" s="12">
        <v>98.7</v>
      </c>
      <c r="H119" s="8">
        <v>491</v>
      </c>
      <c r="I119" s="8">
        <v>16</v>
      </c>
      <c r="J119" s="8" t="str">
        <f>IF(ISNUMBER(SEARCH("-NEAT-",Sales_SKU!$B119)),"Neat",IF(ISNUMBER(SEARCH("-PWD-",Sales_SKU!$B119)),"powder",""))</f>
        <v>powder</v>
      </c>
      <c r="K119" s="5" t="s">
        <v>285</v>
      </c>
      <c r="L119" s="11" t="s">
        <v>254</v>
      </c>
      <c r="M119" s="11" t="s">
        <v>221</v>
      </c>
      <c r="N119" s="5" t="s">
        <v>294</v>
      </c>
    </row>
    <row r="120" spans="1:14">
      <c r="A120" s="11" t="s">
        <v>408</v>
      </c>
      <c r="B120" s="11" t="s">
        <v>149</v>
      </c>
      <c r="C120" s="5" t="s">
        <v>215</v>
      </c>
      <c r="D120" s="5" t="s">
        <v>292</v>
      </c>
      <c r="E120" s="5" t="s">
        <v>293</v>
      </c>
      <c r="F120" s="5" t="s">
        <v>218</v>
      </c>
      <c r="G120" s="12">
        <v>98.7</v>
      </c>
      <c r="H120" s="8">
        <v>223</v>
      </c>
      <c r="I120" s="8">
        <v>18</v>
      </c>
      <c r="J120" s="8" t="str">
        <f>IF(ISNUMBER(SEARCH("-NEAT-",Sales_SKU!$B120)),"Neat",IF(ISNUMBER(SEARCH("-PWD-",Sales_SKU!$B120)),"powder",""))</f>
        <v>powder</v>
      </c>
      <c r="K120" s="5" t="s">
        <v>285</v>
      </c>
      <c r="L120" s="11" t="s">
        <v>254</v>
      </c>
      <c r="M120" s="11" t="s">
        <v>224</v>
      </c>
      <c r="N120" s="5" t="s">
        <v>296</v>
      </c>
    </row>
    <row r="121" spans="1:14">
      <c r="A121" s="11" t="s">
        <v>409</v>
      </c>
      <c r="B121" s="11" t="s">
        <v>149</v>
      </c>
      <c r="C121" s="5" t="s">
        <v>215</v>
      </c>
      <c r="D121" s="5" t="s">
        <v>292</v>
      </c>
      <c r="E121" s="5" t="s">
        <v>293</v>
      </c>
      <c r="F121" s="5" t="s">
        <v>218</v>
      </c>
      <c r="G121" s="12">
        <v>98.7</v>
      </c>
      <c r="H121" s="8">
        <v>236</v>
      </c>
      <c r="I121" s="8">
        <v>20</v>
      </c>
      <c r="J121" s="8" t="str">
        <f>IF(ISNUMBER(SEARCH("-NEAT-",Sales_SKU!$B121)),"Neat",IF(ISNUMBER(SEARCH("-PWD-",Sales_SKU!$B121)),"powder",""))</f>
        <v>powder</v>
      </c>
      <c r="K121" s="5" t="s">
        <v>285</v>
      </c>
      <c r="L121" s="11" t="s">
        <v>254</v>
      </c>
      <c r="M121" s="11" t="s">
        <v>227</v>
      </c>
      <c r="N121" s="5" t="s">
        <v>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B9B5-38B7-7B43-9B3C-8B68B1AC4138}">
  <sheetPr codeName="Sheet3">
    <tabColor rgb="FF002060"/>
  </sheetPr>
  <dimension ref="A1:L29"/>
  <sheetViews>
    <sheetView topLeftCell="A16" workbookViewId="0">
      <selection activeCell="C33" sqref="C33"/>
    </sheetView>
  </sheetViews>
  <sheetFormatPr defaultColWidth="11.5546875" defaultRowHeight="15.95"/>
  <cols>
    <col min="1" max="1" width="24.109375" bestFit="1" customWidth="1"/>
    <col min="2" max="2" width="22.109375" bestFit="1" customWidth="1"/>
    <col min="3" max="3" width="29" bestFit="1" customWidth="1"/>
    <col min="4" max="4" width="17.33203125" bestFit="1" customWidth="1"/>
    <col min="5" max="5" width="10" bestFit="1" customWidth="1"/>
    <col min="6" max="6" width="17" bestFit="1" customWidth="1"/>
    <col min="7" max="7" width="19.44140625" bestFit="1" customWidth="1"/>
    <col min="8" max="8" width="19.33203125" bestFit="1" customWidth="1"/>
    <col min="9" max="9" width="14" bestFit="1" customWidth="1"/>
    <col min="10" max="10" width="32.6640625" bestFit="1" customWidth="1"/>
    <col min="11" max="11" width="29" bestFit="1" customWidth="1"/>
    <col min="12" max="12" width="46.109375" bestFit="1" customWidth="1"/>
  </cols>
  <sheetData>
    <row r="1" spans="1:12">
      <c r="A1" s="22" t="s">
        <v>410</v>
      </c>
      <c r="B1" s="23" t="s">
        <v>411</v>
      </c>
      <c r="C1" s="24" t="s">
        <v>412</v>
      </c>
      <c r="D1" s="24" t="s">
        <v>413</v>
      </c>
      <c r="E1" s="24" t="s">
        <v>414</v>
      </c>
      <c r="F1" s="24" t="s">
        <v>415</v>
      </c>
      <c r="G1" s="24" t="s">
        <v>416</v>
      </c>
      <c r="H1" s="24" t="s">
        <v>417</v>
      </c>
      <c r="I1" s="24" t="s">
        <v>418</v>
      </c>
      <c r="J1" s="24" t="s">
        <v>419</v>
      </c>
      <c r="K1" s="24" t="s">
        <v>420</v>
      </c>
      <c r="L1" s="24" t="s">
        <v>421</v>
      </c>
    </row>
    <row r="2" spans="1:12">
      <c r="A2" s="11" t="s">
        <v>422</v>
      </c>
      <c r="B2" s="11" t="s">
        <v>150</v>
      </c>
      <c r="C2" s="5" t="s">
        <v>423</v>
      </c>
      <c r="D2" s="5" t="s">
        <v>424</v>
      </c>
      <c r="E2" s="5" t="s">
        <v>425</v>
      </c>
      <c r="F2" s="5" t="s">
        <v>426</v>
      </c>
      <c r="G2" s="7" t="s">
        <v>427</v>
      </c>
      <c r="H2" s="8">
        <v>7</v>
      </c>
      <c r="I2" s="5" t="s">
        <v>428</v>
      </c>
      <c r="J2" s="5" t="s">
        <v>429</v>
      </c>
      <c r="K2" s="5" t="s">
        <v>430</v>
      </c>
      <c r="L2" s="5" t="s">
        <v>431</v>
      </c>
    </row>
    <row r="3" spans="1:12">
      <c r="A3" s="11" t="s">
        <v>432</v>
      </c>
      <c r="B3" s="11" t="s">
        <v>152</v>
      </c>
      <c r="C3" s="5" t="s">
        <v>433</v>
      </c>
      <c r="D3" s="5" t="s">
        <v>424</v>
      </c>
      <c r="E3" s="5" t="s">
        <v>425</v>
      </c>
      <c r="F3" s="5" t="s">
        <v>426</v>
      </c>
      <c r="G3" s="7" t="s">
        <v>427</v>
      </c>
      <c r="H3" s="8">
        <v>10</v>
      </c>
      <c r="I3" s="5" t="s">
        <v>428</v>
      </c>
      <c r="J3" s="5" t="s">
        <v>429</v>
      </c>
      <c r="K3" s="5" t="s">
        <v>430</v>
      </c>
      <c r="L3" s="5" t="s">
        <v>434</v>
      </c>
    </row>
    <row r="4" spans="1:12">
      <c r="A4" s="11" t="s">
        <v>435</v>
      </c>
      <c r="B4" s="11" t="s">
        <v>155</v>
      </c>
      <c r="C4" s="5" t="s">
        <v>436</v>
      </c>
      <c r="D4" s="5" t="s">
        <v>424</v>
      </c>
      <c r="E4" s="5" t="s">
        <v>425</v>
      </c>
      <c r="F4" s="5" t="s">
        <v>426</v>
      </c>
      <c r="G4" s="7" t="s">
        <v>427</v>
      </c>
      <c r="H4" s="8">
        <v>14</v>
      </c>
      <c r="I4" s="5" t="s">
        <v>437</v>
      </c>
      <c r="J4" s="5" t="s">
        <v>216</v>
      </c>
      <c r="K4" s="5" t="s">
        <v>227</v>
      </c>
      <c r="L4" s="5" t="s">
        <v>438</v>
      </c>
    </row>
    <row r="5" spans="1:12">
      <c r="A5" s="11" t="s">
        <v>439</v>
      </c>
      <c r="B5" s="11" t="s">
        <v>157</v>
      </c>
      <c r="C5" s="5" t="s">
        <v>440</v>
      </c>
      <c r="D5" s="5" t="s">
        <v>424</v>
      </c>
      <c r="E5" s="5" t="s">
        <v>425</v>
      </c>
      <c r="F5" s="5" t="s">
        <v>426</v>
      </c>
      <c r="G5" s="7" t="s">
        <v>427</v>
      </c>
      <c r="H5" s="8">
        <v>12</v>
      </c>
      <c r="I5" s="5" t="s">
        <v>437</v>
      </c>
      <c r="J5" s="5" t="s">
        <v>216</v>
      </c>
      <c r="K5" s="5" t="s">
        <v>430</v>
      </c>
      <c r="L5" s="5" t="s">
        <v>441</v>
      </c>
    </row>
    <row r="6" spans="1:12">
      <c r="A6" s="11" t="s">
        <v>442</v>
      </c>
      <c r="B6" s="11" t="s">
        <v>158</v>
      </c>
      <c r="C6" s="5" t="s">
        <v>443</v>
      </c>
      <c r="D6" s="5" t="s">
        <v>424</v>
      </c>
      <c r="E6" s="5" t="s">
        <v>444</v>
      </c>
      <c r="F6" s="5" t="s">
        <v>445</v>
      </c>
      <c r="G6" s="7" t="s">
        <v>427</v>
      </c>
      <c r="H6" s="8">
        <v>28</v>
      </c>
      <c r="I6" s="5" t="s">
        <v>428</v>
      </c>
      <c r="J6" s="5" t="s">
        <v>216</v>
      </c>
      <c r="K6" s="5" t="s">
        <v>224</v>
      </c>
      <c r="L6" s="5" t="s">
        <v>446</v>
      </c>
    </row>
    <row r="7" spans="1:12">
      <c r="A7" s="11" t="s">
        <v>447</v>
      </c>
      <c r="B7" s="11" t="s">
        <v>160</v>
      </c>
      <c r="C7" s="5" t="s">
        <v>448</v>
      </c>
      <c r="D7" s="5" t="s">
        <v>424</v>
      </c>
      <c r="E7" s="5" t="s">
        <v>444</v>
      </c>
      <c r="F7" s="5" t="s">
        <v>445</v>
      </c>
      <c r="G7" s="7" t="s">
        <v>427</v>
      </c>
      <c r="H7" s="8">
        <v>30</v>
      </c>
      <c r="I7" s="5" t="s">
        <v>428</v>
      </c>
      <c r="J7" s="5" t="s">
        <v>283</v>
      </c>
      <c r="K7" s="5" t="s">
        <v>430</v>
      </c>
      <c r="L7" s="5" t="s">
        <v>449</v>
      </c>
    </row>
    <row r="8" spans="1:12">
      <c r="A8" s="11" t="s">
        <v>450</v>
      </c>
      <c r="B8" s="11" t="s">
        <v>163</v>
      </c>
      <c r="C8" s="5" t="s">
        <v>451</v>
      </c>
      <c r="D8" s="5" t="s">
        <v>424</v>
      </c>
      <c r="E8" s="5" t="s">
        <v>444</v>
      </c>
      <c r="F8" s="5" t="s">
        <v>452</v>
      </c>
      <c r="G8" s="7" t="s">
        <v>427</v>
      </c>
      <c r="H8" s="8">
        <v>35</v>
      </c>
      <c r="I8" s="5" t="s">
        <v>428</v>
      </c>
      <c r="J8" s="5" t="s">
        <v>283</v>
      </c>
      <c r="K8" s="5" t="s">
        <v>227</v>
      </c>
      <c r="L8" s="5" t="s">
        <v>453</v>
      </c>
    </row>
    <row r="9" spans="1:12">
      <c r="A9" s="11" t="s">
        <v>454</v>
      </c>
      <c r="B9" s="11" t="s">
        <v>165</v>
      </c>
      <c r="C9" s="5" t="s">
        <v>455</v>
      </c>
      <c r="D9" s="5" t="s">
        <v>424</v>
      </c>
      <c r="E9" s="5" t="s">
        <v>444</v>
      </c>
      <c r="F9" s="5" t="s">
        <v>445</v>
      </c>
      <c r="G9" s="7" t="s">
        <v>427</v>
      </c>
      <c r="H9" s="8">
        <v>32</v>
      </c>
      <c r="I9" s="5" t="s">
        <v>437</v>
      </c>
      <c r="J9" s="5" t="s">
        <v>283</v>
      </c>
      <c r="K9" s="5" t="s">
        <v>224</v>
      </c>
      <c r="L9" s="5" t="s">
        <v>456</v>
      </c>
    </row>
    <row r="10" spans="1:12">
      <c r="A10" s="11" t="s">
        <v>457</v>
      </c>
      <c r="B10" s="11" t="s">
        <v>167</v>
      </c>
      <c r="C10" s="5" t="s">
        <v>458</v>
      </c>
      <c r="D10" s="5" t="s">
        <v>424</v>
      </c>
      <c r="E10" s="5" t="s">
        <v>444</v>
      </c>
      <c r="F10" s="5" t="s">
        <v>445</v>
      </c>
      <c r="G10" s="7" t="s">
        <v>459</v>
      </c>
      <c r="H10" s="8">
        <v>21</v>
      </c>
      <c r="I10" s="5" t="s">
        <v>428</v>
      </c>
      <c r="J10" s="5" t="s">
        <v>460</v>
      </c>
      <c r="K10" s="5" t="s">
        <v>430</v>
      </c>
      <c r="L10" s="5" t="s">
        <v>461</v>
      </c>
    </row>
    <row r="11" spans="1:12">
      <c r="A11" s="11" t="s">
        <v>462</v>
      </c>
      <c r="B11" s="11" t="s">
        <v>169</v>
      </c>
      <c r="C11" s="5" t="s">
        <v>463</v>
      </c>
      <c r="D11" s="5" t="s">
        <v>464</v>
      </c>
      <c r="E11" s="5" t="s">
        <v>444</v>
      </c>
      <c r="F11" s="5" t="s">
        <v>465</v>
      </c>
      <c r="G11" s="7" t="s">
        <v>466</v>
      </c>
      <c r="H11" s="8">
        <v>0</v>
      </c>
      <c r="I11" s="5" t="s">
        <v>428</v>
      </c>
      <c r="J11" s="5" t="s">
        <v>460</v>
      </c>
      <c r="K11" s="5" t="s">
        <v>430</v>
      </c>
      <c r="L11" s="5" t="s">
        <v>467</v>
      </c>
    </row>
    <row r="12" spans="1:12">
      <c r="A12" s="11" t="s">
        <v>468</v>
      </c>
      <c r="B12" s="11" t="s">
        <v>172</v>
      </c>
      <c r="C12" s="5" t="s">
        <v>469</v>
      </c>
      <c r="D12" s="5" t="s">
        <v>464</v>
      </c>
      <c r="E12" s="5" t="s">
        <v>444</v>
      </c>
      <c r="F12" s="5" t="s">
        <v>445</v>
      </c>
      <c r="G12" s="7" t="s">
        <v>427</v>
      </c>
      <c r="H12" s="8">
        <v>3</v>
      </c>
      <c r="I12" s="5" t="s">
        <v>437</v>
      </c>
      <c r="J12" s="5" t="s">
        <v>274</v>
      </c>
      <c r="K12" s="5" t="s">
        <v>430</v>
      </c>
      <c r="L12" s="5" t="s">
        <v>470</v>
      </c>
    </row>
    <row r="13" spans="1:12">
      <c r="A13" s="11" t="s">
        <v>471</v>
      </c>
      <c r="B13" s="11" t="s">
        <v>174</v>
      </c>
      <c r="C13" s="5" t="s">
        <v>472</v>
      </c>
      <c r="D13" s="5" t="s">
        <v>464</v>
      </c>
      <c r="E13" s="5" t="s">
        <v>444</v>
      </c>
      <c r="F13" s="5" t="s">
        <v>452</v>
      </c>
      <c r="G13" s="7" t="s">
        <v>427</v>
      </c>
      <c r="H13" s="8">
        <v>2</v>
      </c>
      <c r="I13" s="5" t="s">
        <v>437</v>
      </c>
      <c r="J13" s="5" t="s">
        <v>283</v>
      </c>
      <c r="K13" s="5" t="s">
        <v>430</v>
      </c>
      <c r="L13" s="5" t="s">
        <v>473</v>
      </c>
    </row>
    <row r="14" spans="1:12">
      <c r="A14" s="11" t="s">
        <v>474</v>
      </c>
      <c r="B14" s="11" t="s">
        <v>175</v>
      </c>
      <c r="C14" s="5" t="s">
        <v>475</v>
      </c>
      <c r="D14" s="5" t="s">
        <v>464</v>
      </c>
      <c r="E14" s="5" t="s">
        <v>444</v>
      </c>
      <c r="F14" s="5" t="s">
        <v>445</v>
      </c>
      <c r="G14" s="7" t="s">
        <v>427</v>
      </c>
      <c r="H14" s="8">
        <v>18</v>
      </c>
      <c r="I14" s="5" t="s">
        <v>428</v>
      </c>
      <c r="J14" s="5" t="s">
        <v>292</v>
      </c>
      <c r="K14" s="5" t="s">
        <v>224</v>
      </c>
      <c r="L14" s="5" t="s">
        <v>476</v>
      </c>
    </row>
    <row r="15" spans="1:12">
      <c r="A15" s="11" t="s">
        <v>477</v>
      </c>
      <c r="B15" s="11" t="s">
        <v>176</v>
      </c>
      <c r="C15" s="5" t="s">
        <v>478</v>
      </c>
      <c r="D15" s="5" t="s">
        <v>424</v>
      </c>
      <c r="E15" s="5" t="s">
        <v>444</v>
      </c>
      <c r="F15" s="5" t="s">
        <v>426</v>
      </c>
      <c r="G15" s="7" t="s">
        <v>427</v>
      </c>
      <c r="H15" s="8">
        <v>5</v>
      </c>
      <c r="I15" s="5" t="s">
        <v>428</v>
      </c>
      <c r="J15" s="5" t="s">
        <v>429</v>
      </c>
      <c r="K15" s="5" t="s">
        <v>430</v>
      </c>
      <c r="L15" s="5" t="s">
        <v>479</v>
      </c>
    </row>
    <row r="16" spans="1:12">
      <c r="A16" s="11" t="s">
        <v>480</v>
      </c>
      <c r="B16" s="11" t="s">
        <v>178</v>
      </c>
      <c r="C16" s="5" t="s">
        <v>481</v>
      </c>
      <c r="D16" s="5" t="s">
        <v>424</v>
      </c>
      <c r="E16" s="5" t="s">
        <v>444</v>
      </c>
      <c r="F16" s="5" t="s">
        <v>426</v>
      </c>
      <c r="G16" s="7" t="s">
        <v>427</v>
      </c>
      <c r="H16" s="8">
        <v>6</v>
      </c>
      <c r="I16" s="5" t="s">
        <v>437</v>
      </c>
      <c r="J16" s="5" t="s">
        <v>482</v>
      </c>
      <c r="K16" s="5" t="s">
        <v>430</v>
      </c>
      <c r="L16" s="5" t="s">
        <v>483</v>
      </c>
    </row>
    <row r="17" spans="1:12">
      <c r="A17" s="11" t="s">
        <v>484</v>
      </c>
      <c r="B17" s="11" t="s">
        <v>180</v>
      </c>
      <c r="C17" s="5" t="s">
        <v>485</v>
      </c>
      <c r="D17" s="5" t="s">
        <v>424</v>
      </c>
      <c r="E17" s="5" t="s">
        <v>444</v>
      </c>
      <c r="F17" s="5" t="s">
        <v>452</v>
      </c>
      <c r="G17" s="7" t="s">
        <v>427</v>
      </c>
      <c r="H17" s="8">
        <v>8</v>
      </c>
      <c r="I17" s="5" t="s">
        <v>437</v>
      </c>
      <c r="J17" s="5" t="s">
        <v>486</v>
      </c>
      <c r="K17" s="5" t="s">
        <v>430</v>
      </c>
      <c r="L17" s="5" t="s">
        <v>487</v>
      </c>
    </row>
    <row r="18" spans="1:12">
      <c r="A18" s="11" t="s">
        <v>488</v>
      </c>
      <c r="B18" s="11" t="s">
        <v>182</v>
      </c>
      <c r="C18" s="5" t="s">
        <v>489</v>
      </c>
      <c r="D18" s="5" t="s">
        <v>424</v>
      </c>
      <c r="E18" s="5" t="s">
        <v>444</v>
      </c>
      <c r="F18" s="5" t="s">
        <v>445</v>
      </c>
      <c r="G18" s="7" t="s">
        <v>427</v>
      </c>
      <c r="H18" s="8">
        <v>25</v>
      </c>
      <c r="I18" s="5" t="s">
        <v>437</v>
      </c>
      <c r="J18" s="5" t="s">
        <v>292</v>
      </c>
      <c r="K18" s="5" t="s">
        <v>227</v>
      </c>
      <c r="L18" s="5" t="s">
        <v>490</v>
      </c>
    </row>
    <row r="19" spans="1:12">
      <c r="A19" s="11" t="s">
        <v>491</v>
      </c>
      <c r="B19" s="11" t="s">
        <v>184</v>
      </c>
      <c r="C19" s="5" t="s">
        <v>492</v>
      </c>
      <c r="D19" s="5" t="s">
        <v>424</v>
      </c>
      <c r="E19" s="5" t="s">
        <v>444</v>
      </c>
      <c r="F19" s="5" t="s">
        <v>426</v>
      </c>
      <c r="G19" s="7" t="s">
        <v>427</v>
      </c>
      <c r="H19" s="8">
        <v>15</v>
      </c>
      <c r="I19" s="5" t="s">
        <v>493</v>
      </c>
      <c r="J19" s="5" t="s">
        <v>482</v>
      </c>
      <c r="K19" s="5" t="s">
        <v>430</v>
      </c>
      <c r="L19" s="5" t="s">
        <v>494</v>
      </c>
    </row>
    <row r="20" spans="1:12">
      <c r="A20" s="11" t="s">
        <v>495</v>
      </c>
      <c r="B20" s="11" t="s">
        <v>186</v>
      </c>
      <c r="C20" s="5" t="s">
        <v>496</v>
      </c>
      <c r="D20" s="5" t="s">
        <v>424</v>
      </c>
      <c r="E20" s="5" t="s">
        <v>425</v>
      </c>
      <c r="F20" s="5" t="s">
        <v>426</v>
      </c>
      <c r="G20" s="7" t="s">
        <v>427</v>
      </c>
      <c r="H20" s="8">
        <v>9</v>
      </c>
      <c r="I20" s="5" t="s">
        <v>437</v>
      </c>
      <c r="J20" s="5" t="s">
        <v>429</v>
      </c>
      <c r="K20" s="5" t="s">
        <v>497</v>
      </c>
      <c r="L20" s="5" t="s">
        <v>498</v>
      </c>
    </row>
    <row r="21" spans="1:12">
      <c r="A21" s="11" t="s">
        <v>499</v>
      </c>
      <c r="B21" s="11" t="s">
        <v>188</v>
      </c>
      <c r="C21" s="5" t="s">
        <v>500</v>
      </c>
      <c r="D21" s="5" t="s">
        <v>424</v>
      </c>
      <c r="E21" s="5" t="s">
        <v>444</v>
      </c>
      <c r="F21" s="5" t="s">
        <v>445</v>
      </c>
      <c r="G21" s="7" t="s">
        <v>427</v>
      </c>
      <c r="H21" s="8">
        <v>45</v>
      </c>
      <c r="I21" s="5" t="s">
        <v>428</v>
      </c>
      <c r="J21" s="5" t="s">
        <v>501</v>
      </c>
      <c r="K21" s="5" t="s">
        <v>224</v>
      </c>
      <c r="L21" s="5" t="s">
        <v>502</v>
      </c>
    </row>
    <row r="22" spans="1:12">
      <c r="A22" s="11" t="s">
        <v>503</v>
      </c>
      <c r="B22" s="11" t="s">
        <v>190</v>
      </c>
      <c r="C22" s="5" t="s">
        <v>504</v>
      </c>
      <c r="D22" s="5" t="s">
        <v>424</v>
      </c>
      <c r="E22" s="5" t="s">
        <v>444</v>
      </c>
      <c r="F22" s="5" t="s">
        <v>452</v>
      </c>
      <c r="G22" s="7" t="s">
        <v>427</v>
      </c>
      <c r="H22" s="8">
        <v>40</v>
      </c>
      <c r="I22" s="5" t="s">
        <v>437</v>
      </c>
      <c r="J22" s="5" t="s">
        <v>292</v>
      </c>
      <c r="K22" s="5" t="s">
        <v>227</v>
      </c>
      <c r="L22" s="5" t="s">
        <v>505</v>
      </c>
    </row>
    <row r="23" spans="1:12">
      <c r="A23" s="11" t="s">
        <v>506</v>
      </c>
      <c r="B23" s="11" t="s">
        <v>193</v>
      </c>
      <c r="C23" s="5" t="s">
        <v>507</v>
      </c>
      <c r="D23" s="5" t="s">
        <v>508</v>
      </c>
      <c r="E23" s="5" t="s">
        <v>509</v>
      </c>
      <c r="F23" s="5" t="s">
        <v>445</v>
      </c>
      <c r="G23" s="7" t="s">
        <v>427</v>
      </c>
      <c r="H23" s="8">
        <v>12</v>
      </c>
      <c r="I23" s="5" t="s">
        <v>428</v>
      </c>
      <c r="J23" s="5" t="s">
        <v>486</v>
      </c>
      <c r="K23" s="5" t="s">
        <v>430</v>
      </c>
      <c r="L23" s="5" t="s">
        <v>510</v>
      </c>
    </row>
    <row r="24" spans="1:12">
      <c r="A24" s="11" t="s">
        <v>511</v>
      </c>
      <c r="B24" s="11" t="s">
        <v>194</v>
      </c>
      <c r="C24" s="5" t="s">
        <v>512</v>
      </c>
      <c r="D24" s="5" t="s">
        <v>508</v>
      </c>
      <c r="E24" s="5" t="s">
        <v>509</v>
      </c>
      <c r="F24" s="5" t="s">
        <v>445</v>
      </c>
      <c r="G24" s="7" t="s">
        <v>427</v>
      </c>
      <c r="H24" s="8">
        <v>20</v>
      </c>
      <c r="I24" s="5" t="s">
        <v>428</v>
      </c>
      <c r="J24" s="5" t="s">
        <v>429</v>
      </c>
      <c r="K24" s="5" t="s">
        <v>430</v>
      </c>
      <c r="L24" s="5" t="s">
        <v>513</v>
      </c>
    </row>
    <row r="25" spans="1:12">
      <c r="A25" s="11" t="s">
        <v>514</v>
      </c>
      <c r="B25" s="11" t="s">
        <v>195</v>
      </c>
      <c r="C25" s="5" t="s">
        <v>515</v>
      </c>
      <c r="D25" s="5" t="s">
        <v>508</v>
      </c>
      <c r="E25" s="5" t="s">
        <v>509</v>
      </c>
      <c r="F25" s="5" t="s">
        <v>452</v>
      </c>
      <c r="G25" s="7" t="s">
        <v>427</v>
      </c>
      <c r="H25" s="8">
        <v>18</v>
      </c>
      <c r="I25" s="5" t="s">
        <v>437</v>
      </c>
      <c r="J25" s="5" t="s">
        <v>482</v>
      </c>
      <c r="K25" s="5" t="s">
        <v>430</v>
      </c>
      <c r="L25" s="5" t="s">
        <v>516</v>
      </c>
    </row>
    <row r="26" spans="1:12">
      <c r="A26" s="11" t="s">
        <v>517</v>
      </c>
      <c r="B26" s="11" t="s">
        <v>196</v>
      </c>
      <c r="C26" s="5" t="s">
        <v>518</v>
      </c>
      <c r="D26" s="5" t="s">
        <v>508</v>
      </c>
      <c r="E26" s="5" t="s">
        <v>509</v>
      </c>
      <c r="F26" s="5" t="s">
        <v>452</v>
      </c>
      <c r="G26" s="7" t="s">
        <v>427</v>
      </c>
      <c r="H26" s="8">
        <v>30</v>
      </c>
      <c r="I26" s="5" t="s">
        <v>493</v>
      </c>
      <c r="J26" s="5" t="s">
        <v>216</v>
      </c>
      <c r="K26" s="5" t="s">
        <v>227</v>
      </c>
      <c r="L26" s="5" t="s">
        <v>519</v>
      </c>
    </row>
    <row r="27" spans="1:12">
      <c r="A27" s="11" t="s">
        <v>520</v>
      </c>
      <c r="B27" s="11" t="s">
        <v>197</v>
      </c>
      <c r="C27" s="5" t="s">
        <v>521</v>
      </c>
      <c r="D27" s="5" t="s">
        <v>508</v>
      </c>
      <c r="E27" s="5" t="s">
        <v>509</v>
      </c>
      <c r="F27" s="5" t="s">
        <v>452</v>
      </c>
      <c r="G27" s="7" t="s">
        <v>427</v>
      </c>
      <c r="H27" s="8">
        <v>14</v>
      </c>
      <c r="I27" s="5" t="s">
        <v>493</v>
      </c>
      <c r="J27" s="5" t="s">
        <v>486</v>
      </c>
      <c r="K27" s="5" t="s">
        <v>430</v>
      </c>
      <c r="L27" s="5" t="s">
        <v>522</v>
      </c>
    </row>
    <row r="28" spans="1:12">
      <c r="A28" s="11" t="s">
        <v>523</v>
      </c>
      <c r="B28" s="11" t="s">
        <v>198</v>
      </c>
      <c r="C28" s="5" t="s">
        <v>524</v>
      </c>
      <c r="D28" s="5" t="s">
        <v>464</v>
      </c>
      <c r="E28" s="5" t="s">
        <v>444</v>
      </c>
      <c r="F28" s="5" t="s">
        <v>445</v>
      </c>
      <c r="G28" s="7" t="s">
        <v>427</v>
      </c>
      <c r="H28" s="8">
        <v>1</v>
      </c>
      <c r="I28" s="5" t="s">
        <v>437</v>
      </c>
      <c r="J28" s="5" t="s">
        <v>216</v>
      </c>
      <c r="K28" s="5" t="s">
        <v>430</v>
      </c>
      <c r="L28" s="5" t="s">
        <v>525</v>
      </c>
    </row>
    <row r="29" spans="1:12">
      <c r="A29" s="11" t="s">
        <v>526</v>
      </c>
      <c r="B29" s="11" t="s">
        <v>199</v>
      </c>
      <c r="C29" s="5" t="s">
        <v>527</v>
      </c>
      <c r="D29" s="5" t="s">
        <v>464</v>
      </c>
      <c r="E29" s="5" t="s">
        <v>444</v>
      </c>
      <c r="F29" s="5" t="s">
        <v>445</v>
      </c>
      <c r="G29" s="7" t="s">
        <v>427</v>
      </c>
      <c r="H29" s="8">
        <v>4</v>
      </c>
      <c r="I29" s="5" t="s">
        <v>437</v>
      </c>
      <c r="J29" s="5" t="s">
        <v>216</v>
      </c>
      <c r="K29" s="5" t="s">
        <v>430</v>
      </c>
      <c r="L29" s="5" t="s">
        <v>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0B9B-0BB6-514D-A9E2-5A66669D356C}">
  <sheetPr codeName="Sheet4">
    <tabColor rgb="FF002060"/>
  </sheetPr>
  <dimension ref="A1:E7"/>
  <sheetViews>
    <sheetView workbookViewId="0">
      <selection sqref="A1:E1"/>
    </sheetView>
  </sheetViews>
  <sheetFormatPr defaultColWidth="11.5546875" defaultRowHeight="15.95"/>
  <cols>
    <col min="1" max="1" width="27.109375" bestFit="1" customWidth="1"/>
    <col min="2" max="2" width="18.33203125" bestFit="1" customWidth="1"/>
    <col min="3" max="4" width="11" bestFit="1" customWidth="1"/>
    <col min="5" max="5" width="66.77734375" bestFit="1" customWidth="1"/>
  </cols>
  <sheetData>
    <row r="1" spans="1:5">
      <c r="A1" s="22" t="s">
        <v>529</v>
      </c>
      <c r="B1" s="24" t="s">
        <v>530</v>
      </c>
      <c r="C1" s="24" t="s">
        <v>531</v>
      </c>
      <c r="D1" s="24" t="s">
        <v>532</v>
      </c>
      <c r="E1" s="24" t="s">
        <v>421</v>
      </c>
    </row>
    <row r="2" spans="1:5">
      <c r="A2" s="11" t="s">
        <v>430</v>
      </c>
      <c r="B2" s="5" t="s">
        <v>533</v>
      </c>
      <c r="C2" s="5" t="s">
        <v>534</v>
      </c>
      <c r="D2" s="16" t="b">
        <v>1</v>
      </c>
      <c r="E2" s="5" t="s">
        <v>535</v>
      </c>
    </row>
    <row r="3" spans="1:5">
      <c r="A3" s="11" t="s">
        <v>224</v>
      </c>
      <c r="B3" s="5" t="s">
        <v>536</v>
      </c>
      <c r="C3" s="5" t="s">
        <v>537</v>
      </c>
      <c r="D3" s="16" t="b">
        <v>1</v>
      </c>
      <c r="E3" s="5" t="s">
        <v>538</v>
      </c>
    </row>
    <row r="4" spans="1:5">
      <c r="A4" s="11" t="s">
        <v>539</v>
      </c>
      <c r="B4" s="5" t="s">
        <v>540</v>
      </c>
      <c r="C4" s="5" t="s">
        <v>541</v>
      </c>
      <c r="D4" s="16" t="b">
        <v>1</v>
      </c>
      <c r="E4" s="5" t="s">
        <v>542</v>
      </c>
    </row>
    <row r="5" spans="1:5">
      <c r="A5" s="11" t="s">
        <v>227</v>
      </c>
      <c r="B5" s="5" t="s">
        <v>543</v>
      </c>
      <c r="C5" s="5" t="s">
        <v>541</v>
      </c>
      <c r="D5" s="16" t="b">
        <v>1</v>
      </c>
      <c r="E5" s="5" t="s">
        <v>544</v>
      </c>
    </row>
    <row r="6" spans="1:5">
      <c r="A6" s="11" t="s">
        <v>497</v>
      </c>
      <c r="B6" s="5" t="s">
        <v>545</v>
      </c>
      <c r="C6" s="5" t="s">
        <v>541</v>
      </c>
      <c r="D6" s="16" t="b">
        <v>1</v>
      </c>
      <c r="E6" s="5" t="s">
        <v>546</v>
      </c>
    </row>
    <row r="7" spans="1:5">
      <c r="A7" s="11" t="s">
        <v>547</v>
      </c>
      <c r="B7" s="5" t="s">
        <v>548</v>
      </c>
      <c r="C7" s="5" t="s">
        <v>541</v>
      </c>
      <c r="D7" s="16" t="b">
        <v>1</v>
      </c>
      <c r="E7" s="5" t="s">
        <v>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3FD8-B51A-BC4A-87DD-02546DDD474A}">
  <sheetPr codeName="Sheet5">
    <tabColor rgb="FF002060"/>
  </sheetPr>
  <dimension ref="A1:G53"/>
  <sheetViews>
    <sheetView topLeftCell="A33" workbookViewId="0">
      <selection activeCell="E10" sqref="E10"/>
    </sheetView>
  </sheetViews>
  <sheetFormatPr defaultColWidth="11.5546875" defaultRowHeight="15.95"/>
  <cols>
    <col min="1" max="1" width="26" bestFit="1" customWidth="1"/>
    <col min="2" max="2" width="18.44140625" bestFit="1" customWidth="1"/>
    <col min="3" max="3" width="11" bestFit="1" customWidth="1"/>
    <col min="5" max="5" width="16.109375" bestFit="1" customWidth="1"/>
    <col min="6" max="6" width="8.44140625" bestFit="1" customWidth="1"/>
    <col min="7" max="7" width="33" bestFit="1" customWidth="1"/>
  </cols>
  <sheetData>
    <row r="1" spans="1:7">
      <c r="A1" s="20" t="s">
        <v>550</v>
      </c>
      <c r="B1" s="25" t="s">
        <v>551</v>
      </c>
      <c r="C1" s="25" t="s">
        <v>531</v>
      </c>
      <c r="D1" s="25" t="s">
        <v>22</v>
      </c>
      <c r="E1" s="26" t="s">
        <v>552</v>
      </c>
      <c r="F1" s="25" t="s">
        <v>532</v>
      </c>
      <c r="G1" s="25" t="s">
        <v>421</v>
      </c>
    </row>
    <row r="2" spans="1:7">
      <c r="A2" s="11" t="s">
        <v>242</v>
      </c>
      <c r="B2" s="5" t="s">
        <v>553</v>
      </c>
      <c r="C2" s="5" t="s">
        <v>534</v>
      </c>
      <c r="D2" s="5" t="s">
        <v>221</v>
      </c>
      <c r="E2" s="11" t="s">
        <v>430</v>
      </c>
      <c r="F2" s="5" t="b">
        <v>1</v>
      </c>
      <c r="G2" s="5" t="s">
        <v>554</v>
      </c>
    </row>
    <row r="3" spans="1:7">
      <c r="A3" s="11" t="s">
        <v>555</v>
      </c>
      <c r="B3" s="5" t="s">
        <v>556</v>
      </c>
      <c r="C3" s="5" t="s">
        <v>534</v>
      </c>
      <c r="D3" s="5" t="s">
        <v>557</v>
      </c>
      <c r="E3" s="11" t="s">
        <v>224</v>
      </c>
      <c r="F3" s="5" t="b">
        <v>1</v>
      </c>
      <c r="G3" s="5" t="s">
        <v>558</v>
      </c>
    </row>
    <row r="4" spans="1:7">
      <c r="A4" s="11" t="s">
        <v>559</v>
      </c>
      <c r="B4" s="5" t="s">
        <v>560</v>
      </c>
      <c r="C4" s="5" t="s">
        <v>534</v>
      </c>
      <c r="D4" s="5" t="s">
        <v>561</v>
      </c>
      <c r="E4" s="11" t="s">
        <v>224</v>
      </c>
      <c r="F4" s="5" t="b">
        <v>1</v>
      </c>
      <c r="G4" s="5" t="s">
        <v>562</v>
      </c>
    </row>
    <row r="5" spans="1:7">
      <c r="A5" s="11" t="s">
        <v>563</v>
      </c>
      <c r="B5" s="5" t="s">
        <v>564</v>
      </c>
      <c r="C5" s="5" t="s">
        <v>534</v>
      </c>
      <c r="D5" s="5" t="s">
        <v>565</v>
      </c>
      <c r="E5" s="11" t="s">
        <v>224</v>
      </c>
      <c r="F5" s="5" t="b">
        <v>1</v>
      </c>
      <c r="G5" s="5" t="s">
        <v>566</v>
      </c>
    </row>
    <row r="6" spans="1:7">
      <c r="A6" s="11" t="s">
        <v>567</v>
      </c>
      <c r="B6" s="5" t="s">
        <v>568</v>
      </c>
      <c r="C6" s="5" t="s">
        <v>534</v>
      </c>
      <c r="D6" s="5" t="s">
        <v>569</v>
      </c>
      <c r="E6" s="11" t="s">
        <v>224</v>
      </c>
      <c r="F6" s="5" t="b">
        <v>1</v>
      </c>
      <c r="G6" s="5" t="s">
        <v>570</v>
      </c>
    </row>
    <row r="7" spans="1:7">
      <c r="A7" s="11" t="s">
        <v>571</v>
      </c>
      <c r="B7" s="5" t="s">
        <v>572</v>
      </c>
      <c r="C7" s="5" t="s">
        <v>534</v>
      </c>
      <c r="D7" s="5" t="s">
        <v>573</v>
      </c>
      <c r="E7" s="11" t="s">
        <v>224</v>
      </c>
      <c r="F7" s="5" t="b">
        <v>1</v>
      </c>
      <c r="G7" s="5" t="s">
        <v>574</v>
      </c>
    </row>
    <row r="8" spans="1:7">
      <c r="A8" s="11" t="s">
        <v>575</v>
      </c>
      <c r="B8" s="5" t="s">
        <v>576</v>
      </c>
      <c r="C8" s="5" t="s">
        <v>534</v>
      </c>
      <c r="D8" s="5" t="s">
        <v>577</v>
      </c>
      <c r="E8" s="11" t="s">
        <v>224</v>
      </c>
      <c r="F8" s="5" t="b">
        <v>1</v>
      </c>
      <c r="G8" s="5" t="s">
        <v>578</v>
      </c>
    </row>
    <row r="9" spans="1:7">
      <c r="A9" s="11" t="s">
        <v>579</v>
      </c>
      <c r="B9" s="5" t="s">
        <v>580</v>
      </c>
      <c r="C9" s="5" t="s">
        <v>534</v>
      </c>
      <c r="D9" s="5" t="s">
        <v>581</v>
      </c>
      <c r="E9" s="11" t="s">
        <v>224</v>
      </c>
      <c r="F9" s="5" t="b">
        <v>1</v>
      </c>
      <c r="G9" s="5" t="s">
        <v>582</v>
      </c>
    </row>
    <row r="10" spans="1:7">
      <c r="A10" s="11" t="s">
        <v>583</v>
      </c>
      <c r="B10" s="5" t="s">
        <v>584</v>
      </c>
      <c r="C10" s="5" t="s">
        <v>534</v>
      </c>
      <c r="D10" s="5" t="s">
        <v>585</v>
      </c>
      <c r="E10" s="11" t="s">
        <v>224</v>
      </c>
      <c r="F10" s="5" t="b">
        <v>1</v>
      </c>
      <c r="G10" s="5" t="s">
        <v>586</v>
      </c>
    </row>
    <row r="11" spans="1:7">
      <c r="A11" s="11" t="s">
        <v>587</v>
      </c>
      <c r="B11" s="5" t="s">
        <v>588</v>
      </c>
      <c r="C11" s="5" t="s">
        <v>534</v>
      </c>
      <c r="D11" s="5" t="s">
        <v>589</v>
      </c>
      <c r="E11" s="11" t="s">
        <v>224</v>
      </c>
      <c r="F11" s="5" t="b">
        <v>1</v>
      </c>
      <c r="G11" s="5" t="s">
        <v>586</v>
      </c>
    </row>
    <row r="12" spans="1:7">
      <c r="A12" s="11" t="s">
        <v>590</v>
      </c>
      <c r="B12" s="5" t="s">
        <v>591</v>
      </c>
      <c r="C12" s="5" t="s">
        <v>534</v>
      </c>
      <c r="D12" s="5" t="s">
        <v>592</v>
      </c>
      <c r="E12" s="11" t="s">
        <v>224</v>
      </c>
      <c r="F12" s="5" t="b">
        <v>1</v>
      </c>
      <c r="G12" s="5" t="s">
        <v>593</v>
      </c>
    </row>
    <row r="13" spans="1:7">
      <c r="A13" s="11" t="s">
        <v>594</v>
      </c>
      <c r="B13" s="5" t="s">
        <v>595</v>
      </c>
      <c r="C13" s="5" t="s">
        <v>534</v>
      </c>
      <c r="D13" s="5" t="s">
        <v>596</v>
      </c>
      <c r="E13" s="11" t="s">
        <v>224</v>
      </c>
      <c r="F13" s="5" t="b">
        <v>1</v>
      </c>
      <c r="G13" s="5" t="s">
        <v>597</v>
      </c>
    </row>
    <row r="14" spans="1:7">
      <c r="A14" s="11" t="s">
        <v>598</v>
      </c>
      <c r="B14" s="5" t="s">
        <v>599</v>
      </c>
      <c r="C14" s="5" t="s">
        <v>534</v>
      </c>
      <c r="D14" s="5" t="s">
        <v>600</v>
      </c>
      <c r="E14" s="11" t="s">
        <v>224</v>
      </c>
      <c r="F14" s="5" t="b">
        <v>1</v>
      </c>
      <c r="G14" s="5" t="s">
        <v>601</v>
      </c>
    </row>
    <row r="15" spans="1:7">
      <c r="A15" s="11" t="s">
        <v>602</v>
      </c>
      <c r="B15" s="5" t="s">
        <v>603</v>
      </c>
      <c r="C15" s="5" t="s">
        <v>534</v>
      </c>
      <c r="D15" s="5" t="s">
        <v>604</v>
      </c>
      <c r="E15" s="11" t="s">
        <v>224</v>
      </c>
      <c r="F15" s="5" t="b">
        <v>1</v>
      </c>
      <c r="G15" s="5" t="s">
        <v>605</v>
      </c>
    </row>
    <row r="16" spans="1:7">
      <c r="A16" s="11" t="s">
        <v>606</v>
      </c>
      <c r="B16" s="5" t="s">
        <v>607</v>
      </c>
      <c r="C16" s="5" t="s">
        <v>534</v>
      </c>
      <c r="D16" s="5" t="s">
        <v>608</v>
      </c>
      <c r="E16" s="11" t="s">
        <v>224</v>
      </c>
      <c r="F16" s="5" t="b">
        <v>1</v>
      </c>
      <c r="G16" s="5" t="s">
        <v>609</v>
      </c>
    </row>
    <row r="17" spans="1:7">
      <c r="A17" s="11" t="s">
        <v>610</v>
      </c>
      <c r="B17" s="5" t="s">
        <v>611</v>
      </c>
      <c r="C17" s="5" t="s">
        <v>534</v>
      </c>
      <c r="D17" s="5" t="s">
        <v>612</v>
      </c>
      <c r="E17" s="11" t="s">
        <v>224</v>
      </c>
      <c r="F17" s="5" t="b">
        <v>1</v>
      </c>
      <c r="G17" s="5" t="s">
        <v>613</v>
      </c>
    </row>
    <row r="18" spans="1:7">
      <c r="A18" s="11" t="s">
        <v>614</v>
      </c>
      <c r="B18" s="5" t="s">
        <v>615</v>
      </c>
      <c r="C18" s="5" t="s">
        <v>534</v>
      </c>
      <c r="D18" s="5" t="s">
        <v>616</v>
      </c>
      <c r="E18" s="11" t="s">
        <v>224</v>
      </c>
      <c r="F18" s="5" t="b">
        <v>1</v>
      </c>
      <c r="G18" s="5" t="s">
        <v>617</v>
      </c>
    </row>
    <row r="19" spans="1:7">
      <c r="A19" s="11" t="s">
        <v>618</v>
      </c>
      <c r="B19" s="5" t="s">
        <v>619</v>
      </c>
      <c r="C19" s="5" t="s">
        <v>534</v>
      </c>
      <c r="D19" s="5" t="s">
        <v>620</v>
      </c>
      <c r="E19" s="11" t="s">
        <v>224</v>
      </c>
      <c r="F19" s="5" t="b">
        <v>1</v>
      </c>
      <c r="G19" s="5" t="s">
        <v>621</v>
      </c>
    </row>
    <row r="20" spans="1:7">
      <c r="A20" s="11" t="s">
        <v>622</v>
      </c>
      <c r="B20" s="5" t="s">
        <v>623</v>
      </c>
      <c r="C20" s="5" t="s">
        <v>534</v>
      </c>
      <c r="D20" s="5" t="s">
        <v>624</v>
      </c>
      <c r="E20" s="11" t="s">
        <v>224</v>
      </c>
      <c r="F20" s="5" t="b">
        <v>1</v>
      </c>
      <c r="G20" s="5" t="s">
        <v>625</v>
      </c>
    </row>
    <row r="21" spans="1:7">
      <c r="A21" s="11" t="s">
        <v>626</v>
      </c>
      <c r="B21" s="5" t="s">
        <v>627</v>
      </c>
      <c r="C21" s="5" t="s">
        <v>534</v>
      </c>
      <c r="D21" s="5" t="s">
        <v>628</v>
      </c>
      <c r="E21" s="11" t="s">
        <v>224</v>
      </c>
      <c r="F21" s="5" t="b">
        <v>1</v>
      </c>
      <c r="G21" s="5" t="s">
        <v>629</v>
      </c>
    </row>
    <row r="22" spans="1:7">
      <c r="A22" s="11" t="s">
        <v>630</v>
      </c>
      <c r="B22" s="5" t="s">
        <v>631</v>
      </c>
      <c r="C22" s="5" t="s">
        <v>534</v>
      </c>
      <c r="D22" s="5" t="s">
        <v>632</v>
      </c>
      <c r="E22" s="11" t="s">
        <v>224</v>
      </c>
      <c r="F22" s="5" t="b">
        <v>1</v>
      </c>
      <c r="G22" s="5" t="s">
        <v>633</v>
      </c>
    </row>
    <row r="23" spans="1:7">
      <c r="A23" s="11" t="s">
        <v>634</v>
      </c>
      <c r="B23" s="5" t="s">
        <v>635</v>
      </c>
      <c r="C23" s="5" t="s">
        <v>534</v>
      </c>
      <c r="D23" s="5" t="s">
        <v>636</v>
      </c>
      <c r="E23" s="11" t="s">
        <v>224</v>
      </c>
      <c r="F23" s="5" t="b">
        <v>1</v>
      </c>
      <c r="G23" s="5" t="s">
        <v>637</v>
      </c>
    </row>
    <row r="24" spans="1:7">
      <c r="A24" s="11" t="s">
        <v>638</v>
      </c>
      <c r="B24" s="5" t="s">
        <v>639</v>
      </c>
      <c r="C24" s="5" t="s">
        <v>534</v>
      </c>
      <c r="D24" s="5" t="s">
        <v>640</v>
      </c>
      <c r="E24" s="11" t="s">
        <v>539</v>
      </c>
      <c r="F24" s="5" t="b">
        <v>1</v>
      </c>
      <c r="G24" s="5" t="s">
        <v>641</v>
      </c>
    </row>
    <row r="25" spans="1:7">
      <c r="A25" s="11" t="s">
        <v>642</v>
      </c>
      <c r="B25" s="5" t="s">
        <v>643</v>
      </c>
      <c r="C25" s="5" t="s">
        <v>534</v>
      </c>
      <c r="D25" s="5" t="s">
        <v>644</v>
      </c>
      <c r="E25" s="11" t="s">
        <v>539</v>
      </c>
      <c r="F25" s="5" t="b">
        <v>1</v>
      </c>
      <c r="G25" s="5" t="s">
        <v>645</v>
      </c>
    </row>
    <row r="26" spans="1:7">
      <c r="A26" s="11" t="s">
        <v>646</v>
      </c>
      <c r="B26" s="5" t="s">
        <v>647</v>
      </c>
      <c r="C26" s="5" t="s">
        <v>534</v>
      </c>
      <c r="D26" s="5" t="s">
        <v>648</v>
      </c>
      <c r="E26" s="11" t="s">
        <v>539</v>
      </c>
      <c r="F26" s="5" t="b">
        <v>1</v>
      </c>
      <c r="G26" s="5" t="s">
        <v>649</v>
      </c>
    </row>
    <row r="27" spans="1:7">
      <c r="A27" s="11" t="s">
        <v>650</v>
      </c>
      <c r="B27" s="5" t="s">
        <v>651</v>
      </c>
      <c r="C27" s="5" t="s">
        <v>534</v>
      </c>
      <c r="D27" s="5" t="s">
        <v>652</v>
      </c>
      <c r="E27" s="11" t="s">
        <v>539</v>
      </c>
      <c r="F27" s="5" t="b">
        <v>1</v>
      </c>
      <c r="G27" s="5" t="s">
        <v>653</v>
      </c>
    </row>
    <row r="28" spans="1:7">
      <c r="A28" s="11" t="s">
        <v>654</v>
      </c>
      <c r="B28" s="5" t="s">
        <v>655</v>
      </c>
      <c r="C28" s="5" t="s">
        <v>534</v>
      </c>
      <c r="D28" s="5" t="s">
        <v>656</v>
      </c>
      <c r="E28" s="11" t="s">
        <v>539</v>
      </c>
      <c r="F28" s="5" t="b">
        <v>1</v>
      </c>
      <c r="G28" s="5" t="s">
        <v>657</v>
      </c>
    </row>
    <row r="29" spans="1:7">
      <c r="A29" s="11" t="s">
        <v>658</v>
      </c>
      <c r="B29" s="5" t="s">
        <v>659</v>
      </c>
      <c r="C29" s="5" t="s">
        <v>534</v>
      </c>
      <c r="D29" s="5" t="s">
        <v>660</v>
      </c>
      <c r="E29" s="11" t="s">
        <v>539</v>
      </c>
      <c r="F29" s="5" t="b">
        <v>1</v>
      </c>
      <c r="G29" s="5" t="s">
        <v>661</v>
      </c>
    </row>
    <row r="30" spans="1:7">
      <c r="A30" s="11" t="s">
        <v>662</v>
      </c>
      <c r="B30" s="5" t="s">
        <v>663</v>
      </c>
      <c r="C30" s="5" t="s">
        <v>534</v>
      </c>
      <c r="D30" s="5" t="s">
        <v>664</v>
      </c>
      <c r="E30" s="11" t="s">
        <v>539</v>
      </c>
      <c r="F30" s="5" t="b">
        <v>1</v>
      </c>
      <c r="G30" s="5" t="s">
        <v>665</v>
      </c>
    </row>
    <row r="31" spans="1:7">
      <c r="A31" s="11" t="s">
        <v>666</v>
      </c>
      <c r="B31" s="5" t="s">
        <v>667</v>
      </c>
      <c r="C31" s="5" t="s">
        <v>534</v>
      </c>
      <c r="D31" s="5" t="s">
        <v>668</v>
      </c>
      <c r="E31" s="11" t="s">
        <v>227</v>
      </c>
      <c r="F31" s="5" t="b">
        <v>1</v>
      </c>
      <c r="G31" s="5" t="s">
        <v>669</v>
      </c>
    </row>
    <row r="32" spans="1:7">
      <c r="A32" s="11" t="s">
        <v>670</v>
      </c>
      <c r="B32" s="5" t="s">
        <v>671</v>
      </c>
      <c r="C32" s="5" t="s">
        <v>534</v>
      </c>
      <c r="D32" s="5" t="s">
        <v>672</v>
      </c>
      <c r="E32" s="11" t="s">
        <v>227</v>
      </c>
      <c r="F32" s="5" t="b">
        <v>1</v>
      </c>
      <c r="G32" s="5" t="s">
        <v>673</v>
      </c>
    </row>
    <row r="33" spans="1:7">
      <c r="A33" s="11" t="s">
        <v>674</v>
      </c>
      <c r="B33" s="5" t="s">
        <v>675</v>
      </c>
      <c r="C33" s="5" t="s">
        <v>534</v>
      </c>
      <c r="D33" s="5" t="s">
        <v>676</v>
      </c>
      <c r="E33" s="11" t="s">
        <v>227</v>
      </c>
      <c r="F33" s="5" t="b">
        <v>1</v>
      </c>
      <c r="G33" s="5" t="s">
        <v>677</v>
      </c>
    </row>
    <row r="34" spans="1:7">
      <c r="A34" s="11" t="s">
        <v>678</v>
      </c>
      <c r="B34" s="5" t="s">
        <v>679</v>
      </c>
      <c r="C34" s="5" t="s">
        <v>534</v>
      </c>
      <c r="D34" s="5" t="s">
        <v>680</v>
      </c>
      <c r="E34" s="11" t="s">
        <v>227</v>
      </c>
      <c r="F34" s="5" t="b">
        <v>1</v>
      </c>
      <c r="G34" s="5" t="s">
        <v>681</v>
      </c>
    </row>
    <row r="35" spans="1:7">
      <c r="A35" s="11" t="s">
        <v>682</v>
      </c>
      <c r="B35" s="5" t="s">
        <v>683</v>
      </c>
      <c r="C35" s="5" t="s">
        <v>534</v>
      </c>
      <c r="D35" s="5" t="s">
        <v>684</v>
      </c>
      <c r="E35" s="11" t="s">
        <v>227</v>
      </c>
      <c r="F35" s="5" t="b">
        <v>1</v>
      </c>
      <c r="G35" s="5" t="s">
        <v>685</v>
      </c>
    </row>
    <row r="36" spans="1:7">
      <c r="A36" s="11" t="s">
        <v>686</v>
      </c>
      <c r="B36" s="5" t="s">
        <v>687</v>
      </c>
      <c r="C36" s="5" t="s">
        <v>534</v>
      </c>
      <c r="D36" s="5" t="s">
        <v>688</v>
      </c>
      <c r="E36" s="11" t="s">
        <v>227</v>
      </c>
      <c r="F36" s="5" t="b">
        <v>1</v>
      </c>
      <c r="G36" s="5" t="s">
        <v>689</v>
      </c>
    </row>
    <row r="37" spans="1:7">
      <c r="A37" s="11" t="s">
        <v>690</v>
      </c>
      <c r="B37" s="5" t="s">
        <v>691</v>
      </c>
      <c r="C37" s="5" t="s">
        <v>534</v>
      </c>
      <c r="D37" s="5" t="s">
        <v>692</v>
      </c>
      <c r="E37" s="11" t="s">
        <v>227</v>
      </c>
      <c r="F37" s="5" t="b">
        <v>1</v>
      </c>
      <c r="G37" s="5" t="s">
        <v>693</v>
      </c>
    </row>
    <row r="38" spans="1:7">
      <c r="A38" s="11" t="s">
        <v>694</v>
      </c>
      <c r="B38" s="5" t="s">
        <v>695</v>
      </c>
      <c r="C38" s="5" t="s">
        <v>534</v>
      </c>
      <c r="D38" s="5" t="s">
        <v>696</v>
      </c>
      <c r="E38" s="11" t="s">
        <v>227</v>
      </c>
      <c r="F38" s="5" t="b">
        <v>1</v>
      </c>
      <c r="G38" s="5" t="s">
        <v>697</v>
      </c>
    </row>
    <row r="39" spans="1:7">
      <c r="A39" s="11" t="s">
        <v>698</v>
      </c>
      <c r="B39" s="5" t="s">
        <v>699</v>
      </c>
      <c r="C39" s="5" t="s">
        <v>534</v>
      </c>
      <c r="D39" s="5" t="s">
        <v>700</v>
      </c>
      <c r="E39" s="11" t="s">
        <v>227</v>
      </c>
      <c r="F39" s="5" t="b">
        <v>1</v>
      </c>
      <c r="G39" s="5" t="s">
        <v>701</v>
      </c>
    </row>
    <row r="40" spans="1:7">
      <c r="A40" s="11" t="s">
        <v>702</v>
      </c>
      <c r="B40" s="5" t="s">
        <v>703</v>
      </c>
      <c r="C40" s="5" t="s">
        <v>534</v>
      </c>
      <c r="D40" s="5" t="s">
        <v>704</v>
      </c>
      <c r="E40" s="11" t="s">
        <v>227</v>
      </c>
      <c r="F40" s="5" t="b">
        <v>1</v>
      </c>
      <c r="G40" s="5" t="s">
        <v>705</v>
      </c>
    </row>
    <row r="41" spans="1:7">
      <c r="A41" s="11" t="s">
        <v>706</v>
      </c>
      <c r="B41" s="5" t="s">
        <v>707</v>
      </c>
      <c r="C41" s="5" t="s">
        <v>534</v>
      </c>
      <c r="D41" s="5" t="s">
        <v>232</v>
      </c>
      <c r="E41" s="11" t="s">
        <v>227</v>
      </c>
      <c r="F41" s="5" t="b">
        <v>1</v>
      </c>
      <c r="G41" s="5" t="s">
        <v>708</v>
      </c>
    </row>
    <row r="42" spans="1:7">
      <c r="A42" s="11" t="s">
        <v>709</v>
      </c>
      <c r="B42" s="5" t="s">
        <v>710</v>
      </c>
      <c r="C42" s="5" t="s">
        <v>534</v>
      </c>
      <c r="D42" s="5" t="s">
        <v>711</v>
      </c>
      <c r="E42" s="11" t="s">
        <v>227</v>
      </c>
      <c r="F42" s="5" t="b">
        <v>1</v>
      </c>
      <c r="G42" s="5" t="s">
        <v>712</v>
      </c>
    </row>
    <row r="43" spans="1:7">
      <c r="A43" s="11" t="s">
        <v>713</v>
      </c>
      <c r="B43" s="5" t="s">
        <v>714</v>
      </c>
      <c r="C43" s="5" t="s">
        <v>534</v>
      </c>
      <c r="D43" s="5" t="s">
        <v>715</v>
      </c>
      <c r="E43" s="11" t="s">
        <v>497</v>
      </c>
      <c r="F43" s="5" t="b">
        <v>1</v>
      </c>
      <c r="G43" s="5" t="s">
        <v>716</v>
      </c>
    </row>
    <row r="44" spans="1:7">
      <c r="A44" s="11" t="s">
        <v>717</v>
      </c>
      <c r="B44" s="5" t="s">
        <v>718</v>
      </c>
      <c r="C44" s="5" t="s">
        <v>534</v>
      </c>
      <c r="D44" s="5" t="s">
        <v>719</v>
      </c>
      <c r="E44" s="11" t="s">
        <v>497</v>
      </c>
      <c r="F44" s="5" t="b">
        <v>1</v>
      </c>
      <c r="G44" s="5" t="s">
        <v>720</v>
      </c>
    </row>
    <row r="45" spans="1:7">
      <c r="A45" s="11" t="s">
        <v>721</v>
      </c>
      <c r="B45" s="5" t="s">
        <v>722</v>
      </c>
      <c r="C45" s="5" t="s">
        <v>534</v>
      </c>
      <c r="D45" s="5" t="s">
        <v>723</v>
      </c>
      <c r="E45" s="11" t="s">
        <v>497</v>
      </c>
      <c r="F45" s="5" t="b">
        <v>1</v>
      </c>
      <c r="G45" s="5" t="s">
        <v>724</v>
      </c>
    </row>
    <row r="46" spans="1:7">
      <c r="A46" s="11" t="s">
        <v>725</v>
      </c>
      <c r="B46" s="5" t="s">
        <v>726</v>
      </c>
      <c r="C46" s="5" t="s">
        <v>534</v>
      </c>
      <c r="D46" s="5" t="s">
        <v>727</v>
      </c>
      <c r="E46" s="11" t="s">
        <v>497</v>
      </c>
      <c r="F46" s="5" t="b">
        <v>1</v>
      </c>
      <c r="G46" s="5" t="s">
        <v>728</v>
      </c>
    </row>
    <row r="47" spans="1:7">
      <c r="A47" s="11" t="s">
        <v>729</v>
      </c>
      <c r="B47" s="5" t="s">
        <v>730</v>
      </c>
      <c r="C47" s="5" t="s">
        <v>534</v>
      </c>
      <c r="D47" s="5" t="s">
        <v>731</v>
      </c>
      <c r="E47" s="11" t="s">
        <v>497</v>
      </c>
      <c r="F47" s="5" t="b">
        <v>1</v>
      </c>
      <c r="G47" s="5" t="s">
        <v>732</v>
      </c>
    </row>
    <row r="48" spans="1:7">
      <c r="A48" s="11" t="s">
        <v>733</v>
      </c>
      <c r="B48" s="5" t="s">
        <v>734</v>
      </c>
      <c r="C48" s="5" t="s">
        <v>534</v>
      </c>
      <c r="D48" s="5" t="s">
        <v>735</v>
      </c>
      <c r="E48" s="11" t="s">
        <v>497</v>
      </c>
      <c r="F48" s="5" t="b">
        <v>1</v>
      </c>
      <c r="G48" s="5" t="s">
        <v>736</v>
      </c>
    </row>
    <row r="49" spans="1:7">
      <c r="A49" s="11" t="s">
        <v>737</v>
      </c>
      <c r="B49" s="5" t="s">
        <v>738</v>
      </c>
      <c r="C49" s="5" t="s">
        <v>534</v>
      </c>
      <c r="D49" s="5" t="s">
        <v>739</v>
      </c>
      <c r="E49" s="11" t="s">
        <v>497</v>
      </c>
      <c r="F49" s="5" t="b">
        <v>1</v>
      </c>
      <c r="G49" s="5" t="s">
        <v>740</v>
      </c>
    </row>
    <row r="50" spans="1:7">
      <c r="A50" s="11" t="s">
        <v>741</v>
      </c>
      <c r="B50" s="5" t="s">
        <v>742</v>
      </c>
      <c r="C50" s="5" t="s">
        <v>534</v>
      </c>
      <c r="D50" s="5" t="s">
        <v>743</v>
      </c>
      <c r="E50" s="11" t="s">
        <v>497</v>
      </c>
      <c r="F50" s="5" t="b">
        <v>1</v>
      </c>
      <c r="G50" s="5" t="s">
        <v>744</v>
      </c>
    </row>
    <row r="51" spans="1:7">
      <c r="A51" s="11" t="s">
        <v>745</v>
      </c>
      <c r="B51" s="5" t="s">
        <v>746</v>
      </c>
      <c r="C51" s="5" t="s">
        <v>534</v>
      </c>
      <c r="D51" s="5" t="s">
        <v>747</v>
      </c>
      <c r="E51" s="11" t="s">
        <v>497</v>
      </c>
      <c r="F51" s="5" t="b">
        <v>1</v>
      </c>
      <c r="G51" s="5" t="s">
        <v>748</v>
      </c>
    </row>
    <row r="52" spans="1:7">
      <c r="A52" s="11" t="s">
        <v>749</v>
      </c>
      <c r="B52" s="5" t="s">
        <v>750</v>
      </c>
      <c r="C52" s="5" t="s">
        <v>534</v>
      </c>
      <c r="D52" s="5" t="s">
        <v>751</v>
      </c>
      <c r="E52" s="11" t="s">
        <v>497</v>
      </c>
      <c r="F52" s="5" t="b">
        <v>1</v>
      </c>
      <c r="G52" s="5" t="s">
        <v>752</v>
      </c>
    </row>
    <row r="53" spans="1:7">
      <c r="A53" s="11" t="s">
        <v>753</v>
      </c>
      <c r="B53" s="5" t="s">
        <v>754</v>
      </c>
      <c r="C53" s="5" t="s">
        <v>534</v>
      </c>
      <c r="D53" s="5" t="s">
        <v>755</v>
      </c>
      <c r="E53" s="11" t="s">
        <v>497</v>
      </c>
      <c r="F53" s="5" t="b">
        <v>0</v>
      </c>
      <c r="G53" s="5" t="s">
        <v>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B8FE-68C9-DE4C-86B4-501F3EB0223E}">
  <sheetPr codeName="Sheet6">
    <tabColor rgb="FF002060"/>
  </sheetPr>
  <dimension ref="A1:O101"/>
  <sheetViews>
    <sheetView workbookViewId="0">
      <selection activeCell="B5" sqref="B5"/>
    </sheetView>
  </sheetViews>
  <sheetFormatPr defaultColWidth="11.5546875" defaultRowHeight="15.95"/>
  <cols>
    <col min="1" max="1" width="27.109375" bestFit="1" customWidth="1"/>
    <col min="2" max="2" width="29.44140625" bestFit="1" customWidth="1"/>
    <col min="3" max="3" width="16.109375" bestFit="1" customWidth="1"/>
    <col min="4" max="4" width="16" bestFit="1" customWidth="1"/>
    <col min="5" max="5" width="15.77734375" bestFit="1" customWidth="1"/>
    <col min="6" max="6" width="30" bestFit="1" customWidth="1"/>
    <col min="7" max="7" width="18.109375" bestFit="1" customWidth="1"/>
    <col min="8" max="9" width="11.109375" bestFit="1" customWidth="1"/>
    <col min="10" max="10" width="10.33203125" bestFit="1" customWidth="1"/>
    <col min="11" max="11" width="13.109375" bestFit="1" customWidth="1"/>
    <col min="12" max="12" width="8.77734375" bestFit="1" customWidth="1"/>
    <col min="13" max="13" width="15.44140625" bestFit="1" customWidth="1"/>
    <col min="14" max="14" width="23" bestFit="1" customWidth="1"/>
    <col min="15" max="15" width="14.44140625" bestFit="1" customWidth="1"/>
  </cols>
  <sheetData>
    <row r="1" spans="1:15">
      <c r="A1" s="32" t="s">
        <v>757</v>
      </c>
      <c r="B1" s="33" t="s">
        <v>758</v>
      </c>
      <c r="C1" s="33" t="s">
        <v>759</v>
      </c>
      <c r="D1" s="33" t="s">
        <v>760</v>
      </c>
      <c r="E1" s="33" t="s">
        <v>761</v>
      </c>
      <c r="F1" s="34" t="s">
        <v>762</v>
      </c>
      <c r="G1" s="34" t="s">
        <v>763</v>
      </c>
      <c r="H1" s="33" t="s">
        <v>764</v>
      </c>
      <c r="I1" s="33" t="s">
        <v>765</v>
      </c>
      <c r="J1" s="33" t="s">
        <v>766</v>
      </c>
      <c r="K1" s="33" t="s">
        <v>767</v>
      </c>
      <c r="L1" s="33" t="s">
        <v>768</v>
      </c>
      <c r="M1" s="33" t="s">
        <v>769</v>
      </c>
      <c r="N1" s="33" t="s">
        <v>770</v>
      </c>
      <c r="O1" s="33" t="s">
        <v>771</v>
      </c>
    </row>
    <row r="2" spans="1:15">
      <c r="A2" s="11" t="s">
        <v>772</v>
      </c>
      <c r="B2" s="5" t="s">
        <v>773</v>
      </c>
      <c r="C2" s="5" t="s">
        <v>774</v>
      </c>
      <c r="D2" s="5" t="s">
        <v>775</v>
      </c>
      <c r="E2" s="5" t="s">
        <v>776</v>
      </c>
      <c r="F2" s="11" t="s">
        <v>430</v>
      </c>
      <c r="G2" s="11" t="s">
        <v>221</v>
      </c>
      <c r="H2" s="5" t="s">
        <v>777</v>
      </c>
      <c r="I2" s="5" t="s">
        <v>778</v>
      </c>
      <c r="J2" s="5" t="s">
        <v>779</v>
      </c>
      <c r="K2" s="5" t="s">
        <v>493</v>
      </c>
      <c r="L2" s="5" t="s">
        <v>780</v>
      </c>
      <c r="M2" s="5" t="s">
        <v>781</v>
      </c>
      <c r="N2" s="5" t="s">
        <v>782</v>
      </c>
      <c r="O2" s="28">
        <v>45994</v>
      </c>
    </row>
    <row r="3" spans="1:15">
      <c r="A3" s="11" t="s">
        <v>783</v>
      </c>
      <c r="B3" s="5" t="s">
        <v>784</v>
      </c>
      <c r="C3" s="5" t="s">
        <v>774</v>
      </c>
      <c r="D3" s="5" t="s">
        <v>785</v>
      </c>
      <c r="E3" s="5" t="s">
        <v>786</v>
      </c>
      <c r="F3" s="11" t="s">
        <v>668</v>
      </c>
      <c r="G3" s="11" t="s">
        <v>668</v>
      </c>
      <c r="H3" s="5" t="s">
        <v>787</v>
      </c>
      <c r="I3" s="5" t="s">
        <v>788</v>
      </c>
      <c r="J3" s="5" t="s">
        <v>789</v>
      </c>
      <c r="K3" s="5" t="s">
        <v>428</v>
      </c>
      <c r="L3" s="5" t="s">
        <v>780</v>
      </c>
      <c r="M3" s="5" t="s">
        <v>790</v>
      </c>
      <c r="N3" s="5" t="s">
        <v>791</v>
      </c>
      <c r="O3" s="28">
        <v>46191</v>
      </c>
    </row>
    <row r="4" spans="1:15">
      <c r="A4" s="11" t="s">
        <v>792</v>
      </c>
      <c r="B4" s="5" t="s">
        <v>793</v>
      </c>
      <c r="C4" s="5" t="s">
        <v>774</v>
      </c>
      <c r="D4" s="5" t="s">
        <v>794</v>
      </c>
      <c r="E4" s="5" t="s">
        <v>795</v>
      </c>
      <c r="F4" s="11" t="s">
        <v>430</v>
      </c>
      <c r="G4" s="11" t="s">
        <v>221</v>
      </c>
      <c r="H4" s="5" t="s">
        <v>796</v>
      </c>
      <c r="I4" s="5" t="s">
        <v>778</v>
      </c>
      <c r="J4" s="5" t="s">
        <v>789</v>
      </c>
      <c r="K4" s="5" t="s">
        <v>493</v>
      </c>
      <c r="L4" s="5" t="s">
        <v>780</v>
      </c>
      <c r="M4" s="5" t="s">
        <v>797</v>
      </c>
      <c r="N4" s="5" t="s">
        <v>798</v>
      </c>
      <c r="O4" s="28">
        <v>46070</v>
      </c>
    </row>
    <row r="5" spans="1:15">
      <c r="A5" s="11" t="s">
        <v>799</v>
      </c>
      <c r="B5" s="5" t="s">
        <v>800</v>
      </c>
      <c r="C5" s="5" t="s">
        <v>774</v>
      </c>
      <c r="D5" s="5" t="s">
        <v>801</v>
      </c>
      <c r="E5" s="5" t="s">
        <v>802</v>
      </c>
      <c r="F5" s="11" t="s">
        <v>640</v>
      </c>
      <c r="G5" s="11" t="s">
        <v>640</v>
      </c>
      <c r="H5" s="5" t="s">
        <v>803</v>
      </c>
      <c r="I5" s="5" t="s">
        <v>804</v>
      </c>
      <c r="J5" s="5" t="s">
        <v>789</v>
      </c>
      <c r="K5" s="5" t="s">
        <v>437</v>
      </c>
      <c r="L5" s="5" t="s">
        <v>780</v>
      </c>
      <c r="M5" s="5" t="s">
        <v>805</v>
      </c>
      <c r="N5" s="5" t="s">
        <v>791</v>
      </c>
      <c r="O5" s="28">
        <v>45589</v>
      </c>
    </row>
    <row r="6" spans="1:15">
      <c r="A6" s="11" t="s">
        <v>806</v>
      </c>
      <c r="B6" s="5" t="s">
        <v>807</v>
      </c>
      <c r="C6" s="5" t="s">
        <v>774</v>
      </c>
      <c r="D6" s="5" t="s">
        <v>808</v>
      </c>
      <c r="E6" s="5" t="s">
        <v>809</v>
      </c>
      <c r="F6" s="11" t="s">
        <v>430</v>
      </c>
      <c r="G6" s="11" t="s">
        <v>221</v>
      </c>
      <c r="H6" s="5" t="s">
        <v>810</v>
      </c>
      <c r="I6" s="5" t="s">
        <v>778</v>
      </c>
      <c r="J6" s="5" t="s">
        <v>789</v>
      </c>
      <c r="K6" s="5" t="s">
        <v>437</v>
      </c>
      <c r="L6" s="5" t="s">
        <v>780</v>
      </c>
      <c r="M6" s="5" t="s">
        <v>811</v>
      </c>
      <c r="N6" s="5" t="s">
        <v>812</v>
      </c>
      <c r="O6" s="28">
        <v>45404</v>
      </c>
    </row>
    <row r="7" spans="1:15">
      <c r="A7" s="11" t="s">
        <v>813</v>
      </c>
      <c r="B7" s="5" t="s">
        <v>814</v>
      </c>
      <c r="C7" s="5" t="s">
        <v>774</v>
      </c>
      <c r="D7" s="5" t="s">
        <v>794</v>
      </c>
      <c r="E7" s="5" t="s">
        <v>795</v>
      </c>
      <c r="F7" s="11" t="s">
        <v>668</v>
      </c>
      <c r="G7" s="11" t="s">
        <v>668</v>
      </c>
      <c r="H7" s="5" t="s">
        <v>815</v>
      </c>
      <c r="I7" s="5" t="s">
        <v>788</v>
      </c>
      <c r="J7" s="5" t="s">
        <v>779</v>
      </c>
      <c r="K7" s="5" t="s">
        <v>428</v>
      </c>
      <c r="L7" s="5" t="s">
        <v>780</v>
      </c>
      <c r="M7" s="5" t="s">
        <v>816</v>
      </c>
      <c r="N7" s="5" t="s">
        <v>782</v>
      </c>
      <c r="O7" s="28">
        <v>45521</v>
      </c>
    </row>
    <row r="8" spans="1:15">
      <c r="A8" s="11" t="s">
        <v>817</v>
      </c>
      <c r="B8" s="5" t="s">
        <v>818</v>
      </c>
      <c r="C8" s="5" t="s">
        <v>774</v>
      </c>
      <c r="D8" s="5" t="s">
        <v>785</v>
      </c>
      <c r="E8" s="5" t="s">
        <v>786</v>
      </c>
      <c r="F8" s="11" t="s">
        <v>430</v>
      </c>
      <c r="G8" s="11" t="s">
        <v>221</v>
      </c>
      <c r="H8" s="5" t="s">
        <v>810</v>
      </c>
      <c r="I8" s="5" t="s">
        <v>778</v>
      </c>
      <c r="J8" s="5" t="s">
        <v>779</v>
      </c>
      <c r="K8" s="5" t="s">
        <v>428</v>
      </c>
      <c r="L8" s="5" t="s">
        <v>780</v>
      </c>
      <c r="M8" s="5" t="s">
        <v>819</v>
      </c>
      <c r="N8" s="5" t="s">
        <v>798</v>
      </c>
      <c r="O8" s="28">
        <v>45758</v>
      </c>
    </row>
    <row r="9" spans="1:15">
      <c r="A9" s="11" t="s">
        <v>820</v>
      </c>
      <c r="B9" s="5" t="s">
        <v>821</v>
      </c>
      <c r="C9" s="5" t="s">
        <v>774</v>
      </c>
      <c r="D9" s="5" t="s">
        <v>822</v>
      </c>
      <c r="E9" s="5" t="s">
        <v>823</v>
      </c>
      <c r="F9" s="11" t="s">
        <v>640</v>
      </c>
      <c r="G9" s="11" t="s">
        <v>640</v>
      </c>
      <c r="H9" s="5" t="s">
        <v>803</v>
      </c>
      <c r="I9" s="5" t="s">
        <v>804</v>
      </c>
      <c r="J9" s="5" t="s">
        <v>779</v>
      </c>
      <c r="K9" s="5" t="s">
        <v>437</v>
      </c>
      <c r="L9" s="5" t="s">
        <v>780</v>
      </c>
      <c r="M9" s="5" t="s">
        <v>824</v>
      </c>
      <c r="N9" s="5" t="s">
        <v>791</v>
      </c>
      <c r="O9" s="28">
        <v>46292</v>
      </c>
    </row>
    <row r="10" spans="1:15">
      <c r="A10" s="11" t="s">
        <v>825</v>
      </c>
      <c r="B10" s="5" t="s">
        <v>826</v>
      </c>
      <c r="C10" s="5" t="s">
        <v>774</v>
      </c>
      <c r="D10" s="5" t="s">
        <v>827</v>
      </c>
      <c r="E10" s="5" t="s">
        <v>828</v>
      </c>
      <c r="F10" s="11" t="s">
        <v>430</v>
      </c>
      <c r="G10" s="11" t="s">
        <v>221</v>
      </c>
      <c r="H10" s="5" t="s">
        <v>777</v>
      </c>
      <c r="I10" s="5" t="s">
        <v>778</v>
      </c>
      <c r="J10" s="5" t="s">
        <v>779</v>
      </c>
      <c r="K10" s="5" t="s">
        <v>437</v>
      </c>
      <c r="L10" s="5" t="s">
        <v>780</v>
      </c>
      <c r="M10" s="5" t="s">
        <v>829</v>
      </c>
      <c r="N10" s="5" t="s">
        <v>798</v>
      </c>
      <c r="O10" s="28">
        <v>45897</v>
      </c>
    </row>
    <row r="11" spans="1:15">
      <c r="A11" s="11" t="s">
        <v>830</v>
      </c>
      <c r="B11" s="5" t="s">
        <v>831</v>
      </c>
      <c r="C11" s="5" t="s">
        <v>774</v>
      </c>
      <c r="D11" s="5" t="s">
        <v>808</v>
      </c>
      <c r="E11" s="5" t="s">
        <v>809</v>
      </c>
      <c r="F11" s="11" t="s">
        <v>224</v>
      </c>
      <c r="G11" s="11" t="s">
        <v>561</v>
      </c>
      <c r="H11" s="5" t="s">
        <v>832</v>
      </c>
      <c r="I11" s="5" t="s">
        <v>833</v>
      </c>
      <c r="J11" s="5" t="s">
        <v>789</v>
      </c>
      <c r="K11" s="5" t="s">
        <v>437</v>
      </c>
      <c r="L11" s="5" t="s">
        <v>780</v>
      </c>
      <c r="M11" s="5" t="s">
        <v>834</v>
      </c>
      <c r="N11" s="5" t="s">
        <v>791</v>
      </c>
      <c r="O11" s="28">
        <v>45884</v>
      </c>
    </row>
    <row r="12" spans="1:15">
      <c r="A12" s="11" t="s">
        <v>835</v>
      </c>
      <c r="B12" s="5" t="s">
        <v>836</v>
      </c>
      <c r="C12" s="5" t="s">
        <v>774</v>
      </c>
      <c r="D12" s="5" t="s">
        <v>801</v>
      </c>
      <c r="E12" s="5" t="s">
        <v>802</v>
      </c>
      <c r="F12" s="11" t="s">
        <v>224</v>
      </c>
      <c r="G12" s="11" t="s">
        <v>585</v>
      </c>
      <c r="H12" s="5" t="s">
        <v>837</v>
      </c>
      <c r="I12" s="5" t="s">
        <v>833</v>
      </c>
      <c r="J12" s="5" t="s">
        <v>789</v>
      </c>
      <c r="K12" s="5" t="s">
        <v>428</v>
      </c>
      <c r="L12" s="5" t="s">
        <v>780</v>
      </c>
      <c r="M12" s="5" t="s">
        <v>838</v>
      </c>
      <c r="N12" s="5" t="s">
        <v>791</v>
      </c>
      <c r="O12" s="28">
        <v>46356</v>
      </c>
    </row>
    <row r="13" spans="1:15">
      <c r="A13" s="11" t="s">
        <v>839</v>
      </c>
      <c r="B13" s="5" t="s">
        <v>840</v>
      </c>
      <c r="C13" s="5" t="s">
        <v>774</v>
      </c>
      <c r="D13" s="5" t="s">
        <v>785</v>
      </c>
      <c r="E13" s="5" t="s">
        <v>786</v>
      </c>
      <c r="F13" s="11" t="s">
        <v>430</v>
      </c>
      <c r="G13" s="11" t="s">
        <v>221</v>
      </c>
      <c r="H13" s="5" t="s">
        <v>841</v>
      </c>
      <c r="I13" s="5" t="s">
        <v>778</v>
      </c>
      <c r="J13" s="5" t="s">
        <v>789</v>
      </c>
      <c r="K13" s="5" t="s">
        <v>437</v>
      </c>
      <c r="L13" s="5" t="s">
        <v>842</v>
      </c>
      <c r="M13" s="5" t="s">
        <v>843</v>
      </c>
      <c r="N13" s="5" t="s">
        <v>782</v>
      </c>
      <c r="O13" s="28">
        <v>46281</v>
      </c>
    </row>
    <row r="14" spans="1:15">
      <c r="A14" s="11" t="s">
        <v>844</v>
      </c>
      <c r="B14" s="5" t="s">
        <v>845</v>
      </c>
      <c r="C14" s="5" t="s">
        <v>774</v>
      </c>
      <c r="D14" s="5" t="s">
        <v>822</v>
      </c>
      <c r="E14" s="5" t="s">
        <v>823</v>
      </c>
      <c r="F14" s="11" t="s">
        <v>640</v>
      </c>
      <c r="G14" s="11" t="s">
        <v>640</v>
      </c>
      <c r="H14" s="5" t="s">
        <v>846</v>
      </c>
      <c r="I14" s="5" t="s">
        <v>804</v>
      </c>
      <c r="J14" s="5" t="s">
        <v>789</v>
      </c>
      <c r="K14" s="5" t="s">
        <v>437</v>
      </c>
      <c r="L14" s="5" t="s">
        <v>780</v>
      </c>
      <c r="M14" s="5" t="s">
        <v>847</v>
      </c>
      <c r="N14" s="5" t="s">
        <v>782</v>
      </c>
      <c r="O14" s="28">
        <v>46321</v>
      </c>
    </row>
    <row r="15" spans="1:15">
      <c r="A15" s="11" t="s">
        <v>848</v>
      </c>
      <c r="B15" s="5" t="s">
        <v>849</v>
      </c>
      <c r="C15" s="5" t="s">
        <v>774</v>
      </c>
      <c r="D15" s="5" t="s">
        <v>827</v>
      </c>
      <c r="E15" s="5" t="s">
        <v>828</v>
      </c>
      <c r="F15" s="11" t="s">
        <v>430</v>
      </c>
      <c r="G15" s="11" t="s">
        <v>221</v>
      </c>
      <c r="H15" s="5" t="s">
        <v>850</v>
      </c>
      <c r="I15" s="5" t="s">
        <v>778</v>
      </c>
      <c r="J15" s="5" t="s">
        <v>779</v>
      </c>
      <c r="K15" s="5" t="s">
        <v>428</v>
      </c>
      <c r="L15" s="5" t="s">
        <v>842</v>
      </c>
      <c r="M15" s="5" t="s">
        <v>851</v>
      </c>
      <c r="N15" s="5" t="s">
        <v>852</v>
      </c>
      <c r="O15" s="28">
        <v>45905</v>
      </c>
    </row>
    <row r="16" spans="1:15">
      <c r="A16" s="11" t="s">
        <v>853</v>
      </c>
      <c r="B16" s="5" t="s">
        <v>854</v>
      </c>
      <c r="C16" s="5" t="s">
        <v>774</v>
      </c>
      <c r="D16" s="5" t="s">
        <v>801</v>
      </c>
      <c r="E16" s="5" t="s">
        <v>802</v>
      </c>
      <c r="F16" s="11" t="s">
        <v>430</v>
      </c>
      <c r="G16" s="11" t="s">
        <v>221</v>
      </c>
      <c r="H16" s="5" t="s">
        <v>850</v>
      </c>
      <c r="I16" s="5" t="s">
        <v>778</v>
      </c>
      <c r="J16" s="5" t="s">
        <v>789</v>
      </c>
      <c r="K16" s="5" t="s">
        <v>493</v>
      </c>
      <c r="L16" s="5" t="s">
        <v>780</v>
      </c>
      <c r="M16" s="5" t="s">
        <v>855</v>
      </c>
      <c r="N16" s="5" t="s">
        <v>798</v>
      </c>
      <c r="O16" s="28">
        <v>45937</v>
      </c>
    </row>
    <row r="17" spans="1:15">
      <c r="A17" s="11" t="s">
        <v>856</v>
      </c>
      <c r="B17" s="5" t="s">
        <v>857</v>
      </c>
      <c r="C17" s="5" t="s">
        <v>774</v>
      </c>
      <c r="D17" s="5" t="s">
        <v>808</v>
      </c>
      <c r="E17" s="5" t="s">
        <v>809</v>
      </c>
      <c r="F17" s="11" t="s">
        <v>430</v>
      </c>
      <c r="G17" s="11" t="s">
        <v>221</v>
      </c>
      <c r="H17" s="5" t="s">
        <v>858</v>
      </c>
      <c r="I17" s="5" t="s">
        <v>778</v>
      </c>
      <c r="J17" s="5" t="s">
        <v>789</v>
      </c>
      <c r="K17" s="5" t="s">
        <v>493</v>
      </c>
      <c r="L17" s="5" t="s">
        <v>780</v>
      </c>
      <c r="M17" s="5" t="s">
        <v>859</v>
      </c>
      <c r="N17" s="5" t="s">
        <v>798</v>
      </c>
      <c r="O17" s="28">
        <v>45679</v>
      </c>
    </row>
    <row r="18" spans="1:15">
      <c r="A18" s="11" t="s">
        <v>860</v>
      </c>
      <c r="B18" s="5" t="s">
        <v>861</v>
      </c>
      <c r="C18" s="5" t="s">
        <v>774</v>
      </c>
      <c r="D18" s="5" t="s">
        <v>822</v>
      </c>
      <c r="E18" s="5" t="s">
        <v>823</v>
      </c>
      <c r="F18" s="11" t="s">
        <v>640</v>
      </c>
      <c r="G18" s="11" t="s">
        <v>640</v>
      </c>
      <c r="H18" s="5" t="s">
        <v>862</v>
      </c>
      <c r="I18" s="5" t="s">
        <v>804</v>
      </c>
      <c r="J18" s="5" t="s">
        <v>789</v>
      </c>
      <c r="K18" s="5" t="s">
        <v>493</v>
      </c>
      <c r="L18" s="5" t="s">
        <v>780</v>
      </c>
      <c r="M18" s="5" t="s">
        <v>863</v>
      </c>
      <c r="N18" s="5" t="s">
        <v>782</v>
      </c>
      <c r="O18" s="28">
        <v>46055</v>
      </c>
    </row>
    <row r="19" spans="1:15">
      <c r="A19" s="11" t="s">
        <v>864</v>
      </c>
      <c r="B19" s="5" t="s">
        <v>865</v>
      </c>
      <c r="C19" s="5" t="s">
        <v>774</v>
      </c>
      <c r="D19" s="5" t="s">
        <v>822</v>
      </c>
      <c r="E19" s="5" t="s">
        <v>823</v>
      </c>
      <c r="F19" s="11" t="s">
        <v>430</v>
      </c>
      <c r="G19" s="11" t="s">
        <v>221</v>
      </c>
      <c r="H19" s="5" t="s">
        <v>810</v>
      </c>
      <c r="I19" s="5" t="s">
        <v>778</v>
      </c>
      <c r="J19" s="5" t="s">
        <v>789</v>
      </c>
      <c r="K19" s="5" t="s">
        <v>437</v>
      </c>
      <c r="L19" s="5" t="s">
        <v>842</v>
      </c>
      <c r="M19" s="5" t="s">
        <v>866</v>
      </c>
      <c r="N19" s="5" t="s">
        <v>852</v>
      </c>
      <c r="O19" s="28">
        <v>46309</v>
      </c>
    </row>
    <row r="20" spans="1:15">
      <c r="A20" s="11" t="s">
        <v>867</v>
      </c>
      <c r="B20" s="5" t="s">
        <v>868</v>
      </c>
      <c r="C20" s="5" t="s">
        <v>774</v>
      </c>
      <c r="D20" s="5" t="s">
        <v>808</v>
      </c>
      <c r="E20" s="5" t="s">
        <v>809</v>
      </c>
      <c r="F20" s="11" t="s">
        <v>430</v>
      </c>
      <c r="G20" s="11" t="s">
        <v>221</v>
      </c>
      <c r="H20" s="5" t="s">
        <v>869</v>
      </c>
      <c r="I20" s="5" t="s">
        <v>778</v>
      </c>
      <c r="J20" s="5" t="s">
        <v>789</v>
      </c>
      <c r="K20" s="5" t="s">
        <v>493</v>
      </c>
      <c r="L20" s="5" t="s">
        <v>780</v>
      </c>
      <c r="M20" s="5" t="s">
        <v>870</v>
      </c>
      <c r="N20" s="5" t="s">
        <v>782</v>
      </c>
      <c r="O20" s="28">
        <v>46036</v>
      </c>
    </row>
    <row r="21" spans="1:15">
      <c r="A21" s="11" t="s">
        <v>871</v>
      </c>
      <c r="B21" s="5" t="s">
        <v>872</v>
      </c>
      <c r="C21" s="5" t="s">
        <v>774</v>
      </c>
      <c r="D21" s="5" t="s">
        <v>785</v>
      </c>
      <c r="E21" s="5" t="s">
        <v>786</v>
      </c>
      <c r="F21" s="11" t="s">
        <v>497</v>
      </c>
      <c r="G21" s="11" t="s">
        <v>719</v>
      </c>
      <c r="H21" s="5" t="s">
        <v>873</v>
      </c>
      <c r="I21" s="5" t="s">
        <v>874</v>
      </c>
      <c r="J21" s="5" t="s">
        <v>789</v>
      </c>
      <c r="K21" s="5" t="s">
        <v>428</v>
      </c>
      <c r="L21" s="5" t="s">
        <v>780</v>
      </c>
      <c r="M21" s="5" t="s">
        <v>875</v>
      </c>
      <c r="N21" s="5" t="s">
        <v>782</v>
      </c>
      <c r="O21" s="28">
        <v>45462</v>
      </c>
    </row>
    <row r="22" spans="1:15">
      <c r="A22" s="11" t="s">
        <v>876</v>
      </c>
      <c r="B22" s="5" t="s">
        <v>877</v>
      </c>
      <c r="C22" s="5" t="s">
        <v>774</v>
      </c>
      <c r="D22" s="5" t="s">
        <v>775</v>
      </c>
      <c r="E22" s="5" t="s">
        <v>776</v>
      </c>
      <c r="F22" s="11" t="s">
        <v>430</v>
      </c>
      <c r="G22" s="11" t="s">
        <v>221</v>
      </c>
      <c r="H22" s="5" t="s">
        <v>841</v>
      </c>
      <c r="I22" s="5" t="s">
        <v>778</v>
      </c>
      <c r="J22" s="5" t="s">
        <v>789</v>
      </c>
      <c r="K22" s="5" t="s">
        <v>493</v>
      </c>
      <c r="L22" s="5" t="s">
        <v>780</v>
      </c>
      <c r="M22" s="5" t="s">
        <v>878</v>
      </c>
      <c r="N22" s="5" t="s">
        <v>852</v>
      </c>
      <c r="O22" s="28">
        <v>45407</v>
      </c>
    </row>
    <row r="23" spans="1:15">
      <c r="A23" s="11" t="s">
        <v>879</v>
      </c>
      <c r="B23" s="5" t="s">
        <v>880</v>
      </c>
      <c r="C23" s="5" t="s">
        <v>774</v>
      </c>
      <c r="D23" s="5" t="s">
        <v>808</v>
      </c>
      <c r="E23" s="5" t="s">
        <v>809</v>
      </c>
      <c r="F23" s="11" t="s">
        <v>881</v>
      </c>
      <c r="G23" s="11" t="s">
        <v>628</v>
      </c>
      <c r="H23" s="5" t="s">
        <v>882</v>
      </c>
      <c r="I23" s="5" t="s">
        <v>883</v>
      </c>
      <c r="J23" s="5" t="s">
        <v>779</v>
      </c>
      <c r="K23" s="5" t="s">
        <v>493</v>
      </c>
      <c r="L23" s="5" t="s">
        <v>780</v>
      </c>
      <c r="M23" s="5" t="s">
        <v>884</v>
      </c>
      <c r="N23" s="5" t="s">
        <v>791</v>
      </c>
      <c r="O23" s="28">
        <v>45493</v>
      </c>
    </row>
    <row r="24" spans="1:15">
      <c r="A24" s="11" t="s">
        <v>885</v>
      </c>
      <c r="B24" s="5" t="s">
        <v>886</v>
      </c>
      <c r="C24" s="5" t="s">
        <v>774</v>
      </c>
      <c r="D24" s="5" t="s">
        <v>827</v>
      </c>
      <c r="E24" s="5" t="s">
        <v>828</v>
      </c>
      <c r="F24" s="11" t="s">
        <v>430</v>
      </c>
      <c r="G24" s="11" t="s">
        <v>221</v>
      </c>
      <c r="H24" s="5" t="s">
        <v>810</v>
      </c>
      <c r="I24" s="5" t="s">
        <v>778</v>
      </c>
      <c r="J24" s="5" t="s">
        <v>779</v>
      </c>
      <c r="K24" s="5" t="s">
        <v>493</v>
      </c>
      <c r="L24" s="5" t="s">
        <v>842</v>
      </c>
      <c r="M24" s="5" t="s">
        <v>887</v>
      </c>
      <c r="N24" s="5" t="s">
        <v>798</v>
      </c>
      <c r="O24" s="28">
        <v>46097</v>
      </c>
    </row>
    <row r="25" spans="1:15">
      <c r="A25" s="11" t="s">
        <v>888</v>
      </c>
      <c r="B25" s="5" t="s">
        <v>889</v>
      </c>
      <c r="C25" s="5" t="s">
        <v>774</v>
      </c>
      <c r="D25" s="5" t="s">
        <v>808</v>
      </c>
      <c r="E25" s="5" t="s">
        <v>809</v>
      </c>
      <c r="F25" s="11" t="s">
        <v>430</v>
      </c>
      <c r="G25" s="11" t="s">
        <v>221</v>
      </c>
      <c r="H25" s="5" t="s">
        <v>841</v>
      </c>
      <c r="I25" s="5" t="s">
        <v>778</v>
      </c>
      <c r="J25" s="5" t="s">
        <v>779</v>
      </c>
      <c r="K25" s="5" t="s">
        <v>493</v>
      </c>
      <c r="L25" s="5" t="s">
        <v>780</v>
      </c>
      <c r="M25" s="5" t="s">
        <v>890</v>
      </c>
      <c r="N25" s="5" t="s">
        <v>852</v>
      </c>
      <c r="O25" s="28">
        <v>46123</v>
      </c>
    </row>
    <row r="26" spans="1:15">
      <c r="A26" s="11" t="s">
        <v>891</v>
      </c>
      <c r="B26" s="5" t="s">
        <v>892</v>
      </c>
      <c r="C26" s="5" t="s">
        <v>774</v>
      </c>
      <c r="D26" s="5" t="s">
        <v>822</v>
      </c>
      <c r="E26" s="5" t="s">
        <v>823</v>
      </c>
      <c r="F26" s="11" t="s">
        <v>430</v>
      </c>
      <c r="G26" s="11" t="s">
        <v>221</v>
      </c>
      <c r="H26" s="5" t="s">
        <v>858</v>
      </c>
      <c r="I26" s="5" t="s">
        <v>778</v>
      </c>
      <c r="J26" s="5" t="s">
        <v>789</v>
      </c>
      <c r="K26" s="5" t="s">
        <v>428</v>
      </c>
      <c r="L26" s="5" t="s">
        <v>780</v>
      </c>
      <c r="M26" s="5" t="s">
        <v>893</v>
      </c>
      <c r="N26" s="5" t="s">
        <v>782</v>
      </c>
      <c r="O26" s="28">
        <v>45589</v>
      </c>
    </row>
    <row r="27" spans="1:15">
      <c r="A27" s="11" t="s">
        <v>894</v>
      </c>
      <c r="B27" s="5" t="s">
        <v>895</v>
      </c>
      <c r="C27" s="5" t="s">
        <v>774</v>
      </c>
      <c r="D27" s="5" t="s">
        <v>801</v>
      </c>
      <c r="E27" s="5" t="s">
        <v>802</v>
      </c>
      <c r="F27" s="11" t="s">
        <v>668</v>
      </c>
      <c r="G27" s="11" t="s">
        <v>668</v>
      </c>
      <c r="H27" s="5" t="s">
        <v>815</v>
      </c>
      <c r="I27" s="5" t="s">
        <v>788</v>
      </c>
      <c r="J27" s="5" t="s">
        <v>789</v>
      </c>
      <c r="K27" s="5" t="s">
        <v>437</v>
      </c>
      <c r="L27" s="5" t="s">
        <v>842</v>
      </c>
      <c r="M27" s="5" t="s">
        <v>896</v>
      </c>
      <c r="N27" s="5" t="s">
        <v>791</v>
      </c>
      <c r="O27" s="28">
        <v>46245</v>
      </c>
    </row>
    <row r="28" spans="1:15">
      <c r="A28" s="11" t="s">
        <v>897</v>
      </c>
      <c r="B28" s="5" t="s">
        <v>898</v>
      </c>
      <c r="C28" s="5" t="s">
        <v>774</v>
      </c>
      <c r="D28" s="5" t="s">
        <v>794</v>
      </c>
      <c r="E28" s="5" t="s">
        <v>795</v>
      </c>
      <c r="F28" s="11" t="s">
        <v>224</v>
      </c>
      <c r="G28" s="11" t="s">
        <v>561</v>
      </c>
      <c r="H28" s="5" t="s">
        <v>899</v>
      </c>
      <c r="I28" s="5" t="s">
        <v>833</v>
      </c>
      <c r="J28" s="5" t="s">
        <v>789</v>
      </c>
      <c r="K28" s="5" t="s">
        <v>428</v>
      </c>
      <c r="L28" s="5" t="s">
        <v>780</v>
      </c>
      <c r="M28" s="5" t="s">
        <v>900</v>
      </c>
      <c r="N28" s="5" t="s">
        <v>791</v>
      </c>
      <c r="O28" s="28">
        <v>46127</v>
      </c>
    </row>
    <row r="29" spans="1:15">
      <c r="A29" s="11" t="s">
        <v>901</v>
      </c>
      <c r="B29" s="5" t="s">
        <v>902</v>
      </c>
      <c r="C29" s="5" t="s">
        <v>774</v>
      </c>
      <c r="D29" s="5" t="s">
        <v>822</v>
      </c>
      <c r="E29" s="5" t="s">
        <v>823</v>
      </c>
      <c r="F29" s="11" t="s">
        <v>430</v>
      </c>
      <c r="G29" s="11" t="s">
        <v>221</v>
      </c>
      <c r="H29" s="5" t="s">
        <v>810</v>
      </c>
      <c r="I29" s="5" t="s">
        <v>778</v>
      </c>
      <c r="J29" s="5" t="s">
        <v>779</v>
      </c>
      <c r="K29" s="5" t="s">
        <v>437</v>
      </c>
      <c r="L29" s="5" t="s">
        <v>780</v>
      </c>
      <c r="M29" s="5" t="s">
        <v>903</v>
      </c>
      <c r="N29" s="5" t="s">
        <v>798</v>
      </c>
      <c r="O29" s="28">
        <v>45811</v>
      </c>
    </row>
    <row r="30" spans="1:15">
      <c r="A30" s="11" t="s">
        <v>904</v>
      </c>
      <c r="B30" s="5" t="s">
        <v>905</v>
      </c>
      <c r="C30" s="5" t="s">
        <v>774</v>
      </c>
      <c r="D30" s="5" t="s">
        <v>801</v>
      </c>
      <c r="E30" s="5" t="s">
        <v>802</v>
      </c>
      <c r="F30" s="11" t="s">
        <v>430</v>
      </c>
      <c r="G30" s="11" t="s">
        <v>221</v>
      </c>
      <c r="H30" s="5" t="s">
        <v>906</v>
      </c>
      <c r="I30" s="5" t="s">
        <v>778</v>
      </c>
      <c r="J30" s="5" t="s">
        <v>779</v>
      </c>
      <c r="K30" s="5" t="s">
        <v>437</v>
      </c>
      <c r="L30" s="5" t="s">
        <v>780</v>
      </c>
      <c r="M30" s="5" t="s">
        <v>907</v>
      </c>
      <c r="N30" s="5" t="s">
        <v>798</v>
      </c>
      <c r="O30" s="28">
        <v>45890</v>
      </c>
    </row>
    <row r="31" spans="1:15">
      <c r="A31" s="11" t="s">
        <v>908</v>
      </c>
      <c r="B31" s="5" t="s">
        <v>909</v>
      </c>
      <c r="C31" s="5" t="s">
        <v>774</v>
      </c>
      <c r="D31" s="5" t="s">
        <v>801</v>
      </c>
      <c r="E31" s="5" t="s">
        <v>802</v>
      </c>
      <c r="F31" s="11" t="s">
        <v>430</v>
      </c>
      <c r="G31" s="11" t="s">
        <v>221</v>
      </c>
      <c r="H31" s="5" t="s">
        <v>858</v>
      </c>
      <c r="I31" s="5" t="s">
        <v>778</v>
      </c>
      <c r="J31" s="5" t="s">
        <v>789</v>
      </c>
      <c r="K31" s="5" t="s">
        <v>437</v>
      </c>
      <c r="L31" s="5" t="s">
        <v>780</v>
      </c>
      <c r="M31" s="5" t="s">
        <v>910</v>
      </c>
      <c r="N31" s="5" t="s">
        <v>782</v>
      </c>
      <c r="O31" s="28">
        <v>45684</v>
      </c>
    </row>
    <row r="32" spans="1:15">
      <c r="A32" s="11" t="s">
        <v>911</v>
      </c>
      <c r="B32" s="5" t="s">
        <v>912</v>
      </c>
      <c r="C32" s="5" t="s">
        <v>774</v>
      </c>
      <c r="D32" s="5" t="s">
        <v>794</v>
      </c>
      <c r="E32" s="5" t="s">
        <v>795</v>
      </c>
      <c r="F32" s="11" t="s">
        <v>668</v>
      </c>
      <c r="G32" s="11" t="s">
        <v>668</v>
      </c>
      <c r="H32" s="5" t="s">
        <v>913</v>
      </c>
      <c r="I32" s="5" t="s">
        <v>788</v>
      </c>
      <c r="J32" s="5" t="s">
        <v>779</v>
      </c>
      <c r="K32" s="5" t="s">
        <v>493</v>
      </c>
      <c r="L32" s="5" t="s">
        <v>780</v>
      </c>
      <c r="M32" s="5" t="s">
        <v>914</v>
      </c>
      <c r="N32" s="5" t="s">
        <v>782</v>
      </c>
      <c r="O32" s="28">
        <v>46000</v>
      </c>
    </row>
    <row r="33" spans="1:15">
      <c r="A33" s="11" t="s">
        <v>915</v>
      </c>
      <c r="B33" s="5" t="s">
        <v>916</v>
      </c>
      <c r="C33" s="5" t="s">
        <v>774</v>
      </c>
      <c r="D33" s="5" t="s">
        <v>775</v>
      </c>
      <c r="E33" s="5" t="s">
        <v>776</v>
      </c>
      <c r="F33" s="11" t="s">
        <v>640</v>
      </c>
      <c r="G33" s="11" t="s">
        <v>640</v>
      </c>
      <c r="H33" s="5" t="s">
        <v>917</v>
      </c>
      <c r="I33" s="5" t="s">
        <v>804</v>
      </c>
      <c r="J33" s="5" t="s">
        <v>779</v>
      </c>
      <c r="K33" s="5" t="s">
        <v>493</v>
      </c>
      <c r="L33" s="5" t="s">
        <v>780</v>
      </c>
      <c r="M33" s="5" t="s">
        <v>918</v>
      </c>
      <c r="N33" s="5" t="s">
        <v>782</v>
      </c>
      <c r="O33" s="28">
        <v>46306</v>
      </c>
    </row>
    <row r="34" spans="1:15">
      <c r="A34" s="11" t="s">
        <v>919</v>
      </c>
      <c r="B34" s="5" t="s">
        <v>920</v>
      </c>
      <c r="C34" s="5" t="s">
        <v>774</v>
      </c>
      <c r="D34" s="5" t="s">
        <v>827</v>
      </c>
      <c r="E34" s="5" t="s">
        <v>828</v>
      </c>
      <c r="F34" s="11" t="s">
        <v>430</v>
      </c>
      <c r="G34" s="11" t="s">
        <v>221</v>
      </c>
      <c r="H34" s="5" t="s">
        <v>810</v>
      </c>
      <c r="I34" s="5" t="s">
        <v>778</v>
      </c>
      <c r="J34" s="5" t="s">
        <v>779</v>
      </c>
      <c r="K34" s="5" t="s">
        <v>428</v>
      </c>
      <c r="L34" s="5" t="s">
        <v>842</v>
      </c>
      <c r="M34" s="5" t="s">
        <v>921</v>
      </c>
      <c r="N34" s="5" t="s">
        <v>782</v>
      </c>
      <c r="O34" s="28">
        <v>45792</v>
      </c>
    </row>
    <row r="35" spans="1:15">
      <c r="A35" s="11" t="s">
        <v>922</v>
      </c>
      <c r="B35" s="5" t="s">
        <v>923</v>
      </c>
      <c r="C35" s="5" t="s">
        <v>774</v>
      </c>
      <c r="D35" s="5" t="s">
        <v>827</v>
      </c>
      <c r="E35" s="5" t="s">
        <v>828</v>
      </c>
      <c r="F35" s="11" t="s">
        <v>668</v>
      </c>
      <c r="G35" s="11" t="s">
        <v>668</v>
      </c>
      <c r="H35" s="5" t="s">
        <v>787</v>
      </c>
      <c r="I35" s="5" t="s">
        <v>788</v>
      </c>
      <c r="J35" s="5" t="s">
        <v>789</v>
      </c>
      <c r="K35" s="5" t="s">
        <v>428</v>
      </c>
      <c r="L35" s="5" t="s">
        <v>780</v>
      </c>
      <c r="M35" s="5" t="s">
        <v>924</v>
      </c>
      <c r="N35" s="5" t="s">
        <v>791</v>
      </c>
      <c r="O35" s="28">
        <v>45404</v>
      </c>
    </row>
    <row r="36" spans="1:15">
      <c r="A36" s="11" t="s">
        <v>925</v>
      </c>
      <c r="B36" s="5" t="s">
        <v>926</v>
      </c>
      <c r="C36" s="5" t="s">
        <v>774</v>
      </c>
      <c r="D36" s="5" t="s">
        <v>794</v>
      </c>
      <c r="E36" s="5" t="s">
        <v>795</v>
      </c>
      <c r="F36" s="11" t="s">
        <v>430</v>
      </c>
      <c r="G36" s="11" t="s">
        <v>221</v>
      </c>
      <c r="H36" s="5" t="s">
        <v>810</v>
      </c>
      <c r="I36" s="5" t="s">
        <v>778</v>
      </c>
      <c r="J36" s="5" t="s">
        <v>779</v>
      </c>
      <c r="K36" s="5" t="s">
        <v>428</v>
      </c>
      <c r="L36" s="5" t="s">
        <v>780</v>
      </c>
      <c r="M36" s="5" t="s">
        <v>927</v>
      </c>
      <c r="N36" s="5" t="s">
        <v>782</v>
      </c>
      <c r="O36" s="28">
        <v>45476</v>
      </c>
    </row>
    <row r="37" spans="1:15">
      <c r="A37" s="11" t="s">
        <v>928</v>
      </c>
      <c r="B37" s="5" t="s">
        <v>929</v>
      </c>
      <c r="C37" s="5" t="s">
        <v>774</v>
      </c>
      <c r="D37" s="5" t="s">
        <v>822</v>
      </c>
      <c r="E37" s="5" t="s">
        <v>823</v>
      </c>
      <c r="F37" s="11" t="s">
        <v>430</v>
      </c>
      <c r="G37" s="11" t="s">
        <v>221</v>
      </c>
      <c r="H37" s="5" t="s">
        <v>930</v>
      </c>
      <c r="I37" s="5" t="s">
        <v>778</v>
      </c>
      <c r="J37" s="5" t="s">
        <v>789</v>
      </c>
      <c r="K37" s="5" t="s">
        <v>493</v>
      </c>
      <c r="L37" s="5" t="s">
        <v>780</v>
      </c>
      <c r="M37" s="5" t="s">
        <v>931</v>
      </c>
      <c r="N37" s="5" t="s">
        <v>782</v>
      </c>
      <c r="O37" s="28">
        <v>45918</v>
      </c>
    </row>
    <row r="38" spans="1:15">
      <c r="A38" s="11" t="s">
        <v>932</v>
      </c>
      <c r="B38" s="5" t="s">
        <v>933</v>
      </c>
      <c r="C38" s="5" t="s">
        <v>774</v>
      </c>
      <c r="D38" s="5" t="s">
        <v>822</v>
      </c>
      <c r="E38" s="5" t="s">
        <v>823</v>
      </c>
      <c r="F38" s="11" t="s">
        <v>430</v>
      </c>
      <c r="G38" s="11" t="s">
        <v>221</v>
      </c>
      <c r="H38" s="5" t="s">
        <v>841</v>
      </c>
      <c r="I38" s="5" t="s">
        <v>778</v>
      </c>
      <c r="J38" s="5" t="s">
        <v>789</v>
      </c>
      <c r="K38" s="5" t="s">
        <v>493</v>
      </c>
      <c r="L38" s="5" t="s">
        <v>780</v>
      </c>
      <c r="M38" s="5" t="s">
        <v>934</v>
      </c>
      <c r="N38" s="5" t="s">
        <v>852</v>
      </c>
      <c r="O38" s="28">
        <v>45817</v>
      </c>
    </row>
    <row r="39" spans="1:15">
      <c r="A39" s="11" t="s">
        <v>935</v>
      </c>
      <c r="B39" s="5" t="s">
        <v>936</v>
      </c>
      <c r="C39" s="5" t="s">
        <v>774</v>
      </c>
      <c r="D39" s="5" t="s">
        <v>801</v>
      </c>
      <c r="E39" s="5" t="s">
        <v>802</v>
      </c>
      <c r="F39" s="11" t="s">
        <v>668</v>
      </c>
      <c r="G39" s="11" t="s">
        <v>668</v>
      </c>
      <c r="H39" s="5" t="s">
        <v>937</v>
      </c>
      <c r="I39" s="5" t="s">
        <v>788</v>
      </c>
      <c r="J39" s="5" t="s">
        <v>789</v>
      </c>
      <c r="K39" s="5" t="s">
        <v>493</v>
      </c>
      <c r="L39" s="5" t="s">
        <v>780</v>
      </c>
      <c r="M39" s="5" t="s">
        <v>938</v>
      </c>
      <c r="N39" s="5" t="s">
        <v>791</v>
      </c>
      <c r="O39" s="28">
        <v>45705</v>
      </c>
    </row>
    <row r="40" spans="1:15">
      <c r="A40" s="11" t="s">
        <v>939</v>
      </c>
      <c r="B40" s="5" t="s">
        <v>940</v>
      </c>
      <c r="C40" s="5" t="s">
        <v>774</v>
      </c>
      <c r="D40" s="5" t="s">
        <v>808</v>
      </c>
      <c r="E40" s="5" t="s">
        <v>809</v>
      </c>
      <c r="F40" s="11" t="s">
        <v>430</v>
      </c>
      <c r="G40" s="11" t="s">
        <v>221</v>
      </c>
      <c r="H40" s="5" t="s">
        <v>941</v>
      </c>
      <c r="I40" s="5" t="s">
        <v>778</v>
      </c>
      <c r="J40" s="5" t="s">
        <v>789</v>
      </c>
      <c r="K40" s="5" t="s">
        <v>493</v>
      </c>
      <c r="L40" s="5" t="s">
        <v>780</v>
      </c>
      <c r="M40" s="5" t="s">
        <v>942</v>
      </c>
      <c r="N40" s="5" t="s">
        <v>798</v>
      </c>
      <c r="O40" s="28">
        <v>45976</v>
      </c>
    </row>
    <row r="41" spans="1:15">
      <c r="A41" s="11" t="s">
        <v>943</v>
      </c>
      <c r="B41" s="5" t="s">
        <v>944</v>
      </c>
      <c r="C41" s="5" t="s">
        <v>774</v>
      </c>
      <c r="D41" s="5" t="s">
        <v>822</v>
      </c>
      <c r="E41" s="5" t="s">
        <v>823</v>
      </c>
      <c r="F41" s="11" t="s">
        <v>430</v>
      </c>
      <c r="G41" s="11" t="s">
        <v>221</v>
      </c>
      <c r="H41" s="5" t="s">
        <v>777</v>
      </c>
      <c r="I41" s="5" t="s">
        <v>778</v>
      </c>
      <c r="J41" s="5" t="s">
        <v>789</v>
      </c>
      <c r="K41" s="5" t="s">
        <v>493</v>
      </c>
      <c r="L41" s="5" t="s">
        <v>780</v>
      </c>
      <c r="M41" s="5" t="s">
        <v>945</v>
      </c>
      <c r="N41" s="5" t="s">
        <v>852</v>
      </c>
      <c r="O41" s="28">
        <v>45732</v>
      </c>
    </row>
    <row r="42" spans="1:15">
      <c r="A42" s="11" t="s">
        <v>946</v>
      </c>
      <c r="B42" s="5" t="s">
        <v>947</v>
      </c>
      <c r="C42" s="5" t="s">
        <v>774</v>
      </c>
      <c r="D42" s="5" t="s">
        <v>822</v>
      </c>
      <c r="E42" s="5" t="s">
        <v>823</v>
      </c>
      <c r="F42" s="11" t="s">
        <v>640</v>
      </c>
      <c r="G42" s="11" t="s">
        <v>640</v>
      </c>
      <c r="H42" s="5" t="s">
        <v>917</v>
      </c>
      <c r="I42" s="5" t="s">
        <v>804</v>
      </c>
      <c r="J42" s="5" t="s">
        <v>779</v>
      </c>
      <c r="K42" s="5" t="s">
        <v>493</v>
      </c>
      <c r="L42" s="5" t="s">
        <v>842</v>
      </c>
      <c r="M42" s="5" t="s">
        <v>948</v>
      </c>
      <c r="N42" s="5" t="s">
        <v>782</v>
      </c>
      <c r="O42" s="28">
        <v>45562</v>
      </c>
    </row>
    <row r="43" spans="1:15">
      <c r="A43" s="11" t="s">
        <v>949</v>
      </c>
      <c r="B43" s="5" t="s">
        <v>950</v>
      </c>
      <c r="C43" s="5" t="s">
        <v>774</v>
      </c>
      <c r="D43" s="5" t="s">
        <v>808</v>
      </c>
      <c r="E43" s="5" t="s">
        <v>809</v>
      </c>
      <c r="F43" s="11" t="s">
        <v>881</v>
      </c>
      <c r="G43" s="11" t="s">
        <v>628</v>
      </c>
      <c r="H43" s="5" t="s">
        <v>951</v>
      </c>
      <c r="I43" s="5" t="s">
        <v>883</v>
      </c>
      <c r="J43" s="5" t="s">
        <v>779</v>
      </c>
      <c r="K43" s="5" t="s">
        <v>428</v>
      </c>
      <c r="L43" s="5" t="s">
        <v>780</v>
      </c>
      <c r="M43" s="5" t="s">
        <v>952</v>
      </c>
      <c r="N43" s="5" t="s">
        <v>791</v>
      </c>
      <c r="O43" s="28">
        <v>46102</v>
      </c>
    </row>
    <row r="44" spans="1:15">
      <c r="A44" s="11" t="s">
        <v>953</v>
      </c>
      <c r="B44" s="5" t="s">
        <v>954</v>
      </c>
      <c r="C44" s="5" t="s">
        <v>774</v>
      </c>
      <c r="D44" s="5" t="s">
        <v>801</v>
      </c>
      <c r="E44" s="5" t="s">
        <v>802</v>
      </c>
      <c r="F44" s="11" t="s">
        <v>668</v>
      </c>
      <c r="G44" s="11" t="s">
        <v>668</v>
      </c>
      <c r="H44" s="5" t="s">
        <v>955</v>
      </c>
      <c r="I44" s="5" t="s">
        <v>788</v>
      </c>
      <c r="J44" s="5" t="s">
        <v>789</v>
      </c>
      <c r="K44" s="5" t="s">
        <v>437</v>
      </c>
      <c r="L44" s="5" t="s">
        <v>780</v>
      </c>
      <c r="M44" s="5" t="s">
        <v>956</v>
      </c>
      <c r="N44" s="5" t="s">
        <v>791</v>
      </c>
      <c r="O44" s="28">
        <v>45572</v>
      </c>
    </row>
    <row r="45" spans="1:15">
      <c r="A45" s="11" t="s">
        <v>957</v>
      </c>
      <c r="B45" s="5" t="s">
        <v>958</v>
      </c>
      <c r="C45" s="5" t="s">
        <v>774</v>
      </c>
      <c r="D45" s="5" t="s">
        <v>775</v>
      </c>
      <c r="E45" s="5" t="s">
        <v>776</v>
      </c>
      <c r="F45" s="11" t="s">
        <v>881</v>
      </c>
      <c r="G45" s="11" t="s">
        <v>628</v>
      </c>
      <c r="H45" s="5" t="s">
        <v>882</v>
      </c>
      <c r="I45" s="5" t="s">
        <v>883</v>
      </c>
      <c r="J45" s="5" t="s">
        <v>779</v>
      </c>
      <c r="K45" s="5" t="s">
        <v>493</v>
      </c>
      <c r="L45" s="5" t="s">
        <v>780</v>
      </c>
      <c r="M45" s="5" t="s">
        <v>959</v>
      </c>
      <c r="N45" s="5" t="s">
        <v>782</v>
      </c>
      <c r="O45" s="28">
        <v>45540</v>
      </c>
    </row>
    <row r="46" spans="1:15">
      <c r="A46" s="11" t="s">
        <v>960</v>
      </c>
      <c r="B46" s="5" t="s">
        <v>961</v>
      </c>
      <c r="C46" s="5" t="s">
        <v>774</v>
      </c>
      <c r="D46" s="5" t="s">
        <v>794</v>
      </c>
      <c r="E46" s="5" t="s">
        <v>795</v>
      </c>
      <c r="F46" s="11" t="s">
        <v>668</v>
      </c>
      <c r="G46" s="11" t="s">
        <v>668</v>
      </c>
      <c r="H46" s="5" t="s">
        <v>955</v>
      </c>
      <c r="I46" s="5" t="s">
        <v>788</v>
      </c>
      <c r="J46" s="5" t="s">
        <v>779</v>
      </c>
      <c r="K46" s="5" t="s">
        <v>437</v>
      </c>
      <c r="L46" s="5" t="s">
        <v>780</v>
      </c>
      <c r="M46" s="5" t="s">
        <v>962</v>
      </c>
      <c r="N46" s="5" t="s">
        <v>791</v>
      </c>
      <c r="O46" s="28">
        <v>46376</v>
      </c>
    </row>
    <row r="47" spans="1:15">
      <c r="A47" s="11" t="s">
        <v>963</v>
      </c>
      <c r="B47" s="5" t="s">
        <v>964</v>
      </c>
      <c r="C47" s="5" t="s">
        <v>774</v>
      </c>
      <c r="D47" s="5" t="s">
        <v>808</v>
      </c>
      <c r="E47" s="5" t="s">
        <v>809</v>
      </c>
      <c r="F47" s="11" t="s">
        <v>430</v>
      </c>
      <c r="G47" s="11" t="s">
        <v>221</v>
      </c>
      <c r="H47" s="5" t="s">
        <v>850</v>
      </c>
      <c r="I47" s="5" t="s">
        <v>778</v>
      </c>
      <c r="J47" s="5" t="s">
        <v>779</v>
      </c>
      <c r="K47" s="5" t="s">
        <v>428</v>
      </c>
      <c r="L47" s="5" t="s">
        <v>780</v>
      </c>
      <c r="M47" s="5" t="s">
        <v>965</v>
      </c>
      <c r="N47" s="5" t="s">
        <v>798</v>
      </c>
      <c r="O47" s="28">
        <v>46100</v>
      </c>
    </row>
    <row r="48" spans="1:15">
      <c r="A48" s="11" t="s">
        <v>966</v>
      </c>
      <c r="B48" s="5" t="s">
        <v>967</v>
      </c>
      <c r="C48" s="5" t="s">
        <v>774</v>
      </c>
      <c r="D48" s="5" t="s">
        <v>822</v>
      </c>
      <c r="E48" s="5" t="s">
        <v>823</v>
      </c>
      <c r="F48" s="11" t="s">
        <v>224</v>
      </c>
      <c r="G48" s="11" t="s">
        <v>561</v>
      </c>
      <c r="H48" s="5" t="s">
        <v>832</v>
      </c>
      <c r="I48" s="5" t="s">
        <v>833</v>
      </c>
      <c r="J48" s="5" t="s">
        <v>779</v>
      </c>
      <c r="K48" s="5" t="s">
        <v>437</v>
      </c>
      <c r="L48" s="5" t="s">
        <v>780</v>
      </c>
      <c r="M48" s="5" t="s">
        <v>968</v>
      </c>
      <c r="N48" s="5" t="s">
        <v>791</v>
      </c>
      <c r="O48" s="28">
        <v>46305</v>
      </c>
    </row>
    <row r="49" spans="1:15">
      <c r="A49" s="11" t="s">
        <v>969</v>
      </c>
      <c r="B49" s="5" t="s">
        <v>970</v>
      </c>
      <c r="C49" s="5" t="s">
        <v>774</v>
      </c>
      <c r="D49" s="5" t="s">
        <v>822</v>
      </c>
      <c r="E49" s="5" t="s">
        <v>823</v>
      </c>
      <c r="F49" s="11" t="s">
        <v>224</v>
      </c>
      <c r="G49" s="11" t="s">
        <v>557</v>
      </c>
      <c r="H49" s="5" t="s">
        <v>971</v>
      </c>
      <c r="I49" s="5" t="s">
        <v>833</v>
      </c>
      <c r="J49" s="5" t="s">
        <v>779</v>
      </c>
      <c r="K49" s="5" t="s">
        <v>428</v>
      </c>
      <c r="L49" s="5" t="s">
        <v>842</v>
      </c>
      <c r="M49" s="5" t="s">
        <v>972</v>
      </c>
      <c r="N49" s="5" t="s">
        <v>791</v>
      </c>
      <c r="O49" s="28">
        <v>45499</v>
      </c>
    </row>
    <row r="50" spans="1:15">
      <c r="A50" s="11" t="s">
        <v>973</v>
      </c>
      <c r="B50" s="5" t="s">
        <v>974</v>
      </c>
      <c r="C50" s="5" t="s">
        <v>774</v>
      </c>
      <c r="D50" s="5" t="s">
        <v>822</v>
      </c>
      <c r="E50" s="5" t="s">
        <v>823</v>
      </c>
      <c r="F50" s="11" t="s">
        <v>668</v>
      </c>
      <c r="G50" s="11" t="s">
        <v>668</v>
      </c>
      <c r="H50" s="5" t="s">
        <v>815</v>
      </c>
      <c r="I50" s="5" t="s">
        <v>788</v>
      </c>
      <c r="J50" s="5" t="s">
        <v>779</v>
      </c>
      <c r="K50" s="5" t="s">
        <v>493</v>
      </c>
      <c r="L50" s="5" t="s">
        <v>780</v>
      </c>
      <c r="M50" s="5" t="s">
        <v>975</v>
      </c>
      <c r="N50" s="5" t="s">
        <v>782</v>
      </c>
      <c r="O50" s="28">
        <v>45652</v>
      </c>
    </row>
    <row r="51" spans="1:15">
      <c r="A51" s="11" t="s">
        <v>976</v>
      </c>
      <c r="B51" s="5" t="s">
        <v>977</v>
      </c>
      <c r="C51" s="5" t="s">
        <v>774</v>
      </c>
      <c r="D51" s="5" t="s">
        <v>827</v>
      </c>
      <c r="E51" s="5" t="s">
        <v>828</v>
      </c>
      <c r="F51" s="11" t="s">
        <v>224</v>
      </c>
      <c r="G51" s="11" t="s">
        <v>565</v>
      </c>
      <c r="H51" s="5" t="s">
        <v>832</v>
      </c>
      <c r="I51" s="5" t="s">
        <v>833</v>
      </c>
      <c r="J51" s="5" t="s">
        <v>789</v>
      </c>
      <c r="K51" s="5" t="s">
        <v>428</v>
      </c>
      <c r="L51" s="5" t="s">
        <v>780</v>
      </c>
      <c r="M51" s="5" t="s">
        <v>978</v>
      </c>
      <c r="N51" s="5" t="s">
        <v>782</v>
      </c>
      <c r="O51" s="28">
        <v>45981</v>
      </c>
    </row>
    <row r="52" spans="1:15">
      <c r="A52" s="11" t="s">
        <v>979</v>
      </c>
      <c r="B52" s="5" t="s">
        <v>980</v>
      </c>
      <c r="C52" s="5" t="s">
        <v>774</v>
      </c>
      <c r="D52" s="5" t="s">
        <v>827</v>
      </c>
      <c r="E52" s="5" t="s">
        <v>828</v>
      </c>
      <c r="F52" s="11" t="s">
        <v>224</v>
      </c>
      <c r="G52" s="11" t="s">
        <v>573</v>
      </c>
      <c r="H52" s="5" t="s">
        <v>981</v>
      </c>
      <c r="I52" s="5" t="s">
        <v>833</v>
      </c>
      <c r="J52" s="5" t="s">
        <v>789</v>
      </c>
      <c r="K52" s="5" t="s">
        <v>428</v>
      </c>
      <c r="L52" s="5" t="s">
        <v>780</v>
      </c>
      <c r="M52" s="5" t="s">
        <v>982</v>
      </c>
      <c r="N52" s="5" t="s">
        <v>791</v>
      </c>
      <c r="O52" s="28">
        <v>46132</v>
      </c>
    </row>
    <row r="53" spans="1:15">
      <c r="A53" s="11" t="s">
        <v>983</v>
      </c>
      <c r="B53" s="5" t="s">
        <v>984</v>
      </c>
      <c r="C53" s="5" t="s">
        <v>774</v>
      </c>
      <c r="D53" s="5" t="s">
        <v>785</v>
      </c>
      <c r="E53" s="5" t="s">
        <v>786</v>
      </c>
      <c r="F53" s="11" t="s">
        <v>497</v>
      </c>
      <c r="G53" s="11" t="s">
        <v>719</v>
      </c>
      <c r="H53" s="5" t="s">
        <v>873</v>
      </c>
      <c r="I53" s="5" t="s">
        <v>874</v>
      </c>
      <c r="J53" s="5" t="s">
        <v>789</v>
      </c>
      <c r="K53" s="5" t="s">
        <v>428</v>
      </c>
      <c r="L53" s="5" t="s">
        <v>780</v>
      </c>
      <c r="M53" s="5" t="s">
        <v>985</v>
      </c>
      <c r="N53" s="5" t="s">
        <v>791</v>
      </c>
      <c r="O53" s="28">
        <v>45719</v>
      </c>
    </row>
    <row r="54" spans="1:15">
      <c r="A54" s="11" t="s">
        <v>986</v>
      </c>
      <c r="B54" s="5" t="s">
        <v>987</v>
      </c>
      <c r="C54" s="5" t="s">
        <v>774</v>
      </c>
      <c r="D54" s="5" t="s">
        <v>808</v>
      </c>
      <c r="E54" s="5" t="s">
        <v>809</v>
      </c>
      <c r="F54" s="11" t="s">
        <v>430</v>
      </c>
      <c r="G54" s="11" t="s">
        <v>221</v>
      </c>
      <c r="H54" s="5" t="s">
        <v>930</v>
      </c>
      <c r="I54" s="5" t="s">
        <v>778</v>
      </c>
      <c r="J54" s="5" t="s">
        <v>789</v>
      </c>
      <c r="K54" s="5" t="s">
        <v>428</v>
      </c>
      <c r="L54" s="5" t="s">
        <v>780</v>
      </c>
      <c r="M54" s="5" t="s">
        <v>988</v>
      </c>
      <c r="N54" s="5" t="s">
        <v>812</v>
      </c>
      <c r="O54" s="28">
        <v>46057</v>
      </c>
    </row>
    <row r="55" spans="1:15">
      <c r="A55" s="11" t="s">
        <v>989</v>
      </c>
      <c r="B55" s="5" t="s">
        <v>990</v>
      </c>
      <c r="C55" s="5" t="s">
        <v>774</v>
      </c>
      <c r="D55" s="5" t="s">
        <v>801</v>
      </c>
      <c r="E55" s="5" t="s">
        <v>802</v>
      </c>
      <c r="F55" s="11" t="s">
        <v>430</v>
      </c>
      <c r="G55" s="11" t="s">
        <v>221</v>
      </c>
      <c r="H55" s="5" t="s">
        <v>841</v>
      </c>
      <c r="I55" s="5" t="s">
        <v>778</v>
      </c>
      <c r="J55" s="5" t="s">
        <v>779</v>
      </c>
      <c r="K55" s="5" t="s">
        <v>493</v>
      </c>
      <c r="L55" s="5" t="s">
        <v>780</v>
      </c>
      <c r="M55" s="5" t="s">
        <v>991</v>
      </c>
      <c r="N55" s="5" t="s">
        <v>812</v>
      </c>
      <c r="O55" s="28">
        <v>45446</v>
      </c>
    </row>
    <row r="56" spans="1:15">
      <c r="A56" s="11" t="s">
        <v>992</v>
      </c>
      <c r="B56" s="5" t="s">
        <v>993</v>
      </c>
      <c r="C56" s="5" t="s">
        <v>774</v>
      </c>
      <c r="D56" s="5" t="s">
        <v>775</v>
      </c>
      <c r="E56" s="5" t="s">
        <v>776</v>
      </c>
      <c r="F56" s="11" t="s">
        <v>640</v>
      </c>
      <c r="G56" s="11" t="s">
        <v>640</v>
      </c>
      <c r="H56" s="5" t="s">
        <v>994</v>
      </c>
      <c r="I56" s="5" t="s">
        <v>804</v>
      </c>
      <c r="J56" s="5" t="s">
        <v>779</v>
      </c>
      <c r="K56" s="5" t="s">
        <v>493</v>
      </c>
      <c r="L56" s="5" t="s">
        <v>780</v>
      </c>
      <c r="M56" s="5" t="s">
        <v>995</v>
      </c>
      <c r="N56" s="5" t="s">
        <v>782</v>
      </c>
      <c r="O56" s="28">
        <v>46111</v>
      </c>
    </row>
    <row r="57" spans="1:15">
      <c r="A57" s="11" t="s">
        <v>996</v>
      </c>
      <c r="B57" s="5" t="s">
        <v>997</v>
      </c>
      <c r="C57" s="5" t="s">
        <v>774</v>
      </c>
      <c r="D57" s="5" t="s">
        <v>785</v>
      </c>
      <c r="E57" s="5" t="s">
        <v>786</v>
      </c>
      <c r="F57" s="11" t="s">
        <v>430</v>
      </c>
      <c r="G57" s="11" t="s">
        <v>221</v>
      </c>
      <c r="H57" s="5" t="s">
        <v>941</v>
      </c>
      <c r="I57" s="5" t="s">
        <v>778</v>
      </c>
      <c r="J57" s="5" t="s">
        <v>779</v>
      </c>
      <c r="K57" s="5" t="s">
        <v>428</v>
      </c>
      <c r="L57" s="5" t="s">
        <v>780</v>
      </c>
      <c r="M57" s="5" t="s">
        <v>998</v>
      </c>
      <c r="N57" s="5" t="s">
        <v>782</v>
      </c>
      <c r="O57" s="28">
        <v>46130</v>
      </c>
    </row>
    <row r="58" spans="1:15">
      <c r="A58" s="11" t="s">
        <v>999</v>
      </c>
      <c r="B58" s="5" t="s">
        <v>1000</v>
      </c>
      <c r="C58" s="5" t="s">
        <v>774</v>
      </c>
      <c r="D58" s="5" t="s">
        <v>808</v>
      </c>
      <c r="E58" s="5" t="s">
        <v>809</v>
      </c>
      <c r="F58" s="11" t="s">
        <v>640</v>
      </c>
      <c r="G58" s="11" t="s">
        <v>640</v>
      </c>
      <c r="H58" s="5" t="s">
        <v>994</v>
      </c>
      <c r="I58" s="5" t="s">
        <v>804</v>
      </c>
      <c r="J58" s="5" t="s">
        <v>779</v>
      </c>
      <c r="K58" s="5" t="s">
        <v>493</v>
      </c>
      <c r="L58" s="5" t="s">
        <v>780</v>
      </c>
      <c r="M58" s="5" t="s">
        <v>1001</v>
      </c>
      <c r="N58" s="5" t="s">
        <v>791</v>
      </c>
      <c r="O58" s="28">
        <v>45328</v>
      </c>
    </row>
    <row r="59" spans="1:15">
      <c r="A59" s="11" t="s">
        <v>1002</v>
      </c>
      <c r="B59" s="5" t="s">
        <v>1003</v>
      </c>
      <c r="C59" s="5" t="s">
        <v>774</v>
      </c>
      <c r="D59" s="5" t="s">
        <v>801</v>
      </c>
      <c r="E59" s="5" t="s">
        <v>802</v>
      </c>
      <c r="F59" s="11" t="s">
        <v>497</v>
      </c>
      <c r="G59" s="11" t="s">
        <v>719</v>
      </c>
      <c r="H59" s="5" t="s">
        <v>1004</v>
      </c>
      <c r="I59" s="5" t="s">
        <v>874</v>
      </c>
      <c r="J59" s="5" t="s">
        <v>779</v>
      </c>
      <c r="K59" s="5" t="s">
        <v>437</v>
      </c>
      <c r="L59" s="5" t="s">
        <v>842</v>
      </c>
      <c r="M59" s="5" t="s">
        <v>1005</v>
      </c>
      <c r="N59" s="5" t="s">
        <v>782</v>
      </c>
      <c r="O59" s="28">
        <v>45841</v>
      </c>
    </row>
    <row r="60" spans="1:15">
      <c r="A60" s="11" t="s">
        <v>1006</v>
      </c>
      <c r="B60" s="5" t="s">
        <v>1007</v>
      </c>
      <c r="C60" s="5" t="s">
        <v>774</v>
      </c>
      <c r="D60" s="5" t="s">
        <v>785</v>
      </c>
      <c r="E60" s="5" t="s">
        <v>786</v>
      </c>
      <c r="F60" s="11" t="s">
        <v>224</v>
      </c>
      <c r="G60" s="11" t="s">
        <v>577</v>
      </c>
      <c r="H60" s="5" t="s">
        <v>981</v>
      </c>
      <c r="I60" s="5" t="s">
        <v>833</v>
      </c>
      <c r="J60" s="5" t="s">
        <v>789</v>
      </c>
      <c r="K60" s="5" t="s">
        <v>428</v>
      </c>
      <c r="L60" s="5" t="s">
        <v>780</v>
      </c>
      <c r="M60" s="5" t="s">
        <v>1008</v>
      </c>
      <c r="N60" s="5" t="s">
        <v>791</v>
      </c>
      <c r="O60" s="28">
        <v>45671</v>
      </c>
    </row>
    <row r="61" spans="1:15">
      <c r="A61" s="11" t="s">
        <v>1009</v>
      </c>
      <c r="B61" s="5" t="s">
        <v>1010</v>
      </c>
      <c r="C61" s="5" t="s">
        <v>774</v>
      </c>
      <c r="D61" s="5" t="s">
        <v>827</v>
      </c>
      <c r="E61" s="5" t="s">
        <v>828</v>
      </c>
      <c r="F61" s="11" t="s">
        <v>497</v>
      </c>
      <c r="G61" s="11" t="s">
        <v>715</v>
      </c>
      <c r="H61" s="5" t="s">
        <v>873</v>
      </c>
      <c r="I61" s="5" t="s">
        <v>1011</v>
      </c>
      <c r="J61" s="5" t="s">
        <v>789</v>
      </c>
      <c r="K61" s="5" t="s">
        <v>428</v>
      </c>
      <c r="L61" s="5" t="s">
        <v>842</v>
      </c>
      <c r="M61" s="5" t="s">
        <v>1012</v>
      </c>
      <c r="N61" s="5" t="s">
        <v>791</v>
      </c>
      <c r="O61" s="28">
        <v>45965</v>
      </c>
    </row>
    <row r="62" spans="1:15">
      <c r="A62" s="11" t="s">
        <v>1013</v>
      </c>
      <c r="B62" s="5" t="s">
        <v>1014</v>
      </c>
      <c r="C62" s="5" t="s">
        <v>774</v>
      </c>
      <c r="D62" s="5" t="s">
        <v>801</v>
      </c>
      <c r="E62" s="5" t="s">
        <v>802</v>
      </c>
      <c r="F62" s="11" t="s">
        <v>430</v>
      </c>
      <c r="G62" s="11" t="s">
        <v>221</v>
      </c>
      <c r="H62" s="5" t="s">
        <v>810</v>
      </c>
      <c r="I62" s="5" t="s">
        <v>778</v>
      </c>
      <c r="J62" s="5" t="s">
        <v>779</v>
      </c>
      <c r="K62" s="5" t="s">
        <v>428</v>
      </c>
      <c r="L62" s="5" t="s">
        <v>780</v>
      </c>
      <c r="M62" s="5" t="s">
        <v>1015</v>
      </c>
      <c r="N62" s="5" t="s">
        <v>812</v>
      </c>
      <c r="O62" s="28">
        <v>45830</v>
      </c>
    </row>
    <row r="63" spans="1:15">
      <c r="A63" s="11" t="s">
        <v>1016</v>
      </c>
      <c r="B63" s="5" t="s">
        <v>1017</v>
      </c>
      <c r="C63" s="5" t="s">
        <v>774</v>
      </c>
      <c r="D63" s="5" t="s">
        <v>775</v>
      </c>
      <c r="E63" s="5" t="s">
        <v>776</v>
      </c>
      <c r="F63" s="11" t="s">
        <v>224</v>
      </c>
      <c r="G63" s="11" t="s">
        <v>581</v>
      </c>
      <c r="H63" s="5" t="s">
        <v>899</v>
      </c>
      <c r="I63" s="5" t="s">
        <v>833</v>
      </c>
      <c r="J63" s="5" t="s">
        <v>789</v>
      </c>
      <c r="K63" s="5" t="s">
        <v>493</v>
      </c>
      <c r="L63" s="5" t="s">
        <v>842</v>
      </c>
      <c r="M63" s="5" t="s">
        <v>1018</v>
      </c>
      <c r="N63" s="5" t="s">
        <v>791</v>
      </c>
      <c r="O63" s="28">
        <v>45629</v>
      </c>
    </row>
    <row r="64" spans="1:15">
      <c r="A64" s="11" t="s">
        <v>1019</v>
      </c>
      <c r="B64" s="5" t="s">
        <v>1020</v>
      </c>
      <c r="C64" s="5" t="s">
        <v>774</v>
      </c>
      <c r="D64" s="5" t="s">
        <v>808</v>
      </c>
      <c r="E64" s="5" t="s">
        <v>809</v>
      </c>
      <c r="F64" s="11" t="s">
        <v>640</v>
      </c>
      <c r="G64" s="11" t="s">
        <v>640</v>
      </c>
      <c r="H64" s="5" t="s">
        <v>1021</v>
      </c>
      <c r="I64" s="5" t="s">
        <v>804</v>
      </c>
      <c r="J64" s="5" t="s">
        <v>779</v>
      </c>
      <c r="K64" s="5" t="s">
        <v>437</v>
      </c>
      <c r="L64" s="5" t="s">
        <v>780</v>
      </c>
      <c r="M64" s="5" t="s">
        <v>1022</v>
      </c>
      <c r="N64" s="5" t="s">
        <v>791</v>
      </c>
      <c r="O64" s="28">
        <v>46167</v>
      </c>
    </row>
    <row r="65" spans="1:15">
      <c r="A65" s="11" t="s">
        <v>1023</v>
      </c>
      <c r="B65" s="5" t="s">
        <v>1024</v>
      </c>
      <c r="C65" s="5" t="s">
        <v>774</v>
      </c>
      <c r="D65" s="5" t="s">
        <v>801</v>
      </c>
      <c r="E65" s="5" t="s">
        <v>802</v>
      </c>
      <c r="F65" s="11" t="s">
        <v>430</v>
      </c>
      <c r="G65" s="11" t="s">
        <v>221</v>
      </c>
      <c r="H65" s="5" t="s">
        <v>810</v>
      </c>
      <c r="I65" s="5" t="s">
        <v>778</v>
      </c>
      <c r="J65" s="5" t="s">
        <v>779</v>
      </c>
      <c r="K65" s="5" t="s">
        <v>437</v>
      </c>
      <c r="L65" s="5" t="s">
        <v>780</v>
      </c>
      <c r="M65" s="5" t="s">
        <v>1025</v>
      </c>
      <c r="N65" s="5" t="s">
        <v>798</v>
      </c>
      <c r="O65" s="28">
        <v>45741</v>
      </c>
    </row>
    <row r="66" spans="1:15">
      <c r="A66" s="11" t="s">
        <v>1026</v>
      </c>
      <c r="B66" s="5" t="s">
        <v>1027</v>
      </c>
      <c r="C66" s="5" t="s">
        <v>774</v>
      </c>
      <c r="D66" s="5" t="s">
        <v>827</v>
      </c>
      <c r="E66" s="5" t="s">
        <v>828</v>
      </c>
      <c r="F66" s="11" t="s">
        <v>430</v>
      </c>
      <c r="G66" s="11" t="s">
        <v>221</v>
      </c>
      <c r="H66" s="5" t="s">
        <v>869</v>
      </c>
      <c r="I66" s="5" t="s">
        <v>778</v>
      </c>
      <c r="J66" s="5" t="s">
        <v>789</v>
      </c>
      <c r="K66" s="5" t="s">
        <v>493</v>
      </c>
      <c r="L66" s="5" t="s">
        <v>842</v>
      </c>
      <c r="M66" s="5" t="s">
        <v>1028</v>
      </c>
      <c r="N66" s="5" t="s">
        <v>852</v>
      </c>
      <c r="O66" s="28">
        <v>45666</v>
      </c>
    </row>
    <row r="67" spans="1:15">
      <c r="A67" s="11" t="s">
        <v>1029</v>
      </c>
      <c r="B67" s="5" t="s">
        <v>1030</v>
      </c>
      <c r="C67" s="5" t="s">
        <v>774</v>
      </c>
      <c r="D67" s="5" t="s">
        <v>822</v>
      </c>
      <c r="E67" s="5" t="s">
        <v>823</v>
      </c>
      <c r="F67" s="11" t="s">
        <v>224</v>
      </c>
      <c r="G67" s="11" t="s">
        <v>569</v>
      </c>
      <c r="H67" s="5" t="s">
        <v>1031</v>
      </c>
      <c r="I67" s="5" t="s">
        <v>833</v>
      </c>
      <c r="J67" s="5" t="s">
        <v>779</v>
      </c>
      <c r="K67" s="5" t="s">
        <v>437</v>
      </c>
      <c r="L67" s="5" t="s">
        <v>780</v>
      </c>
      <c r="M67" s="5" t="s">
        <v>1032</v>
      </c>
      <c r="N67" s="5" t="s">
        <v>782</v>
      </c>
      <c r="O67" s="28">
        <v>46326</v>
      </c>
    </row>
    <row r="68" spans="1:15">
      <c r="A68" s="11" t="s">
        <v>1033</v>
      </c>
      <c r="B68" s="5" t="s">
        <v>1034</v>
      </c>
      <c r="C68" s="5" t="s">
        <v>774</v>
      </c>
      <c r="D68" s="5" t="s">
        <v>801</v>
      </c>
      <c r="E68" s="5" t="s">
        <v>802</v>
      </c>
      <c r="F68" s="11" t="s">
        <v>668</v>
      </c>
      <c r="G68" s="11" t="s">
        <v>668</v>
      </c>
      <c r="H68" s="5" t="s">
        <v>937</v>
      </c>
      <c r="I68" s="5" t="s">
        <v>788</v>
      </c>
      <c r="J68" s="5" t="s">
        <v>779</v>
      </c>
      <c r="K68" s="5" t="s">
        <v>437</v>
      </c>
      <c r="L68" s="5" t="s">
        <v>780</v>
      </c>
      <c r="M68" s="5" t="s">
        <v>1035</v>
      </c>
      <c r="N68" s="5" t="s">
        <v>782</v>
      </c>
      <c r="O68" s="28">
        <v>45983</v>
      </c>
    </row>
    <row r="69" spans="1:15">
      <c r="A69" s="11" t="s">
        <v>1036</v>
      </c>
      <c r="B69" s="5" t="s">
        <v>1037</v>
      </c>
      <c r="C69" s="5" t="s">
        <v>774</v>
      </c>
      <c r="D69" s="5" t="s">
        <v>775</v>
      </c>
      <c r="E69" s="5" t="s">
        <v>776</v>
      </c>
      <c r="F69" s="11" t="s">
        <v>430</v>
      </c>
      <c r="G69" s="11" t="s">
        <v>221</v>
      </c>
      <c r="H69" s="5" t="s">
        <v>850</v>
      </c>
      <c r="I69" s="5" t="s">
        <v>778</v>
      </c>
      <c r="J69" s="5" t="s">
        <v>779</v>
      </c>
      <c r="K69" s="5" t="s">
        <v>437</v>
      </c>
      <c r="L69" s="5" t="s">
        <v>780</v>
      </c>
      <c r="M69" s="5" t="s">
        <v>1038</v>
      </c>
      <c r="N69" s="5" t="s">
        <v>852</v>
      </c>
      <c r="O69" s="28">
        <v>46154</v>
      </c>
    </row>
    <row r="70" spans="1:15">
      <c r="A70" s="11" t="s">
        <v>1039</v>
      </c>
      <c r="B70" s="5" t="s">
        <v>1040</v>
      </c>
      <c r="C70" s="5" t="s">
        <v>774</v>
      </c>
      <c r="D70" s="5" t="s">
        <v>775</v>
      </c>
      <c r="E70" s="5" t="s">
        <v>776</v>
      </c>
      <c r="F70" s="11" t="s">
        <v>640</v>
      </c>
      <c r="G70" s="11" t="s">
        <v>640</v>
      </c>
      <c r="H70" s="5" t="s">
        <v>846</v>
      </c>
      <c r="I70" s="5" t="s">
        <v>804</v>
      </c>
      <c r="J70" s="5" t="s">
        <v>789</v>
      </c>
      <c r="K70" s="5" t="s">
        <v>428</v>
      </c>
      <c r="L70" s="5" t="s">
        <v>780</v>
      </c>
      <c r="M70" s="5" t="s">
        <v>1041</v>
      </c>
      <c r="N70" s="5" t="s">
        <v>782</v>
      </c>
      <c r="O70" s="28">
        <v>45627</v>
      </c>
    </row>
    <row r="71" spans="1:15">
      <c r="A71" s="11" t="s">
        <v>1042</v>
      </c>
      <c r="B71" s="5" t="s">
        <v>1043</v>
      </c>
      <c r="C71" s="5" t="s">
        <v>774</v>
      </c>
      <c r="D71" s="5" t="s">
        <v>822</v>
      </c>
      <c r="E71" s="5" t="s">
        <v>823</v>
      </c>
      <c r="F71" s="11" t="s">
        <v>430</v>
      </c>
      <c r="G71" s="11" t="s">
        <v>221</v>
      </c>
      <c r="H71" s="5" t="s">
        <v>850</v>
      </c>
      <c r="I71" s="5" t="s">
        <v>778</v>
      </c>
      <c r="J71" s="5" t="s">
        <v>789</v>
      </c>
      <c r="K71" s="5" t="s">
        <v>428</v>
      </c>
      <c r="L71" s="5" t="s">
        <v>842</v>
      </c>
      <c r="M71" s="5" t="s">
        <v>1044</v>
      </c>
      <c r="N71" s="5" t="s">
        <v>798</v>
      </c>
      <c r="O71" s="28">
        <v>45957</v>
      </c>
    </row>
    <row r="72" spans="1:15">
      <c r="A72" s="11" t="s">
        <v>1045</v>
      </c>
      <c r="B72" s="5" t="s">
        <v>1046</v>
      </c>
      <c r="C72" s="5" t="s">
        <v>774</v>
      </c>
      <c r="D72" s="5" t="s">
        <v>827</v>
      </c>
      <c r="E72" s="5" t="s">
        <v>828</v>
      </c>
      <c r="F72" s="11" t="s">
        <v>224</v>
      </c>
      <c r="G72" s="11" t="s">
        <v>569</v>
      </c>
      <c r="H72" s="5" t="s">
        <v>1031</v>
      </c>
      <c r="I72" s="5" t="s">
        <v>833</v>
      </c>
      <c r="J72" s="5" t="s">
        <v>779</v>
      </c>
      <c r="K72" s="5" t="s">
        <v>437</v>
      </c>
      <c r="L72" s="5" t="s">
        <v>780</v>
      </c>
      <c r="M72" s="5" t="s">
        <v>1047</v>
      </c>
      <c r="N72" s="5" t="s">
        <v>791</v>
      </c>
      <c r="O72" s="28">
        <v>45734</v>
      </c>
    </row>
    <row r="73" spans="1:15">
      <c r="A73" s="11" t="s">
        <v>1048</v>
      </c>
      <c r="B73" s="5" t="s">
        <v>1049</v>
      </c>
      <c r="C73" s="5" t="s">
        <v>774</v>
      </c>
      <c r="D73" s="5" t="s">
        <v>801</v>
      </c>
      <c r="E73" s="5" t="s">
        <v>802</v>
      </c>
      <c r="F73" s="11" t="s">
        <v>430</v>
      </c>
      <c r="G73" s="11" t="s">
        <v>221</v>
      </c>
      <c r="H73" s="5" t="s">
        <v>869</v>
      </c>
      <c r="I73" s="5" t="s">
        <v>778</v>
      </c>
      <c r="J73" s="5" t="s">
        <v>779</v>
      </c>
      <c r="K73" s="5" t="s">
        <v>493</v>
      </c>
      <c r="L73" s="5" t="s">
        <v>842</v>
      </c>
      <c r="M73" s="5" t="s">
        <v>1050</v>
      </c>
      <c r="N73" s="5" t="s">
        <v>852</v>
      </c>
      <c r="O73" s="28">
        <v>46223</v>
      </c>
    </row>
    <row r="74" spans="1:15">
      <c r="A74" s="11" t="s">
        <v>1051</v>
      </c>
      <c r="B74" s="5" t="s">
        <v>1052</v>
      </c>
      <c r="C74" s="5" t="s">
        <v>774</v>
      </c>
      <c r="D74" s="5" t="s">
        <v>808</v>
      </c>
      <c r="E74" s="5" t="s">
        <v>809</v>
      </c>
      <c r="F74" s="11" t="s">
        <v>430</v>
      </c>
      <c r="G74" s="11" t="s">
        <v>221</v>
      </c>
      <c r="H74" s="5" t="s">
        <v>941</v>
      </c>
      <c r="I74" s="5" t="s">
        <v>778</v>
      </c>
      <c r="J74" s="5" t="s">
        <v>779</v>
      </c>
      <c r="K74" s="5" t="s">
        <v>437</v>
      </c>
      <c r="L74" s="5" t="s">
        <v>780</v>
      </c>
      <c r="M74" s="5" t="s">
        <v>1053</v>
      </c>
      <c r="N74" s="5" t="s">
        <v>852</v>
      </c>
      <c r="O74" s="28">
        <v>46342</v>
      </c>
    </row>
    <row r="75" spans="1:15">
      <c r="A75" s="11" t="s">
        <v>1054</v>
      </c>
      <c r="B75" s="5" t="s">
        <v>1055</v>
      </c>
      <c r="C75" s="5" t="s">
        <v>774</v>
      </c>
      <c r="D75" s="5" t="s">
        <v>794</v>
      </c>
      <c r="E75" s="5" t="s">
        <v>795</v>
      </c>
      <c r="F75" s="11" t="s">
        <v>224</v>
      </c>
      <c r="G75" s="11" t="s">
        <v>569</v>
      </c>
      <c r="H75" s="5" t="s">
        <v>832</v>
      </c>
      <c r="I75" s="5" t="s">
        <v>833</v>
      </c>
      <c r="J75" s="5" t="s">
        <v>779</v>
      </c>
      <c r="K75" s="5" t="s">
        <v>493</v>
      </c>
      <c r="L75" s="5" t="s">
        <v>780</v>
      </c>
      <c r="M75" s="5" t="s">
        <v>1056</v>
      </c>
      <c r="N75" s="5" t="s">
        <v>791</v>
      </c>
      <c r="O75" s="28">
        <v>45494</v>
      </c>
    </row>
    <row r="76" spans="1:15">
      <c r="A76" s="11" t="s">
        <v>1057</v>
      </c>
      <c r="B76" s="5" t="s">
        <v>1058</v>
      </c>
      <c r="C76" s="5" t="s">
        <v>774</v>
      </c>
      <c r="D76" s="5" t="s">
        <v>808</v>
      </c>
      <c r="E76" s="5" t="s">
        <v>809</v>
      </c>
      <c r="F76" s="11" t="s">
        <v>430</v>
      </c>
      <c r="G76" s="11" t="s">
        <v>221</v>
      </c>
      <c r="H76" s="5" t="s">
        <v>930</v>
      </c>
      <c r="I76" s="5" t="s">
        <v>778</v>
      </c>
      <c r="J76" s="5" t="s">
        <v>789</v>
      </c>
      <c r="K76" s="5" t="s">
        <v>493</v>
      </c>
      <c r="L76" s="5" t="s">
        <v>780</v>
      </c>
      <c r="M76" s="5" t="s">
        <v>1059</v>
      </c>
      <c r="N76" s="5" t="s">
        <v>852</v>
      </c>
      <c r="O76" s="28">
        <v>46278</v>
      </c>
    </row>
    <row r="77" spans="1:15">
      <c r="A77" s="11" t="s">
        <v>1060</v>
      </c>
      <c r="B77" s="5" t="s">
        <v>1061</v>
      </c>
      <c r="C77" s="5" t="s">
        <v>774</v>
      </c>
      <c r="D77" s="5" t="s">
        <v>801</v>
      </c>
      <c r="E77" s="5" t="s">
        <v>802</v>
      </c>
      <c r="F77" s="11" t="s">
        <v>224</v>
      </c>
      <c r="G77" s="11" t="s">
        <v>573</v>
      </c>
      <c r="H77" s="5" t="s">
        <v>981</v>
      </c>
      <c r="I77" s="5" t="s">
        <v>833</v>
      </c>
      <c r="J77" s="5" t="s">
        <v>779</v>
      </c>
      <c r="K77" s="5" t="s">
        <v>493</v>
      </c>
      <c r="L77" s="5" t="s">
        <v>842</v>
      </c>
      <c r="M77" s="5" t="s">
        <v>1062</v>
      </c>
      <c r="N77" s="5" t="s">
        <v>782</v>
      </c>
      <c r="O77" s="28">
        <v>45491</v>
      </c>
    </row>
    <row r="78" spans="1:15">
      <c r="A78" s="11" t="s">
        <v>1063</v>
      </c>
      <c r="B78" s="5" t="s">
        <v>1064</v>
      </c>
      <c r="C78" s="5" t="s">
        <v>774</v>
      </c>
      <c r="D78" s="5" t="s">
        <v>794</v>
      </c>
      <c r="E78" s="5" t="s">
        <v>795</v>
      </c>
      <c r="F78" s="11" t="s">
        <v>224</v>
      </c>
      <c r="G78" s="11" t="s">
        <v>585</v>
      </c>
      <c r="H78" s="5" t="s">
        <v>1031</v>
      </c>
      <c r="I78" s="5" t="s">
        <v>833</v>
      </c>
      <c r="J78" s="5" t="s">
        <v>779</v>
      </c>
      <c r="K78" s="5" t="s">
        <v>437</v>
      </c>
      <c r="L78" s="5" t="s">
        <v>780</v>
      </c>
      <c r="M78" s="5" t="s">
        <v>1065</v>
      </c>
      <c r="N78" s="5" t="s">
        <v>782</v>
      </c>
      <c r="O78" s="28">
        <v>46381</v>
      </c>
    </row>
    <row r="79" spans="1:15">
      <c r="A79" s="11" t="s">
        <v>1066</v>
      </c>
      <c r="B79" s="5" t="s">
        <v>1067</v>
      </c>
      <c r="C79" s="5" t="s">
        <v>774</v>
      </c>
      <c r="D79" s="5" t="s">
        <v>827</v>
      </c>
      <c r="E79" s="5" t="s">
        <v>828</v>
      </c>
      <c r="F79" s="11" t="s">
        <v>430</v>
      </c>
      <c r="G79" s="11" t="s">
        <v>221</v>
      </c>
      <c r="H79" s="5" t="s">
        <v>858</v>
      </c>
      <c r="I79" s="5" t="s">
        <v>778</v>
      </c>
      <c r="J79" s="5" t="s">
        <v>789</v>
      </c>
      <c r="K79" s="5" t="s">
        <v>428</v>
      </c>
      <c r="L79" s="5" t="s">
        <v>780</v>
      </c>
      <c r="M79" s="5" t="s">
        <v>1068</v>
      </c>
      <c r="N79" s="5" t="s">
        <v>798</v>
      </c>
      <c r="O79" s="28">
        <v>45834</v>
      </c>
    </row>
    <row r="80" spans="1:15">
      <c r="A80" s="11" t="s">
        <v>1069</v>
      </c>
      <c r="B80" s="5" t="s">
        <v>1070</v>
      </c>
      <c r="C80" s="5" t="s">
        <v>774</v>
      </c>
      <c r="D80" s="5" t="s">
        <v>827</v>
      </c>
      <c r="E80" s="5" t="s">
        <v>828</v>
      </c>
      <c r="F80" s="11" t="s">
        <v>430</v>
      </c>
      <c r="G80" s="11" t="s">
        <v>221</v>
      </c>
      <c r="H80" s="5" t="s">
        <v>796</v>
      </c>
      <c r="I80" s="5" t="s">
        <v>778</v>
      </c>
      <c r="J80" s="5" t="s">
        <v>779</v>
      </c>
      <c r="K80" s="5" t="s">
        <v>428</v>
      </c>
      <c r="L80" s="5" t="s">
        <v>842</v>
      </c>
      <c r="M80" s="5" t="s">
        <v>1071</v>
      </c>
      <c r="N80" s="5" t="s">
        <v>782</v>
      </c>
      <c r="O80" s="28">
        <v>45502</v>
      </c>
    </row>
    <row r="81" spans="1:15">
      <c r="A81" s="11" t="s">
        <v>1072</v>
      </c>
      <c r="B81" s="5" t="s">
        <v>1073</v>
      </c>
      <c r="C81" s="5" t="s">
        <v>774</v>
      </c>
      <c r="D81" s="5" t="s">
        <v>785</v>
      </c>
      <c r="E81" s="5" t="s">
        <v>786</v>
      </c>
      <c r="F81" s="11" t="s">
        <v>430</v>
      </c>
      <c r="G81" s="11" t="s">
        <v>221</v>
      </c>
      <c r="H81" s="5" t="s">
        <v>810</v>
      </c>
      <c r="I81" s="5" t="s">
        <v>778</v>
      </c>
      <c r="J81" s="5" t="s">
        <v>789</v>
      </c>
      <c r="K81" s="5" t="s">
        <v>493</v>
      </c>
      <c r="L81" s="5" t="s">
        <v>780</v>
      </c>
      <c r="M81" s="5" t="s">
        <v>1074</v>
      </c>
      <c r="N81" s="5" t="s">
        <v>798</v>
      </c>
      <c r="O81" s="28">
        <v>45524</v>
      </c>
    </row>
    <row r="82" spans="1:15">
      <c r="A82" s="11" t="s">
        <v>1075</v>
      </c>
      <c r="B82" s="5" t="s">
        <v>1076</v>
      </c>
      <c r="C82" s="5" t="s">
        <v>774</v>
      </c>
      <c r="D82" s="5" t="s">
        <v>775</v>
      </c>
      <c r="E82" s="5" t="s">
        <v>776</v>
      </c>
      <c r="F82" s="11" t="s">
        <v>430</v>
      </c>
      <c r="G82" s="11" t="s">
        <v>221</v>
      </c>
      <c r="H82" s="5" t="s">
        <v>810</v>
      </c>
      <c r="I82" s="5" t="s">
        <v>778</v>
      </c>
      <c r="J82" s="5" t="s">
        <v>779</v>
      </c>
      <c r="K82" s="5" t="s">
        <v>437</v>
      </c>
      <c r="L82" s="5" t="s">
        <v>780</v>
      </c>
      <c r="M82" s="5" t="s">
        <v>1077</v>
      </c>
      <c r="N82" s="5" t="s">
        <v>782</v>
      </c>
      <c r="O82" s="28">
        <v>45787</v>
      </c>
    </row>
    <row r="83" spans="1:15">
      <c r="A83" s="11" t="s">
        <v>1078</v>
      </c>
      <c r="B83" s="5" t="s">
        <v>1079</v>
      </c>
      <c r="C83" s="5" t="s">
        <v>774</v>
      </c>
      <c r="D83" s="5" t="s">
        <v>785</v>
      </c>
      <c r="E83" s="5" t="s">
        <v>786</v>
      </c>
      <c r="F83" s="11" t="s">
        <v>881</v>
      </c>
      <c r="G83" s="11" t="s">
        <v>628</v>
      </c>
      <c r="H83" s="5" t="s">
        <v>1080</v>
      </c>
      <c r="I83" s="5" t="s">
        <v>883</v>
      </c>
      <c r="J83" s="5" t="s">
        <v>789</v>
      </c>
      <c r="K83" s="5" t="s">
        <v>428</v>
      </c>
      <c r="L83" s="5" t="s">
        <v>780</v>
      </c>
      <c r="M83" s="5" t="s">
        <v>1081</v>
      </c>
      <c r="N83" s="5" t="s">
        <v>782</v>
      </c>
      <c r="O83" s="28">
        <v>46043</v>
      </c>
    </row>
    <row r="84" spans="1:15">
      <c r="A84" s="11" t="s">
        <v>1082</v>
      </c>
      <c r="B84" s="5" t="s">
        <v>1083</v>
      </c>
      <c r="C84" s="5" t="s">
        <v>774</v>
      </c>
      <c r="D84" s="5" t="s">
        <v>794</v>
      </c>
      <c r="E84" s="5" t="s">
        <v>795</v>
      </c>
      <c r="F84" s="11" t="s">
        <v>430</v>
      </c>
      <c r="G84" s="11" t="s">
        <v>221</v>
      </c>
      <c r="H84" s="5" t="s">
        <v>941</v>
      </c>
      <c r="I84" s="5" t="s">
        <v>778</v>
      </c>
      <c r="J84" s="5" t="s">
        <v>789</v>
      </c>
      <c r="K84" s="5" t="s">
        <v>437</v>
      </c>
      <c r="L84" s="5" t="s">
        <v>780</v>
      </c>
      <c r="M84" s="5" t="s">
        <v>1084</v>
      </c>
      <c r="N84" s="5" t="s">
        <v>798</v>
      </c>
      <c r="O84" s="28">
        <v>45609</v>
      </c>
    </row>
    <row r="85" spans="1:15">
      <c r="A85" s="11" t="s">
        <v>1085</v>
      </c>
      <c r="B85" s="5" t="s">
        <v>1086</v>
      </c>
      <c r="C85" s="5" t="s">
        <v>774</v>
      </c>
      <c r="D85" s="5" t="s">
        <v>827</v>
      </c>
      <c r="E85" s="5" t="s">
        <v>828</v>
      </c>
      <c r="F85" s="11" t="s">
        <v>640</v>
      </c>
      <c r="G85" s="11" t="s">
        <v>640</v>
      </c>
      <c r="H85" s="5" t="s">
        <v>1021</v>
      </c>
      <c r="I85" s="5" t="s">
        <v>804</v>
      </c>
      <c r="J85" s="5" t="s">
        <v>779</v>
      </c>
      <c r="K85" s="5" t="s">
        <v>437</v>
      </c>
      <c r="L85" s="5" t="s">
        <v>780</v>
      </c>
      <c r="M85" s="5" t="s">
        <v>1087</v>
      </c>
      <c r="N85" s="5" t="s">
        <v>791</v>
      </c>
      <c r="O85" s="28">
        <v>46185</v>
      </c>
    </row>
    <row r="86" spans="1:15">
      <c r="A86" s="11" t="s">
        <v>1088</v>
      </c>
      <c r="B86" s="5" t="s">
        <v>1089</v>
      </c>
      <c r="C86" s="5" t="s">
        <v>774</v>
      </c>
      <c r="D86" s="5" t="s">
        <v>822</v>
      </c>
      <c r="E86" s="5" t="s">
        <v>823</v>
      </c>
      <c r="F86" s="11" t="s">
        <v>430</v>
      </c>
      <c r="G86" s="11" t="s">
        <v>221</v>
      </c>
      <c r="H86" s="5" t="s">
        <v>941</v>
      </c>
      <c r="I86" s="5" t="s">
        <v>778</v>
      </c>
      <c r="J86" s="5" t="s">
        <v>779</v>
      </c>
      <c r="K86" s="5" t="s">
        <v>493</v>
      </c>
      <c r="L86" s="5" t="s">
        <v>780</v>
      </c>
      <c r="M86" s="5" t="s">
        <v>1090</v>
      </c>
      <c r="N86" s="5" t="s">
        <v>852</v>
      </c>
      <c r="O86" s="28">
        <v>45543</v>
      </c>
    </row>
    <row r="87" spans="1:15">
      <c r="A87" s="11" t="s">
        <v>1091</v>
      </c>
      <c r="B87" s="5" t="s">
        <v>1092</v>
      </c>
      <c r="C87" s="5" t="s">
        <v>774</v>
      </c>
      <c r="D87" s="5" t="s">
        <v>801</v>
      </c>
      <c r="E87" s="5" t="s">
        <v>802</v>
      </c>
      <c r="F87" s="11" t="s">
        <v>224</v>
      </c>
      <c r="G87" s="11" t="s">
        <v>557</v>
      </c>
      <c r="H87" s="5" t="s">
        <v>899</v>
      </c>
      <c r="I87" s="5" t="s">
        <v>833</v>
      </c>
      <c r="J87" s="5" t="s">
        <v>789</v>
      </c>
      <c r="K87" s="5" t="s">
        <v>437</v>
      </c>
      <c r="L87" s="5" t="s">
        <v>780</v>
      </c>
      <c r="M87" s="5" t="s">
        <v>1093</v>
      </c>
      <c r="N87" s="5" t="s">
        <v>782</v>
      </c>
      <c r="O87" s="28">
        <v>46128</v>
      </c>
    </row>
    <row r="88" spans="1:15">
      <c r="A88" s="11" t="s">
        <v>1094</v>
      </c>
      <c r="B88" s="5" t="s">
        <v>1095</v>
      </c>
      <c r="C88" s="5" t="s">
        <v>774</v>
      </c>
      <c r="D88" s="5" t="s">
        <v>822</v>
      </c>
      <c r="E88" s="5" t="s">
        <v>823</v>
      </c>
      <c r="F88" s="11" t="s">
        <v>430</v>
      </c>
      <c r="G88" s="11" t="s">
        <v>221</v>
      </c>
      <c r="H88" s="5" t="s">
        <v>941</v>
      </c>
      <c r="I88" s="5" t="s">
        <v>778</v>
      </c>
      <c r="J88" s="5" t="s">
        <v>789</v>
      </c>
      <c r="K88" s="5" t="s">
        <v>493</v>
      </c>
      <c r="L88" s="5" t="s">
        <v>780</v>
      </c>
      <c r="M88" s="5" t="s">
        <v>1096</v>
      </c>
      <c r="N88" s="5" t="s">
        <v>812</v>
      </c>
      <c r="O88" s="28">
        <v>45666</v>
      </c>
    </row>
    <row r="89" spans="1:15">
      <c r="A89" s="11" t="s">
        <v>1097</v>
      </c>
      <c r="B89" s="5" t="s">
        <v>814</v>
      </c>
      <c r="C89" s="5" t="s">
        <v>774</v>
      </c>
      <c r="D89" s="5" t="s">
        <v>785</v>
      </c>
      <c r="E89" s="5" t="s">
        <v>786</v>
      </c>
      <c r="F89" s="11" t="s">
        <v>430</v>
      </c>
      <c r="G89" s="11" t="s">
        <v>221</v>
      </c>
      <c r="H89" s="5" t="s">
        <v>810</v>
      </c>
      <c r="I89" s="5" t="s">
        <v>778</v>
      </c>
      <c r="J89" s="5" t="s">
        <v>779</v>
      </c>
      <c r="K89" s="5" t="s">
        <v>437</v>
      </c>
      <c r="L89" s="5" t="s">
        <v>780</v>
      </c>
      <c r="M89" s="5" t="s">
        <v>1098</v>
      </c>
      <c r="N89" s="5" t="s">
        <v>798</v>
      </c>
      <c r="O89" s="28">
        <v>45613</v>
      </c>
    </row>
    <row r="90" spans="1:15">
      <c r="A90" s="11" t="s">
        <v>1099</v>
      </c>
      <c r="B90" s="5" t="s">
        <v>1100</v>
      </c>
      <c r="C90" s="5" t="s">
        <v>774</v>
      </c>
      <c r="D90" s="5" t="s">
        <v>794</v>
      </c>
      <c r="E90" s="5" t="s">
        <v>795</v>
      </c>
      <c r="F90" s="11" t="s">
        <v>430</v>
      </c>
      <c r="G90" s="11" t="s">
        <v>221</v>
      </c>
      <c r="H90" s="5" t="s">
        <v>796</v>
      </c>
      <c r="I90" s="5" t="s">
        <v>778</v>
      </c>
      <c r="J90" s="5" t="s">
        <v>789</v>
      </c>
      <c r="K90" s="5" t="s">
        <v>493</v>
      </c>
      <c r="L90" s="5" t="s">
        <v>780</v>
      </c>
      <c r="M90" s="5" t="s">
        <v>1101</v>
      </c>
      <c r="N90" s="5" t="s">
        <v>852</v>
      </c>
      <c r="O90" s="28">
        <v>45775</v>
      </c>
    </row>
    <row r="91" spans="1:15">
      <c r="A91" s="11" t="s">
        <v>1102</v>
      </c>
      <c r="B91" s="5" t="s">
        <v>1103</v>
      </c>
      <c r="C91" s="5" t="s">
        <v>774</v>
      </c>
      <c r="D91" s="5" t="s">
        <v>827</v>
      </c>
      <c r="E91" s="5" t="s">
        <v>828</v>
      </c>
      <c r="F91" s="11" t="s">
        <v>430</v>
      </c>
      <c r="G91" s="11" t="s">
        <v>221</v>
      </c>
      <c r="H91" s="5" t="s">
        <v>796</v>
      </c>
      <c r="I91" s="5" t="s">
        <v>778</v>
      </c>
      <c r="J91" s="5" t="s">
        <v>789</v>
      </c>
      <c r="K91" s="5" t="s">
        <v>437</v>
      </c>
      <c r="L91" s="5" t="s">
        <v>780</v>
      </c>
      <c r="M91" s="5" t="s">
        <v>1104</v>
      </c>
      <c r="N91" s="5" t="s">
        <v>812</v>
      </c>
      <c r="O91" s="28">
        <v>45901</v>
      </c>
    </row>
    <row r="92" spans="1:15">
      <c r="A92" s="11" t="s">
        <v>1105</v>
      </c>
      <c r="B92" s="5" t="s">
        <v>1106</v>
      </c>
      <c r="C92" s="5" t="s">
        <v>774</v>
      </c>
      <c r="D92" s="5" t="s">
        <v>775</v>
      </c>
      <c r="E92" s="5" t="s">
        <v>776</v>
      </c>
      <c r="F92" s="11" t="s">
        <v>640</v>
      </c>
      <c r="G92" s="11" t="s">
        <v>640</v>
      </c>
      <c r="H92" s="5" t="s">
        <v>1021</v>
      </c>
      <c r="I92" s="5" t="s">
        <v>804</v>
      </c>
      <c r="J92" s="5" t="s">
        <v>779</v>
      </c>
      <c r="K92" s="5" t="s">
        <v>493</v>
      </c>
      <c r="L92" s="5" t="s">
        <v>842</v>
      </c>
      <c r="M92" s="5" t="s">
        <v>1107</v>
      </c>
      <c r="N92" s="5" t="s">
        <v>791</v>
      </c>
      <c r="O92" s="28">
        <v>45911</v>
      </c>
    </row>
    <row r="93" spans="1:15">
      <c r="A93" s="11" t="s">
        <v>1108</v>
      </c>
      <c r="B93" s="5" t="s">
        <v>1109</v>
      </c>
      <c r="C93" s="5" t="s">
        <v>774</v>
      </c>
      <c r="D93" s="5" t="s">
        <v>808</v>
      </c>
      <c r="E93" s="5" t="s">
        <v>809</v>
      </c>
      <c r="F93" s="11" t="s">
        <v>224</v>
      </c>
      <c r="G93" s="11" t="s">
        <v>585</v>
      </c>
      <c r="H93" s="5" t="s">
        <v>832</v>
      </c>
      <c r="I93" s="5" t="s">
        <v>833</v>
      </c>
      <c r="J93" s="5" t="s">
        <v>789</v>
      </c>
      <c r="K93" s="5" t="s">
        <v>437</v>
      </c>
      <c r="L93" s="5" t="s">
        <v>780</v>
      </c>
      <c r="M93" s="5" t="s">
        <v>1110</v>
      </c>
      <c r="N93" s="5" t="s">
        <v>791</v>
      </c>
      <c r="O93" s="28">
        <v>45430</v>
      </c>
    </row>
    <row r="94" spans="1:15">
      <c r="A94" s="11" t="s">
        <v>1111</v>
      </c>
      <c r="B94" s="5" t="s">
        <v>1112</v>
      </c>
      <c r="C94" s="5" t="s">
        <v>774</v>
      </c>
      <c r="D94" s="5" t="s">
        <v>801</v>
      </c>
      <c r="E94" s="5" t="s">
        <v>802</v>
      </c>
      <c r="F94" s="11" t="s">
        <v>430</v>
      </c>
      <c r="G94" s="11" t="s">
        <v>221</v>
      </c>
      <c r="H94" s="5" t="s">
        <v>777</v>
      </c>
      <c r="I94" s="5" t="s">
        <v>778</v>
      </c>
      <c r="J94" s="5" t="s">
        <v>779</v>
      </c>
      <c r="K94" s="5" t="s">
        <v>437</v>
      </c>
      <c r="L94" s="5" t="s">
        <v>780</v>
      </c>
      <c r="M94" s="5" t="s">
        <v>1113</v>
      </c>
      <c r="N94" s="5" t="s">
        <v>812</v>
      </c>
      <c r="O94" s="28">
        <v>45825</v>
      </c>
    </row>
    <row r="95" spans="1:15">
      <c r="A95" s="11" t="s">
        <v>1114</v>
      </c>
      <c r="B95" s="5" t="s">
        <v>1115</v>
      </c>
      <c r="C95" s="5" t="s">
        <v>774</v>
      </c>
      <c r="D95" s="5" t="s">
        <v>822</v>
      </c>
      <c r="E95" s="5" t="s">
        <v>823</v>
      </c>
      <c r="F95" s="11" t="s">
        <v>497</v>
      </c>
      <c r="G95" s="11" t="s">
        <v>715</v>
      </c>
      <c r="H95" s="5" t="s">
        <v>1116</v>
      </c>
      <c r="I95" s="5" t="s">
        <v>1011</v>
      </c>
      <c r="J95" s="5" t="s">
        <v>789</v>
      </c>
      <c r="K95" s="5" t="s">
        <v>428</v>
      </c>
      <c r="L95" s="5" t="s">
        <v>780</v>
      </c>
      <c r="M95" s="5" t="s">
        <v>1117</v>
      </c>
      <c r="N95" s="5" t="s">
        <v>782</v>
      </c>
      <c r="O95" s="28">
        <v>45957</v>
      </c>
    </row>
    <row r="96" spans="1:15">
      <c r="A96" s="11" t="s">
        <v>1118</v>
      </c>
      <c r="B96" s="5" t="s">
        <v>1119</v>
      </c>
      <c r="C96" s="5" t="s">
        <v>774</v>
      </c>
      <c r="D96" s="5" t="s">
        <v>775</v>
      </c>
      <c r="E96" s="5" t="s">
        <v>776</v>
      </c>
      <c r="F96" s="11" t="s">
        <v>640</v>
      </c>
      <c r="G96" s="11" t="s">
        <v>640</v>
      </c>
      <c r="H96" s="5" t="s">
        <v>917</v>
      </c>
      <c r="I96" s="5" t="s">
        <v>804</v>
      </c>
      <c r="J96" s="5" t="s">
        <v>779</v>
      </c>
      <c r="K96" s="5" t="s">
        <v>437</v>
      </c>
      <c r="L96" s="5" t="s">
        <v>780</v>
      </c>
      <c r="M96" s="5" t="s">
        <v>1120</v>
      </c>
      <c r="N96" s="5" t="s">
        <v>791</v>
      </c>
      <c r="O96" s="28">
        <v>45714</v>
      </c>
    </row>
    <row r="97" spans="1:15">
      <c r="A97" s="11" t="s">
        <v>1121</v>
      </c>
      <c r="B97" s="5" t="s">
        <v>1122</v>
      </c>
      <c r="C97" s="5" t="s">
        <v>774</v>
      </c>
      <c r="D97" s="5" t="s">
        <v>785</v>
      </c>
      <c r="E97" s="5" t="s">
        <v>786</v>
      </c>
      <c r="F97" s="11" t="s">
        <v>430</v>
      </c>
      <c r="G97" s="11" t="s">
        <v>221</v>
      </c>
      <c r="H97" s="5" t="s">
        <v>777</v>
      </c>
      <c r="I97" s="5" t="s">
        <v>778</v>
      </c>
      <c r="J97" s="5" t="s">
        <v>789</v>
      </c>
      <c r="K97" s="5" t="s">
        <v>437</v>
      </c>
      <c r="L97" s="5" t="s">
        <v>780</v>
      </c>
      <c r="M97" s="5" t="s">
        <v>1123</v>
      </c>
      <c r="N97" s="5" t="s">
        <v>852</v>
      </c>
      <c r="O97" s="28">
        <v>45443</v>
      </c>
    </row>
    <row r="98" spans="1:15">
      <c r="A98" s="11" t="s">
        <v>1124</v>
      </c>
      <c r="B98" s="5" t="s">
        <v>1125</v>
      </c>
      <c r="C98" s="5" t="s">
        <v>774</v>
      </c>
      <c r="D98" s="5" t="s">
        <v>794</v>
      </c>
      <c r="E98" s="5" t="s">
        <v>795</v>
      </c>
      <c r="F98" s="11" t="s">
        <v>430</v>
      </c>
      <c r="G98" s="11" t="s">
        <v>221</v>
      </c>
      <c r="H98" s="5" t="s">
        <v>841</v>
      </c>
      <c r="I98" s="5" t="s">
        <v>778</v>
      </c>
      <c r="J98" s="5" t="s">
        <v>779</v>
      </c>
      <c r="K98" s="5" t="s">
        <v>428</v>
      </c>
      <c r="L98" s="5" t="s">
        <v>780</v>
      </c>
      <c r="M98" s="5" t="s">
        <v>1126</v>
      </c>
      <c r="N98" s="5" t="s">
        <v>812</v>
      </c>
      <c r="O98" s="28">
        <v>46238</v>
      </c>
    </row>
    <row r="99" spans="1:15">
      <c r="A99" s="11" t="s">
        <v>1127</v>
      </c>
      <c r="B99" s="5" t="s">
        <v>1128</v>
      </c>
      <c r="C99" s="5" t="s">
        <v>774</v>
      </c>
      <c r="D99" s="5" t="s">
        <v>827</v>
      </c>
      <c r="E99" s="5" t="s">
        <v>828</v>
      </c>
      <c r="F99" s="11" t="s">
        <v>430</v>
      </c>
      <c r="G99" s="11" t="s">
        <v>221</v>
      </c>
      <c r="H99" s="5" t="s">
        <v>869</v>
      </c>
      <c r="I99" s="5" t="s">
        <v>778</v>
      </c>
      <c r="J99" s="5" t="s">
        <v>789</v>
      </c>
      <c r="K99" s="5" t="s">
        <v>437</v>
      </c>
      <c r="L99" s="5" t="s">
        <v>780</v>
      </c>
      <c r="M99" s="5" t="s">
        <v>1129</v>
      </c>
      <c r="N99" s="5" t="s">
        <v>798</v>
      </c>
      <c r="O99" s="28">
        <v>46132</v>
      </c>
    </row>
    <row r="100" spans="1:15">
      <c r="A100" s="11" t="s">
        <v>1130</v>
      </c>
      <c r="B100" s="5" t="s">
        <v>1131</v>
      </c>
      <c r="C100" s="5" t="s">
        <v>774</v>
      </c>
      <c r="D100" s="5" t="s">
        <v>808</v>
      </c>
      <c r="E100" s="5" t="s">
        <v>809</v>
      </c>
      <c r="F100" s="11" t="s">
        <v>881</v>
      </c>
      <c r="G100" s="11" t="s">
        <v>628</v>
      </c>
      <c r="H100" s="5" t="s">
        <v>882</v>
      </c>
      <c r="I100" s="5" t="s">
        <v>883</v>
      </c>
      <c r="J100" s="5" t="s">
        <v>779</v>
      </c>
      <c r="K100" s="5" t="s">
        <v>437</v>
      </c>
      <c r="L100" s="5" t="s">
        <v>842</v>
      </c>
      <c r="M100" s="5" t="s">
        <v>1132</v>
      </c>
      <c r="N100" s="5" t="s">
        <v>782</v>
      </c>
      <c r="O100" s="28">
        <v>45798</v>
      </c>
    </row>
    <row r="101" spans="1:15">
      <c r="A101" s="11" t="s">
        <v>1133</v>
      </c>
      <c r="B101" s="5" t="s">
        <v>1134</v>
      </c>
      <c r="C101" s="5" t="s">
        <v>774</v>
      </c>
      <c r="D101" s="5" t="s">
        <v>801</v>
      </c>
      <c r="E101" s="5" t="s">
        <v>802</v>
      </c>
      <c r="F101" s="11" t="s">
        <v>224</v>
      </c>
      <c r="G101" s="11" t="s">
        <v>557</v>
      </c>
      <c r="H101" s="5" t="s">
        <v>899</v>
      </c>
      <c r="I101" s="5" t="s">
        <v>833</v>
      </c>
      <c r="J101" s="5" t="s">
        <v>779</v>
      </c>
      <c r="K101" s="5" t="s">
        <v>493</v>
      </c>
      <c r="L101" s="5" t="s">
        <v>780</v>
      </c>
      <c r="M101" s="5" t="s">
        <v>1135</v>
      </c>
      <c r="N101" s="5" t="s">
        <v>791</v>
      </c>
      <c r="O101" s="28">
        <v>46341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A430-4CED-2F4F-99F6-D2CD7D09A81A}">
  <sheetPr codeName="Sheet7">
    <tabColor rgb="FF002060"/>
  </sheetPr>
  <dimension ref="A1:AH11"/>
  <sheetViews>
    <sheetView workbookViewId="0">
      <selection activeCell="B9" sqref="B9"/>
    </sheetView>
  </sheetViews>
  <sheetFormatPr defaultColWidth="11.5546875" defaultRowHeight="15.95"/>
  <cols>
    <col min="1" max="1" width="26.33203125" bestFit="1" customWidth="1"/>
    <col min="2" max="2" width="32.77734375" bestFit="1" customWidth="1"/>
    <col min="3" max="3" width="24.44140625" bestFit="1" customWidth="1"/>
    <col min="4" max="4" width="23.44140625" bestFit="1" customWidth="1"/>
    <col min="5" max="5" width="23.6640625" bestFit="1" customWidth="1"/>
    <col min="6" max="6" width="20.6640625" bestFit="1" customWidth="1"/>
    <col min="7" max="7" width="30.77734375" bestFit="1" customWidth="1"/>
    <col min="8" max="8" width="16.77734375" bestFit="1" customWidth="1"/>
    <col min="9" max="9" width="33.33203125" bestFit="1" customWidth="1"/>
    <col min="10" max="10" width="33.6640625" bestFit="1" customWidth="1"/>
    <col min="11" max="11" width="24" bestFit="1" customWidth="1"/>
    <col min="12" max="12" width="31.109375" bestFit="1" customWidth="1"/>
    <col min="13" max="13" width="31.6640625" bestFit="1" customWidth="1"/>
    <col min="14" max="14" width="18.6640625" bestFit="1" customWidth="1"/>
    <col min="15" max="15" width="21.33203125" bestFit="1" customWidth="1"/>
    <col min="16" max="16" width="21.44140625" bestFit="1" customWidth="1"/>
    <col min="17" max="17" width="22.44140625" bestFit="1" customWidth="1"/>
    <col min="18" max="18" width="29.77734375" bestFit="1" customWidth="1"/>
    <col min="19" max="19" width="20.33203125" bestFit="1" customWidth="1"/>
    <col min="20" max="20" width="24.33203125" bestFit="1" customWidth="1"/>
    <col min="21" max="21" width="58.33203125" bestFit="1" customWidth="1"/>
    <col min="22" max="22" width="31.6640625" bestFit="1" customWidth="1"/>
    <col min="23" max="23" width="26.44140625" bestFit="1" customWidth="1"/>
    <col min="24" max="24" width="33.77734375" bestFit="1" customWidth="1"/>
    <col min="25" max="25" width="32.33203125" bestFit="1" customWidth="1"/>
    <col min="26" max="26" width="23.77734375" bestFit="1" customWidth="1"/>
    <col min="27" max="27" width="26.109375" bestFit="1" customWidth="1"/>
    <col min="28" max="28" width="23.6640625" bestFit="1" customWidth="1"/>
    <col min="29" max="29" width="25.6640625" bestFit="1" customWidth="1"/>
    <col min="30" max="30" width="65.33203125" bestFit="1" customWidth="1"/>
    <col min="31" max="31" width="21.33203125" bestFit="1" customWidth="1"/>
    <col min="32" max="32" width="18.109375" bestFit="1" customWidth="1"/>
    <col min="33" max="33" width="15.6640625" bestFit="1" customWidth="1"/>
    <col min="34" max="34" width="11.33203125" bestFit="1" customWidth="1"/>
  </cols>
  <sheetData>
    <row r="1" spans="1:34" ht="17.100000000000001">
      <c r="A1" s="14" t="s">
        <v>1136</v>
      </c>
      <c r="B1" s="27" t="s">
        <v>1137</v>
      </c>
      <c r="C1" s="15" t="s">
        <v>1138</v>
      </c>
      <c r="D1" s="27" t="s">
        <v>1139</v>
      </c>
      <c r="E1" s="27" t="s">
        <v>1140</v>
      </c>
      <c r="F1" s="27" t="s">
        <v>1141</v>
      </c>
      <c r="G1" s="27" t="s">
        <v>1142</v>
      </c>
      <c r="H1" s="27" t="s">
        <v>1143</v>
      </c>
      <c r="I1" s="27" t="s">
        <v>1144</v>
      </c>
      <c r="J1" s="27" t="s">
        <v>1145</v>
      </c>
      <c r="K1" s="27" t="s">
        <v>1146</v>
      </c>
      <c r="L1" s="27" t="s">
        <v>1147</v>
      </c>
      <c r="M1" s="27" t="s">
        <v>1148</v>
      </c>
      <c r="N1" s="27" t="s">
        <v>1149</v>
      </c>
      <c r="O1" s="27" t="s">
        <v>1150</v>
      </c>
      <c r="P1" s="27" t="s">
        <v>1151</v>
      </c>
      <c r="Q1" s="27" t="s">
        <v>1152</v>
      </c>
      <c r="R1" s="27" t="s">
        <v>1153</v>
      </c>
      <c r="S1" s="27" t="s">
        <v>1154</v>
      </c>
      <c r="T1" s="27" t="s">
        <v>1155</v>
      </c>
      <c r="U1" s="27" t="s">
        <v>1156</v>
      </c>
      <c r="V1" s="27" t="s">
        <v>1157</v>
      </c>
      <c r="W1" s="27" t="s">
        <v>1158</v>
      </c>
      <c r="X1" s="27" t="s">
        <v>1159</v>
      </c>
      <c r="Y1" s="27" t="s">
        <v>1160</v>
      </c>
      <c r="Z1" s="27" t="s">
        <v>1161</v>
      </c>
      <c r="AA1" s="27" t="s">
        <v>1162</v>
      </c>
      <c r="AB1" s="27" t="s">
        <v>1163</v>
      </c>
      <c r="AC1" s="27" t="s">
        <v>1164</v>
      </c>
      <c r="AD1" s="27" t="s">
        <v>1165</v>
      </c>
      <c r="AE1" s="27" t="s">
        <v>1166</v>
      </c>
      <c r="AF1" s="27" t="s">
        <v>1167</v>
      </c>
      <c r="AG1" s="27" t="s">
        <v>1168</v>
      </c>
      <c r="AH1" s="27" t="s">
        <v>768</v>
      </c>
    </row>
    <row r="2" spans="1:34">
      <c r="A2" s="11" t="s">
        <v>1169</v>
      </c>
      <c r="B2" s="5" t="s">
        <v>1170</v>
      </c>
      <c r="C2" s="11" t="s">
        <v>430</v>
      </c>
      <c r="D2" s="5" t="s">
        <v>1171</v>
      </c>
      <c r="E2" s="5" t="s">
        <v>429</v>
      </c>
      <c r="F2" s="5" t="s">
        <v>1172</v>
      </c>
      <c r="G2" s="7" t="s">
        <v>1173</v>
      </c>
      <c r="H2" s="5" t="s">
        <v>1174</v>
      </c>
      <c r="I2" s="8">
        <v>1</v>
      </c>
      <c r="J2" s="8">
        <v>2</v>
      </c>
      <c r="K2" s="5" t="s">
        <v>1175</v>
      </c>
      <c r="L2" s="8">
        <v>1</v>
      </c>
      <c r="M2" s="8">
        <v>3</v>
      </c>
      <c r="N2" s="12">
        <v>94</v>
      </c>
      <c r="O2" s="5" t="s">
        <v>1176</v>
      </c>
      <c r="P2" s="12">
        <v>97</v>
      </c>
      <c r="Q2" s="12">
        <v>96</v>
      </c>
      <c r="R2" s="8">
        <v>5</v>
      </c>
      <c r="S2" s="8">
        <v>8</v>
      </c>
      <c r="T2" s="8">
        <v>4</v>
      </c>
      <c r="U2" s="5" t="s">
        <v>1177</v>
      </c>
      <c r="V2" s="12">
        <v>99.5</v>
      </c>
      <c r="W2" s="8">
        <v>48</v>
      </c>
      <c r="X2" s="8">
        <v>3</v>
      </c>
      <c r="Y2" s="8">
        <v>10</v>
      </c>
      <c r="Z2" s="5" t="s">
        <v>427</v>
      </c>
      <c r="AA2" s="5" t="s">
        <v>1178</v>
      </c>
      <c r="AB2" s="8" t="s">
        <v>1179</v>
      </c>
      <c r="AC2" s="5" t="s">
        <v>1180</v>
      </c>
      <c r="AD2" s="5" t="s">
        <v>1181</v>
      </c>
      <c r="AE2" s="5" t="s">
        <v>1182</v>
      </c>
      <c r="AF2" s="7" t="s">
        <v>1183</v>
      </c>
      <c r="AG2" s="7" t="s">
        <v>173</v>
      </c>
      <c r="AH2" s="5" t="s">
        <v>780</v>
      </c>
    </row>
    <row r="3" spans="1:34">
      <c r="A3" s="11" t="s">
        <v>1184</v>
      </c>
      <c r="B3" s="5" t="s">
        <v>1185</v>
      </c>
      <c r="C3" s="11" t="s">
        <v>430</v>
      </c>
      <c r="D3" s="5" t="s">
        <v>1171</v>
      </c>
      <c r="E3" s="5" t="s">
        <v>1186</v>
      </c>
      <c r="F3" s="5" t="s">
        <v>1172</v>
      </c>
      <c r="G3" s="7" t="s">
        <v>1187</v>
      </c>
      <c r="H3" s="5" t="s">
        <v>1174</v>
      </c>
      <c r="I3" s="8">
        <v>0</v>
      </c>
      <c r="J3" s="8">
        <v>1</v>
      </c>
      <c r="K3" s="5" t="s">
        <v>1175</v>
      </c>
      <c r="L3" s="8">
        <v>1</v>
      </c>
      <c r="M3" s="8">
        <v>2</v>
      </c>
      <c r="N3" s="12">
        <v>96</v>
      </c>
      <c r="O3" s="5" t="s">
        <v>1188</v>
      </c>
      <c r="P3" s="12">
        <v>98</v>
      </c>
      <c r="Q3" s="12">
        <v>97</v>
      </c>
      <c r="R3" s="8">
        <v>3</v>
      </c>
      <c r="S3" s="8">
        <v>6</v>
      </c>
      <c r="T3" s="8">
        <v>2</v>
      </c>
      <c r="U3" s="5" t="s">
        <v>1189</v>
      </c>
      <c r="V3" s="12">
        <v>99.7</v>
      </c>
      <c r="W3" s="8">
        <v>36</v>
      </c>
      <c r="X3" s="8">
        <v>2</v>
      </c>
      <c r="Y3" s="8">
        <v>7</v>
      </c>
      <c r="Z3" s="5" t="s">
        <v>427</v>
      </c>
      <c r="AA3" s="5" t="s">
        <v>1190</v>
      </c>
      <c r="AB3" s="8" t="s">
        <v>1191</v>
      </c>
      <c r="AC3" s="5" t="s">
        <v>1192</v>
      </c>
      <c r="AD3" s="5" t="s">
        <v>1193</v>
      </c>
      <c r="AE3" s="5" t="s">
        <v>1194</v>
      </c>
      <c r="AF3" s="7" t="s">
        <v>1183</v>
      </c>
      <c r="AG3" s="7" t="s">
        <v>173</v>
      </c>
      <c r="AH3" s="5" t="s">
        <v>780</v>
      </c>
    </row>
    <row r="4" spans="1:34">
      <c r="A4" s="11" t="s">
        <v>1195</v>
      </c>
      <c r="B4" s="5" t="s">
        <v>1196</v>
      </c>
      <c r="C4" s="11" t="s">
        <v>430</v>
      </c>
      <c r="D4" s="5" t="s">
        <v>789</v>
      </c>
      <c r="E4" s="5" t="s">
        <v>482</v>
      </c>
      <c r="F4" s="5" t="s">
        <v>1197</v>
      </c>
      <c r="G4" s="7" t="s">
        <v>1198</v>
      </c>
      <c r="H4" s="5" t="s">
        <v>1199</v>
      </c>
      <c r="I4" s="8">
        <v>2</v>
      </c>
      <c r="J4" s="8">
        <v>4</v>
      </c>
      <c r="K4" s="5" t="s">
        <v>1175</v>
      </c>
      <c r="L4" s="8">
        <v>2</v>
      </c>
      <c r="M4" s="8">
        <v>5</v>
      </c>
      <c r="N4" s="12">
        <v>92</v>
      </c>
      <c r="O4" s="5" t="s">
        <v>1176</v>
      </c>
      <c r="P4" s="12">
        <v>96</v>
      </c>
      <c r="Q4" s="12">
        <v>95</v>
      </c>
      <c r="R4" s="8">
        <v>7</v>
      </c>
      <c r="S4" s="8">
        <v>12</v>
      </c>
      <c r="T4" s="8">
        <v>6</v>
      </c>
      <c r="U4" s="5" t="s">
        <v>1200</v>
      </c>
      <c r="V4" s="12">
        <v>99</v>
      </c>
      <c r="W4" s="8">
        <v>72</v>
      </c>
      <c r="X4" s="8">
        <v>4</v>
      </c>
      <c r="Y4" s="8">
        <v>15</v>
      </c>
      <c r="Z4" s="5" t="s">
        <v>427</v>
      </c>
      <c r="AA4" s="5" t="s">
        <v>1201</v>
      </c>
      <c r="AB4" s="8" t="s">
        <v>1202</v>
      </c>
      <c r="AC4" s="5" t="s">
        <v>1203</v>
      </c>
      <c r="AD4" s="5" t="s">
        <v>1204</v>
      </c>
      <c r="AE4" s="5" t="s">
        <v>1205</v>
      </c>
      <c r="AF4" s="7" t="s">
        <v>1183</v>
      </c>
      <c r="AG4" s="7" t="s">
        <v>173</v>
      </c>
      <c r="AH4" s="5" t="s">
        <v>780</v>
      </c>
    </row>
    <row r="5" spans="1:34">
      <c r="A5" s="11" t="s">
        <v>1206</v>
      </c>
      <c r="B5" s="5" t="s">
        <v>1207</v>
      </c>
      <c r="C5" s="11" t="s">
        <v>224</v>
      </c>
      <c r="D5" s="5" t="s">
        <v>1208</v>
      </c>
      <c r="E5" s="5" t="s">
        <v>1186</v>
      </c>
      <c r="F5" s="5" t="s">
        <v>1209</v>
      </c>
      <c r="G5" s="7" t="s">
        <v>1210</v>
      </c>
      <c r="H5" s="5" t="s">
        <v>1199</v>
      </c>
      <c r="I5" s="8">
        <v>3</v>
      </c>
      <c r="J5" s="8">
        <v>5</v>
      </c>
      <c r="K5" s="5" t="s">
        <v>1211</v>
      </c>
      <c r="L5" s="8">
        <v>14</v>
      </c>
      <c r="M5" s="8">
        <v>21</v>
      </c>
      <c r="N5" s="12">
        <v>94</v>
      </c>
      <c r="O5" s="5" t="s">
        <v>1212</v>
      </c>
      <c r="P5" s="12">
        <v>97</v>
      </c>
      <c r="Q5" s="12">
        <v>96</v>
      </c>
      <c r="R5" s="8">
        <v>10</v>
      </c>
      <c r="S5" s="8">
        <v>24</v>
      </c>
      <c r="T5" s="8">
        <v>12</v>
      </c>
      <c r="U5" s="5" t="s">
        <v>1213</v>
      </c>
      <c r="V5" s="12">
        <v>99.5</v>
      </c>
      <c r="W5" s="8">
        <v>120</v>
      </c>
      <c r="X5" s="8">
        <v>5</v>
      </c>
      <c r="Y5" s="8">
        <v>20</v>
      </c>
      <c r="Z5" s="5" t="s">
        <v>427</v>
      </c>
      <c r="AA5" s="5" t="s">
        <v>1214</v>
      </c>
      <c r="AB5" s="8" t="s">
        <v>1215</v>
      </c>
      <c r="AC5" s="5" t="s">
        <v>1216</v>
      </c>
      <c r="AD5" s="5" t="s">
        <v>1217</v>
      </c>
      <c r="AE5" s="5" t="s">
        <v>1182</v>
      </c>
      <c r="AF5" s="7" t="s">
        <v>1183</v>
      </c>
      <c r="AG5" s="7" t="s">
        <v>173</v>
      </c>
      <c r="AH5" s="5" t="s">
        <v>780</v>
      </c>
    </row>
    <row r="6" spans="1:34">
      <c r="A6" s="11" t="s">
        <v>1218</v>
      </c>
      <c r="B6" s="5" t="s">
        <v>1219</v>
      </c>
      <c r="C6" s="11" t="s">
        <v>539</v>
      </c>
      <c r="D6" s="5" t="s">
        <v>1220</v>
      </c>
      <c r="E6" s="5" t="s">
        <v>429</v>
      </c>
      <c r="F6" s="5" t="s">
        <v>1221</v>
      </c>
      <c r="G6" s="7" t="s">
        <v>1210</v>
      </c>
      <c r="H6" s="5" t="s">
        <v>1199</v>
      </c>
      <c r="I6" s="8">
        <v>3</v>
      </c>
      <c r="J6" s="8">
        <v>6</v>
      </c>
      <c r="K6" s="5" t="s">
        <v>1222</v>
      </c>
      <c r="L6" s="8">
        <v>18</v>
      </c>
      <c r="M6" s="8">
        <v>28</v>
      </c>
      <c r="N6" s="12">
        <v>93</v>
      </c>
      <c r="O6" s="5" t="s">
        <v>1223</v>
      </c>
      <c r="P6" s="12">
        <v>96</v>
      </c>
      <c r="Q6" s="12">
        <v>95</v>
      </c>
      <c r="R6" s="8">
        <v>12</v>
      </c>
      <c r="S6" s="8">
        <v>24</v>
      </c>
      <c r="T6" s="8">
        <v>12</v>
      </c>
      <c r="U6" s="5" t="s">
        <v>1224</v>
      </c>
      <c r="V6" s="12">
        <v>99.3</v>
      </c>
      <c r="W6" s="8">
        <v>168</v>
      </c>
      <c r="X6" s="8">
        <v>5</v>
      </c>
      <c r="Y6" s="8">
        <v>25</v>
      </c>
      <c r="Z6" s="5" t="s">
        <v>427</v>
      </c>
      <c r="AA6" s="5" t="s">
        <v>1214</v>
      </c>
      <c r="AB6" s="8" t="s">
        <v>1215</v>
      </c>
      <c r="AC6" s="5" t="s">
        <v>1225</v>
      </c>
      <c r="AD6" s="5" t="s">
        <v>1226</v>
      </c>
      <c r="AE6" s="5" t="s">
        <v>1182</v>
      </c>
      <c r="AF6" s="7" t="s">
        <v>1183</v>
      </c>
      <c r="AG6" s="7" t="s">
        <v>173</v>
      </c>
      <c r="AH6" s="5" t="s">
        <v>780</v>
      </c>
    </row>
    <row r="7" spans="1:34">
      <c r="A7" s="11" t="s">
        <v>1227</v>
      </c>
      <c r="B7" s="5" t="s">
        <v>1228</v>
      </c>
      <c r="C7" s="11" t="s">
        <v>539</v>
      </c>
      <c r="D7" s="5" t="s">
        <v>1220</v>
      </c>
      <c r="E7" s="5" t="s">
        <v>216</v>
      </c>
      <c r="F7" s="5" t="s">
        <v>1229</v>
      </c>
      <c r="G7" s="7" t="s">
        <v>1198</v>
      </c>
      <c r="H7" s="5" t="s">
        <v>1199</v>
      </c>
      <c r="I7" s="8">
        <v>2</v>
      </c>
      <c r="J7" s="8">
        <v>4</v>
      </c>
      <c r="K7" s="5" t="s">
        <v>1230</v>
      </c>
      <c r="L7" s="8">
        <v>14</v>
      </c>
      <c r="M7" s="8">
        <v>24</v>
      </c>
      <c r="N7" s="12">
        <v>95</v>
      </c>
      <c r="O7" s="5" t="s">
        <v>1212</v>
      </c>
      <c r="P7" s="12">
        <v>98</v>
      </c>
      <c r="Q7" s="12">
        <v>97</v>
      </c>
      <c r="R7" s="8">
        <v>8</v>
      </c>
      <c r="S7" s="8">
        <v>16</v>
      </c>
      <c r="T7" s="8">
        <v>8</v>
      </c>
      <c r="U7" s="5" t="s">
        <v>1231</v>
      </c>
      <c r="V7" s="12">
        <v>99.7</v>
      </c>
      <c r="W7" s="8">
        <v>120</v>
      </c>
      <c r="X7" s="8">
        <v>4</v>
      </c>
      <c r="Y7" s="8">
        <v>18</v>
      </c>
      <c r="Z7" s="17">
        <v>46061</v>
      </c>
      <c r="AA7" s="5" t="s">
        <v>1232</v>
      </c>
      <c r="AB7" s="8" t="s">
        <v>1233</v>
      </c>
      <c r="AC7" s="5" t="s">
        <v>1234</v>
      </c>
      <c r="AD7" s="5" t="s">
        <v>1235</v>
      </c>
      <c r="AE7" s="5" t="s">
        <v>1194</v>
      </c>
      <c r="AF7" s="7" t="s">
        <v>1183</v>
      </c>
      <c r="AG7" s="7" t="s">
        <v>173</v>
      </c>
      <c r="AH7" s="5" t="s">
        <v>780</v>
      </c>
    </row>
    <row r="8" spans="1:34">
      <c r="A8" s="11" t="s">
        <v>1236</v>
      </c>
      <c r="B8" s="5" t="s">
        <v>1237</v>
      </c>
      <c r="C8" s="11" t="s">
        <v>227</v>
      </c>
      <c r="D8" s="5" t="s">
        <v>1208</v>
      </c>
      <c r="E8" s="5" t="s">
        <v>1238</v>
      </c>
      <c r="F8" s="5" t="s">
        <v>1221</v>
      </c>
      <c r="G8" s="7" t="s">
        <v>1173</v>
      </c>
      <c r="H8" s="5" t="s">
        <v>1199</v>
      </c>
      <c r="I8" s="8">
        <v>2</v>
      </c>
      <c r="J8" s="8">
        <v>5</v>
      </c>
      <c r="K8" s="5" t="s">
        <v>1211</v>
      </c>
      <c r="L8" s="8">
        <v>10</v>
      </c>
      <c r="M8" s="8">
        <v>18</v>
      </c>
      <c r="N8" s="12">
        <v>94</v>
      </c>
      <c r="O8" s="5" t="s">
        <v>1212</v>
      </c>
      <c r="P8" s="12">
        <v>97</v>
      </c>
      <c r="Q8" s="12">
        <v>96</v>
      </c>
      <c r="R8" s="8">
        <v>8</v>
      </c>
      <c r="S8" s="8">
        <v>18</v>
      </c>
      <c r="T8" s="8">
        <v>8</v>
      </c>
      <c r="U8" s="5" t="s">
        <v>1239</v>
      </c>
      <c r="V8" s="12">
        <v>99.2</v>
      </c>
      <c r="W8" s="8">
        <v>96</v>
      </c>
      <c r="X8" s="8">
        <v>4</v>
      </c>
      <c r="Y8" s="8">
        <v>15</v>
      </c>
      <c r="Z8" s="5" t="s">
        <v>427</v>
      </c>
      <c r="AA8" s="5" t="s">
        <v>1214</v>
      </c>
      <c r="AB8" s="8" t="s">
        <v>1233</v>
      </c>
      <c r="AC8" s="5" t="s">
        <v>1240</v>
      </c>
      <c r="AD8" s="5" t="s">
        <v>1241</v>
      </c>
      <c r="AE8" s="5" t="s">
        <v>1182</v>
      </c>
      <c r="AF8" s="7" t="s">
        <v>1183</v>
      </c>
      <c r="AG8" s="7" t="s">
        <v>173</v>
      </c>
      <c r="AH8" s="5" t="s">
        <v>780</v>
      </c>
    </row>
    <row r="9" spans="1:34">
      <c r="A9" s="11" t="s">
        <v>1242</v>
      </c>
      <c r="B9" s="5" t="s">
        <v>1243</v>
      </c>
      <c r="C9" s="11" t="s">
        <v>227</v>
      </c>
      <c r="D9" s="5" t="s">
        <v>1208</v>
      </c>
      <c r="E9" s="5" t="s">
        <v>482</v>
      </c>
      <c r="F9" s="5" t="s">
        <v>1221</v>
      </c>
      <c r="G9" s="7" t="s">
        <v>1198</v>
      </c>
      <c r="H9" s="5" t="s">
        <v>1199</v>
      </c>
      <c r="I9" s="8">
        <v>3</v>
      </c>
      <c r="J9" s="8">
        <v>6</v>
      </c>
      <c r="K9" s="5" t="s">
        <v>1211</v>
      </c>
      <c r="L9" s="8">
        <v>12</v>
      </c>
      <c r="M9" s="8">
        <v>20</v>
      </c>
      <c r="N9" s="12">
        <v>92</v>
      </c>
      <c r="O9" s="5" t="s">
        <v>1223</v>
      </c>
      <c r="P9" s="12">
        <v>96</v>
      </c>
      <c r="Q9" s="12">
        <v>95</v>
      </c>
      <c r="R9" s="8">
        <v>10</v>
      </c>
      <c r="S9" s="8">
        <v>24</v>
      </c>
      <c r="T9" s="8">
        <v>12</v>
      </c>
      <c r="U9" s="5" t="s">
        <v>1239</v>
      </c>
      <c r="V9" s="12">
        <v>99</v>
      </c>
      <c r="W9" s="8">
        <v>120</v>
      </c>
      <c r="X9" s="8">
        <v>5</v>
      </c>
      <c r="Y9" s="8">
        <v>20</v>
      </c>
      <c r="Z9" s="5" t="s">
        <v>427</v>
      </c>
      <c r="AA9" s="5" t="s">
        <v>1244</v>
      </c>
      <c r="AB9" s="8" t="s">
        <v>1245</v>
      </c>
      <c r="AC9" s="5" t="s">
        <v>1246</v>
      </c>
      <c r="AD9" s="5" t="s">
        <v>1247</v>
      </c>
      <c r="AE9" s="5" t="s">
        <v>1205</v>
      </c>
      <c r="AF9" s="7" t="s">
        <v>1183</v>
      </c>
      <c r="AG9" s="7" t="s">
        <v>173</v>
      </c>
      <c r="AH9" s="5" t="s">
        <v>780</v>
      </c>
    </row>
    <row r="10" spans="1:34">
      <c r="A10" s="11" t="s">
        <v>1248</v>
      </c>
      <c r="B10" s="5" t="s">
        <v>1249</v>
      </c>
      <c r="C10" s="11" t="s">
        <v>497</v>
      </c>
      <c r="D10" s="5" t="s">
        <v>1220</v>
      </c>
      <c r="E10" s="5" t="s">
        <v>1238</v>
      </c>
      <c r="F10" s="5" t="s">
        <v>1250</v>
      </c>
      <c r="G10" s="7" t="s">
        <v>1251</v>
      </c>
      <c r="H10" s="5" t="s">
        <v>1199</v>
      </c>
      <c r="I10" s="8">
        <v>4</v>
      </c>
      <c r="J10" s="8">
        <v>8</v>
      </c>
      <c r="K10" s="5" t="s">
        <v>1222</v>
      </c>
      <c r="L10" s="8">
        <v>20</v>
      </c>
      <c r="M10" s="8">
        <v>35</v>
      </c>
      <c r="N10" s="12">
        <v>90</v>
      </c>
      <c r="O10" s="5" t="s">
        <v>1252</v>
      </c>
      <c r="P10" s="12">
        <v>95</v>
      </c>
      <c r="Q10" s="12">
        <v>94</v>
      </c>
      <c r="R10" s="8">
        <v>15</v>
      </c>
      <c r="S10" s="8">
        <v>30</v>
      </c>
      <c r="T10" s="8">
        <v>12</v>
      </c>
      <c r="U10" s="5" t="s">
        <v>1253</v>
      </c>
      <c r="V10" s="12">
        <v>98.8</v>
      </c>
      <c r="W10" s="8">
        <v>240</v>
      </c>
      <c r="X10" s="8">
        <v>7</v>
      </c>
      <c r="Y10" s="8">
        <v>30</v>
      </c>
      <c r="Z10" s="5" t="s">
        <v>427</v>
      </c>
      <c r="AA10" s="5" t="s">
        <v>1214</v>
      </c>
      <c r="AB10" s="8" t="s">
        <v>1215</v>
      </c>
      <c r="AC10" s="5" t="s">
        <v>1225</v>
      </c>
      <c r="AD10" s="5" t="s">
        <v>1254</v>
      </c>
      <c r="AE10" s="5" t="s">
        <v>1255</v>
      </c>
      <c r="AF10" s="7" t="s">
        <v>1183</v>
      </c>
      <c r="AG10" s="7" t="s">
        <v>173</v>
      </c>
      <c r="AH10" s="5" t="s">
        <v>780</v>
      </c>
    </row>
    <row r="11" spans="1:34">
      <c r="A11" s="11" t="s">
        <v>1256</v>
      </c>
      <c r="B11" s="5" t="s">
        <v>1257</v>
      </c>
      <c r="C11" s="11" t="s">
        <v>497</v>
      </c>
      <c r="D11" s="5" t="s">
        <v>789</v>
      </c>
      <c r="E11" s="5" t="s">
        <v>482</v>
      </c>
      <c r="F11" s="5" t="s">
        <v>1258</v>
      </c>
      <c r="G11" s="7" t="s">
        <v>1259</v>
      </c>
      <c r="H11" s="5" t="s">
        <v>1199</v>
      </c>
      <c r="I11" s="8">
        <v>5</v>
      </c>
      <c r="J11" s="8">
        <v>10</v>
      </c>
      <c r="K11" s="5" t="s">
        <v>1260</v>
      </c>
      <c r="L11" s="8">
        <v>25</v>
      </c>
      <c r="M11" s="8">
        <v>45</v>
      </c>
      <c r="N11" s="12">
        <v>90</v>
      </c>
      <c r="O11" s="5" t="s">
        <v>1261</v>
      </c>
      <c r="P11" s="12">
        <v>95</v>
      </c>
      <c r="Q11" s="12">
        <v>94</v>
      </c>
      <c r="R11" s="8">
        <v>20</v>
      </c>
      <c r="S11" s="8">
        <v>36</v>
      </c>
      <c r="T11" s="8">
        <v>24</v>
      </c>
      <c r="U11" s="5" t="s">
        <v>1262</v>
      </c>
      <c r="V11" s="12">
        <v>98.5</v>
      </c>
      <c r="W11" s="8">
        <v>240</v>
      </c>
      <c r="X11" s="8">
        <v>8</v>
      </c>
      <c r="Y11" s="8">
        <v>35</v>
      </c>
      <c r="Z11" s="5" t="s">
        <v>427</v>
      </c>
      <c r="AA11" s="5" t="s">
        <v>1201</v>
      </c>
      <c r="AB11" s="8" t="s">
        <v>1202</v>
      </c>
      <c r="AC11" s="5" t="s">
        <v>1263</v>
      </c>
      <c r="AD11" s="5" t="s">
        <v>1264</v>
      </c>
      <c r="AE11" s="5" t="s">
        <v>1255</v>
      </c>
      <c r="AF11" s="7" t="s">
        <v>1183</v>
      </c>
      <c r="AG11" s="7" t="s">
        <v>1265</v>
      </c>
      <c r="AH11" s="5" t="s">
        <v>1266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9F4F-8D85-D34C-831D-B15025EFFD8F}">
  <sheetPr codeName="Sheet8">
    <tabColor rgb="FF92D050"/>
  </sheetPr>
  <dimension ref="A1:G184"/>
  <sheetViews>
    <sheetView workbookViewId="0">
      <selection activeCell="G8" sqref="G8"/>
    </sheetView>
  </sheetViews>
  <sheetFormatPr defaultColWidth="11.5546875" defaultRowHeight="15.95"/>
  <cols>
    <col min="1" max="1" width="27.33203125" bestFit="1" customWidth="1"/>
    <col min="2" max="2" width="13" bestFit="1" customWidth="1"/>
    <col min="4" max="4" width="17.109375" bestFit="1" customWidth="1"/>
    <col min="5" max="5" width="21.6640625" bestFit="1" customWidth="1"/>
    <col min="6" max="6" width="14.6640625" bestFit="1" customWidth="1"/>
    <col min="7" max="7" width="12.33203125" bestFit="1" customWidth="1"/>
  </cols>
  <sheetData>
    <row r="1" spans="1:7">
      <c r="A1" s="40" t="s">
        <v>1267</v>
      </c>
      <c r="B1" s="40"/>
      <c r="C1" s="40"/>
      <c r="D1" s="40"/>
      <c r="E1" s="40"/>
      <c r="F1" s="40"/>
      <c r="G1" s="40"/>
    </row>
    <row r="2" spans="1:7">
      <c r="A2" s="40" t="s">
        <v>1268</v>
      </c>
      <c r="B2" s="40"/>
      <c r="C2" s="40"/>
      <c r="D2" s="40"/>
      <c r="E2" s="40"/>
      <c r="F2" s="40"/>
      <c r="G2" s="40"/>
    </row>
    <row r="3" spans="1:7">
      <c r="A3" s="40" t="s">
        <v>1269</v>
      </c>
      <c r="B3" s="41">
        <v>180</v>
      </c>
      <c r="C3" s="40"/>
      <c r="D3" s="40"/>
      <c r="E3" s="40"/>
      <c r="F3" s="40"/>
      <c r="G3" s="40"/>
    </row>
    <row r="4" spans="1:7">
      <c r="A4" s="22" t="s">
        <v>1270</v>
      </c>
      <c r="B4" s="24" t="s">
        <v>1271</v>
      </c>
      <c r="C4" s="24" t="s">
        <v>1272</v>
      </c>
      <c r="D4" s="23" t="s">
        <v>1273</v>
      </c>
      <c r="E4" s="42" t="s">
        <v>39</v>
      </c>
      <c r="F4" s="24" t="s">
        <v>1274</v>
      </c>
      <c r="G4" s="24" t="s">
        <v>1275</v>
      </c>
    </row>
    <row r="5" spans="1:7">
      <c r="A5" s="11" t="s">
        <v>1276</v>
      </c>
      <c r="B5" s="5" t="s">
        <v>1277</v>
      </c>
      <c r="C5" s="7" t="s">
        <v>1278</v>
      </c>
      <c r="D5" s="11" t="s">
        <v>772</v>
      </c>
      <c r="E5" s="5"/>
      <c r="F5" s="5" t="s">
        <v>1279</v>
      </c>
      <c r="G5" s="5" t="s">
        <v>1280</v>
      </c>
    </row>
    <row r="6" spans="1:7">
      <c r="A6" s="11" t="s">
        <v>1281</v>
      </c>
      <c r="B6" s="5" t="s">
        <v>1277</v>
      </c>
      <c r="C6" s="7" t="s">
        <v>1282</v>
      </c>
      <c r="D6" s="11" t="s">
        <v>783</v>
      </c>
      <c r="E6" s="5"/>
      <c r="F6" s="5" t="s">
        <v>1283</v>
      </c>
      <c r="G6" s="5" t="s">
        <v>1280</v>
      </c>
    </row>
    <row r="7" spans="1:7">
      <c r="A7" s="11" t="s">
        <v>1284</v>
      </c>
      <c r="B7" s="5" t="s">
        <v>1277</v>
      </c>
      <c r="C7" s="7" t="s">
        <v>1285</v>
      </c>
      <c r="D7" s="11" t="s">
        <v>792</v>
      </c>
      <c r="E7" s="5"/>
      <c r="F7" s="5" t="s">
        <v>1279</v>
      </c>
      <c r="G7" s="5" t="s">
        <v>1280</v>
      </c>
    </row>
    <row r="8" spans="1:7">
      <c r="A8" s="11" t="s">
        <v>1286</v>
      </c>
      <c r="B8" s="5" t="s">
        <v>1277</v>
      </c>
      <c r="C8" s="7" t="s">
        <v>1287</v>
      </c>
      <c r="D8" s="11" t="s">
        <v>799</v>
      </c>
      <c r="E8" s="5"/>
      <c r="F8" s="5" t="s">
        <v>1288</v>
      </c>
      <c r="G8" s="5" t="s">
        <v>1280</v>
      </c>
    </row>
    <row r="9" spans="1:7">
      <c r="A9" s="11" t="s">
        <v>1289</v>
      </c>
      <c r="B9" s="5" t="s">
        <v>1277</v>
      </c>
      <c r="C9" s="7" t="s">
        <v>1290</v>
      </c>
      <c r="D9" s="11" t="s">
        <v>806</v>
      </c>
      <c r="E9" s="5"/>
      <c r="F9" s="5" t="s">
        <v>1283</v>
      </c>
      <c r="G9" s="5" t="s">
        <v>1291</v>
      </c>
    </row>
    <row r="10" spans="1:7">
      <c r="A10" s="11" t="s">
        <v>1292</v>
      </c>
      <c r="B10" s="5" t="s">
        <v>1277</v>
      </c>
      <c r="C10" s="7" t="s">
        <v>1293</v>
      </c>
      <c r="D10" s="11" t="s">
        <v>813</v>
      </c>
      <c r="E10" s="5"/>
      <c r="F10" s="5" t="s">
        <v>1288</v>
      </c>
      <c r="G10" s="5" t="s">
        <v>1291</v>
      </c>
    </row>
    <row r="11" spans="1:7">
      <c r="A11" s="11" t="s">
        <v>1294</v>
      </c>
      <c r="B11" s="5" t="s">
        <v>1295</v>
      </c>
      <c r="C11" s="7" t="s">
        <v>1296</v>
      </c>
      <c r="D11" s="11"/>
      <c r="E11" s="5" t="s">
        <v>1297</v>
      </c>
      <c r="F11" s="5" t="s">
        <v>1288</v>
      </c>
      <c r="G11" s="5" t="s">
        <v>1298</v>
      </c>
    </row>
    <row r="12" spans="1:7">
      <c r="A12" s="11" t="s">
        <v>1299</v>
      </c>
      <c r="B12" s="5" t="s">
        <v>1277</v>
      </c>
      <c r="C12" s="7" t="s">
        <v>1300</v>
      </c>
      <c r="D12" s="11" t="s">
        <v>820</v>
      </c>
      <c r="E12" s="5"/>
      <c r="F12" s="5" t="s">
        <v>1283</v>
      </c>
      <c r="G12" s="5" t="s">
        <v>1280</v>
      </c>
    </row>
    <row r="13" spans="1:7">
      <c r="A13" s="11" t="s">
        <v>1301</v>
      </c>
      <c r="B13" s="5" t="s">
        <v>1277</v>
      </c>
      <c r="C13" s="7" t="s">
        <v>1302</v>
      </c>
      <c r="D13" s="11" t="s">
        <v>825</v>
      </c>
      <c r="E13" s="5"/>
      <c r="F13" s="5" t="s">
        <v>1288</v>
      </c>
      <c r="G13" s="5" t="s">
        <v>1280</v>
      </c>
    </row>
    <row r="14" spans="1:7">
      <c r="A14" s="11" t="s">
        <v>1303</v>
      </c>
      <c r="B14" s="5" t="s">
        <v>1277</v>
      </c>
      <c r="C14" s="7" t="s">
        <v>1304</v>
      </c>
      <c r="D14" s="11" t="s">
        <v>830</v>
      </c>
      <c r="E14" s="5"/>
      <c r="F14" s="5" t="s">
        <v>1283</v>
      </c>
      <c r="G14" s="5" t="s">
        <v>1280</v>
      </c>
    </row>
    <row r="15" spans="1:7">
      <c r="A15" s="11" t="s">
        <v>1305</v>
      </c>
      <c r="B15" s="5" t="s">
        <v>1277</v>
      </c>
      <c r="C15" s="7" t="s">
        <v>1306</v>
      </c>
      <c r="D15" s="11" t="s">
        <v>835</v>
      </c>
      <c r="E15" s="5"/>
      <c r="F15" s="5" t="s">
        <v>1279</v>
      </c>
      <c r="G15" s="5" t="s">
        <v>1291</v>
      </c>
    </row>
    <row r="16" spans="1:7">
      <c r="A16" s="11" t="s">
        <v>1307</v>
      </c>
      <c r="B16" s="5" t="s">
        <v>1277</v>
      </c>
      <c r="C16" s="7" t="s">
        <v>1308</v>
      </c>
      <c r="D16" s="11" t="s">
        <v>839</v>
      </c>
      <c r="E16" s="5"/>
      <c r="F16" s="5" t="s">
        <v>1288</v>
      </c>
      <c r="G16" s="5" t="s">
        <v>1291</v>
      </c>
    </row>
    <row r="17" spans="1:7">
      <c r="A17" s="11" t="s">
        <v>1309</v>
      </c>
      <c r="B17" s="5" t="s">
        <v>1277</v>
      </c>
      <c r="C17" s="7" t="s">
        <v>1310</v>
      </c>
      <c r="D17" s="11" t="s">
        <v>844</v>
      </c>
      <c r="E17" s="5"/>
      <c r="F17" s="5" t="s">
        <v>1283</v>
      </c>
      <c r="G17" s="5" t="s">
        <v>1291</v>
      </c>
    </row>
    <row r="18" spans="1:7">
      <c r="A18" s="11" t="s">
        <v>1311</v>
      </c>
      <c r="B18" s="5" t="s">
        <v>1295</v>
      </c>
      <c r="C18" s="7" t="s">
        <v>1312</v>
      </c>
      <c r="D18" s="11"/>
      <c r="E18" s="5" t="s">
        <v>1313</v>
      </c>
      <c r="F18" s="5" t="s">
        <v>1288</v>
      </c>
      <c r="G18" s="5" t="s">
        <v>1298</v>
      </c>
    </row>
    <row r="19" spans="1:7">
      <c r="A19" s="11" t="s">
        <v>1314</v>
      </c>
      <c r="B19" s="5" t="s">
        <v>1277</v>
      </c>
      <c r="C19" s="7" t="s">
        <v>1315</v>
      </c>
      <c r="D19" s="11" t="s">
        <v>853</v>
      </c>
      <c r="E19" s="5"/>
      <c r="F19" s="5" t="s">
        <v>1279</v>
      </c>
      <c r="G19" s="5" t="s">
        <v>1298</v>
      </c>
    </row>
    <row r="20" spans="1:7">
      <c r="A20" s="11" t="s">
        <v>1316</v>
      </c>
      <c r="B20" s="5" t="s">
        <v>1277</v>
      </c>
      <c r="C20" s="7" t="s">
        <v>1317</v>
      </c>
      <c r="D20" s="11" t="s">
        <v>856</v>
      </c>
      <c r="E20" s="5"/>
      <c r="F20" s="5" t="s">
        <v>1288</v>
      </c>
      <c r="G20" s="5" t="s">
        <v>1280</v>
      </c>
    </row>
    <row r="21" spans="1:7">
      <c r="A21" s="11" t="s">
        <v>1318</v>
      </c>
      <c r="B21" s="5" t="s">
        <v>1277</v>
      </c>
      <c r="C21" s="7" t="s">
        <v>1319</v>
      </c>
      <c r="D21" s="11" t="s">
        <v>860</v>
      </c>
      <c r="E21" s="5"/>
      <c r="F21" s="5" t="s">
        <v>1279</v>
      </c>
      <c r="G21" s="5" t="s">
        <v>1280</v>
      </c>
    </row>
    <row r="22" spans="1:7">
      <c r="A22" s="11" t="s">
        <v>1320</v>
      </c>
      <c r="B22" s="5" t="s">
        <v>1277</v>
      </c>
      <c r="C22" s="7" t="s">
        <v>1321</v>
      </c>
      <c r="D22" s="11" t="s">
        <v>864</v>
      </c>
      <c r="E22" s="5"/>
      <c r="F22" s="5" t="s">
        <v>1283</v>
      </c>
      <c r="G22" s="5" t="s">
        <v>1291</v>
      </c>
    </row>
    <row r="23" spans="1:7">
      <c r="A23" s="11" t="s">
        <v>1322</v>
      </c>
      <c r="B23" s="5" t="s">
        <v>1277</v>
      </c>
      <c r="C23" s="7" t="s">
        <v>1323</v>
      </c>
      <c r="D23" s="11" t="s">
        <v>867</v>
      </c>
      <c r="E23" s="5"/>
      <c r="F23" s="5" t="s">
        <v>1279</v>
      </c>
      <c r="G23" s="5" t="s">
        <v>1291</v>
      </c>
    </row>
    <row r="24" spans="1:7">
      <c r="A24" s="11" t="s">
        <v>1324</v>
      </c>
      <c r="B24" s="5" t="s">
        <v>1277</v>
      </c>
      <c r="C24" s="7" t="s">
        <v>1325</v>
      </c>
      <c r="D24" s="11" t="s">
        <v>871</v>
      </c>
      <c r="E24" s="5"/>
      <c r="F24" s="5" t="s">
        <v>1288</v>
      </c>
      <c r="G24" s="5" t="s">
        <v>1291</v>
      </c>
    </row>
    <row r="25" spans="1:7">
      <c r="A25" s="11" t="s">
        <v>1326</v>
      </c>
      <c r="B25" s="5" t="s">
        <v>1295</v>
      </c>
      <c r="C25" s="7" t="s">
        <v>1327</v>
      </c>
      <c r="D25" s="11"/>
      <c r="E25" s="5" t="s">
        <v>1328</v>
      </c>
      <c r="F25" s="5" t="s">
        <v>1288</v>
      </c>
      <c r="G25" s="5" t="s">
        <v>1298</v>
      </c>
    </row>
    <row r="26" spans="1:7">
      <c r="A26" s="11" t="s">
        <v>1329</v>
      </c>
      <c r="B26" s="5" t="s">
        <v>1277</v>
      </c>
      <c r="C26" s="7" t="s">
        <v>1330</v>
      </c>
      <c r="D26" s="11" t="s">
        <v>879</v>
      </c>
      <c r="E26" s="5"/>
      <c r="F26" s="5" t="s">
        <v>1279</v>
      </c>
      <c r="G26" s="5" t="s">
        <v>1298</v>
      </c>
    </row>
    <row r="27" spans="1:7">
      <c r="A27" s="11" t="s">
        <v>1331</v>
      </c>
      <c r="B27" s="5" t="s">
        <v>1277</v>
      </c>
      <c r="C27" s="7" t="s">
        <v>1332</v>
      </c>
      <c r="D27" s="11" t="s">
        <v>885</v>
      </c>
      <c r="E27" s="5"/>
      <c r="F27" s="5" t="s">
        <v>1279</v>
      </c>
      <c r="G27" s="5" t="s">
        <v>1298</v>
      </c>
    </row>
    <row r="28" spans="1:7">
      <c r="A28" s="11" t="s">
        <v>1333</v>
      </c>
      <c r="B28" s="5" t="s">
        <v>1277</v>
      </c>
      <c r="C28" s="7" t="s">
        <v>1334</v>
      </c>
      <c r="D28" s="11" t="s">
        <v>888</v>
      </c>
      <c r="E28" s="5"/>
      <c r="F28" s="5" t="s">
        <v>1288</v>
      </c>
      <c r="G28" s="5" t="s">
        <v>1291</v>
      </c>
    </row>
    <row r="29" spans="1:7">
      <c r="A29" s="11" t="s">
        <v>1335</v>
      </c>
      <c r="B29" s="5" t="s">
        <v>1277</v>
      </c>
      <c r="C29" s="7" t="s">
        <v>1336</v>
      </c>
      <c r="D29" s="11" t="s">
        <v>891</v>
      </c>
      <c r="E29" s="5"/>
      <c r="F29" s="5" t="s">
        <v>1288</v>
      </c>
      <c r="G29" s="5" t="s">
        <v>1291</v>
      </c>
    </row>
    <row r="30" spans="1:7">
      <c r="A30" s="11" t="s">
        <v>1337</v>
      </c>
      <c r="B30" s="5" t="s">
        <v>1277</v>
      </c>
      <c r="C30" s="7" t="s">
        <v>1338</v>
      </c>
      <c r="D30" s="11" t="s">
        <v>894</v>
      </c>
      <c r="E30" s="5"/>
      <c r="F30" s="5" t="s">
        <v>1288</v>
      </c>
      <c r="G30" s="5" t="s">
        <v>1291</v>
      </c>
    </row>
    <row r="31" spans="1:7">
      <c r="A31" s="11" t="s">
        <v>1339</v>
      </c>
      <c r="B31" s="5" t="s">
        <v>1277</v>
      </c>
      <c r="C31" s="7" t="s">
        <v>1340</v>
      </c>
      <c r="D31" s="11" t="s">
        <v>897</v>
      </c>
      <c r="E31" s="5"/>
      <c r="F31" s="5" t="s">
        <v>1283</v>
      </c>
      <c r="G31" s="5" t="s">
        <v>1298</v>
      </c>
    </row>
    <row r="32" spans="1:7">
      <c r="A32" s="11" t="s">
        <v>1341</v>
      </c>
      <c r="B32" s="5" t="s">
        <v>1295</v>
      </c>
      <c r="C32" s="7" t="s">
        <v>1342</v>
      </c>
      <c r="D32" s="11"/>
      <c r="E32" s="5" t="s">
        <v>1343</v>
      </c>
      <c r="F32" s="5" t="s">
        <v>1288</v>
      </c>
      <c r="G32" s="5" t="s">
        <v>1298</v>
      </c>
    </row>
    <row r="33" spans="1:7">
      <c r="A33" s="11" t="s">
        <v>1344</v>
      </c>
      <c r="B33" s="5" t="s">
        <v>1277</v>
      </c>
      <c r="C33" s="7" t="s">
        <v>1278</v>
      </c>
      <c r="D33" s="11" t="s">
        <v>904</v>
      </c>
      <c r="E33" s="5"/>
      <c r="F33" s="5" t="s">
        <v>1283</v>
      </c>
      <c r="G33" s="5" t="s">
        <v>1291</v>
      </c>
    </row>
    <row r="34" spans="1:7">
      <c r="A34" s="11" t="s">
        <v>1345</v>
      </c>
      <c r="B34" s="5" t="s">
        <v>1277</v>
      </c>
      <c r="C34" s="7" t="s">
        <v>1282</v>
      </c>
      <c r="D34" s="11" t="s">
        <v>908</v>
      </c>
      <c r="E34" s="5"/>
      <c r="F34" s="5" t="s">
        <v>1279</v>
      </c>
      <c r="G34" s="5" t="s">
        <v>1298</v>
      </c>
    </row>
    <row r="35" spans="1:7">
      <c r="A35" s="11" t="s">
        <v>1346</v>
      </c>
      <c r="B35" s="5" t="s">
        <v>1277</v>
      </c>
      <c r="C35" s="7" t="s">
        <v>1285</v>
      </c>
      <c r="D35" s="11" t="s">
        <v>911</v>
      </c>
      <c r="E35" s="5"/>
      <c r="F35" s="5" t="s">
        <v>1279</v>
      </c>
      <c r="G35" s="5" t="s">
        <v>1280</v>
      </c>
    </row>
    <row r="36" spans="1:7">
      <c r="A36" s="11" t="s">
        <v>1347</v>
      </c>
      <c r="B36" s="5" t="s">
        <v>1277</v>
      </c>
      <c r="C36" s="7" t="s">
        <v>1287</v>
      </c>
      <c r="D36" s="11" t="s">
        <v>915</v>
      </c>
      <c r="E36" s="5"/>
      <c r="F36" s="5" t="s">
        <v>1288</v>
      </c>
      <c r="G36" s="5" t="s">
        <v>1280</v>
      </c>
    </row>
    <row r="37" spans="1:7">
      <c r="A37" s="11" t="s">
        <v>1348</v>
      </c>
      <c r="B37" s="5" t="s">
        <v>1277</v>
      </c>
      <c r="C37" s="7" t="s">
        <v>1290</v>
      </c>
      <c r="D37" s="11" t="s">
        <v>919</v>
      </c>
      <c r="E37" s="5"/>
      <c r="F37" s="5" t="s">
        <v>1288</v>
      </c>
      <c r="G37" s="5" t="s">
        <v>1280</v>
      </c>
    </row>
    <row r="38" spans="1:7">
      <c r="A38" s="11" t="s">
        <v>1349</v>
      </c>
      <c r="B38" s="5" t="s">
        <v>1277</v>
      </c>
      <c r="C38" s="7" t="s">
        <v>1293</v>
      </c>
      <c r="D38" s="11" t="s">
        <v>922</v>
      </c>
      <c r="E38" s="5"/>
      <c r="F38" s="5" t="s">
        <v>1288</v>
      </c>
      <c r="G38" s="5" t="s">
        <v>1280</v>
      </c>
    </row>
    <row r="39" spans="1:7">
      <c r="A39" s="11" t="s">
        <v>1350</v>
      </c>
      <c r="B39" s="5" t="s">
        <v>1295</v>
      </c>
      <c r="C39" s="7" t="s">
        <v>1296</v>
      </c>
      <c r="D39" s="11"/>
      <c r="E39" s="5" t="s">
        <v>1351</v>
      </c>
      <c r="F39" s="5" t="s">
        <v>1288</v>
      </c>
      <c r="G39" s="5" t="s">
        <v>1280</v>
      </c>
    </row>
    <row r="40" spans="1:7">
      <c r="A40" s="11" t="s">
        <v>1352</v>
      </c>
      <c r="B40" s="5" t="s">
        <v>1277</v>
      </c>
      <c r="C40" s="7" t="s">
        <v>1300</v>
      </c>
      <c r="D40" s="11" t="s">
        <v>928</v>
      </c>
      <c r="E40" s="5"/>
      <c r="F40" s="5" t="s">
        <v>1279</v>
      </c>
      <c r="G40" s="5" t="s">
        <v>1291</v>
      </c>
    </row>
    <row r="41" spans="1:7">
      <c r="A41" s="11" t="s">
        <v>1353</v>
      </c>
      <c r="B41" s="5" t="s">
        <v>1277</v>
      </c>
      <c r="C41" s="7" t="s">
        <v>1302</v>
      </c>
      <c r="D41" s="11" t="s">
        <v>932</v>
      </c>
      <c r="E41" s="5"/>
      <c r="F41" s="5" t="s">
        <v>1283</v>
      </c>
      <c r="G41" s="5" t="s">
        <v>1291</v>
      </c>
    </row>
    <row r="42" spans="1:7">
      <c r="A42" s="11" t="s">
        <v>1354</v>
      </c>
      <c r="B42" s="5" t="s">
        <v>1277</v>
      </c>
      <c r="C42" s="7" t="s">
        <v>1304</v>
      </c>
      <c r="D42" s="11" t="s">
        <v>935</v>
      </c>
      <c r="E42" s="5"/>
      <c r="F42" s="5" t="s">
        <v>1279</v>
      </c>
      <c r="G42" s="5" t="s">
        <v>1298</v>
      </c>
    </row>
    <row r="43" spans="1:7">
      <c r="A43" s="11" t="s">
        <v>1355</v>
      </c>
      <c r="B43" s="5" t="s">
        <v>1277</v>
      </c>
      <c r="C43" s="7" t="s">
        <v>1306</v>
      </c>
      <c r="D43" s="11" t="s">
        <v>939</v>
      </c>
      <c r="E43" s="5"/>
      <c r="F43" s="5" t="s">
        <v>1279</v>
      </c>
      <c r="G43" s="5" t="s">
        <v>1280</v>
      </c>
    </row>
    <row r="44" spans="1:7">
      <c r="A44" s="11" t="s">
        <v>1356</v>
      </c>
      <c r="B44" s="5" t="s">
        <v>1277</v>
      </c>
      <c r="C44" s="7" t="s">
        <v>1308</v>
      </c>
      <c r="D44" s="11" t="s">
        <v>943</v>
      </c>
      <c r="E44" s="5"/>
      <c r="F44" s="5" t="s">
        <v>1288</v>
      </c>
      <c r="G44" s="5" t="s">
        <v>1280</v>
      </c>
    </row>
    <row r="45" spans="1:7">
      <c r="A45" s="11" t="s">
        <v>1357</v>
      </c>
      <c r="B45" s="5" t="s">
        <v>1277</v>
      </c>
      <c r="C45" s="7" t="s">
        <v>1310</v>
      </c>
      <c r="D45" s="11" t="s">
        <v>946</v>
      </c>
      <c r="E45" s="5"/>
      <c r="F45" s="5" t="s">
        <v>1279</v>
      </c>
      <c r="G45" s="5" t="s">
        <v>1291</v>
      </c>
    </row>
    <row r="46" spans="1:7">
      <c r="A46" s="11" t="s">
        <v>1358</v>
      </c>
      <c r="B46" s="5" t="s">
        <v>1295</v>
      </c>
      <c r="C46" s="7" t="s">
        <v>1312</v>
      </c>
      <c r="D46" s="11"/>
      <c r="E46" s="5" t="s">
        <v>1359</v>
      </c>
      <c r="F46" s="5" t="s">
        <v>1288</v>
      </c>
      <c r="G46" s="5" t="s">
        <v>1291</v>
      </c>
    </row>
    <row r="47" spans="1:7">
      <c r="A47" s="11" t="s">
        <v>1360</v>
      </c>
      <c r="B47" s="5" t="s">
        <v>1277</v>
      </c>
      <c r="C47" s="7" t="s">
        <v>1315</v>
      </c>
      <c r="D47" s="11" t="s">
        <v>953</v>
      </c>
      <c r="E47" s="5"/>
      <c r="F47" s="5" t="s">
        <v>1283</v>
      </c>
      <c r="G47" s="5" t="s">
        <v>1291</v>
      </c>
    </row>
    <row r="48" spans="1:7">
      <c r="A48" s="11" t="s">
        <v>1361</v>
      </c>
      <c r="B48" s="5" t="s">
        <v>1277</v>
      </c>
      <c r="C48" s="7" t="s">
        <v>1317</v>
      </c>
      <c r="D48" s="11" t="s">
        <v>957</v>
      </c>
      <c r="E48" s="5"/>
      <c r="F48" s="5" t="s">
        <v>1279</v>
      </c>
      <c r="G48" s="5" t="s">
        <v>1291</v>
      </c>
    </row>
    <row r="49" spans="1:7">
      <c r="A49" s="11" t="s">
        <v>1362</v>
      </c>
      <c r="B49" s="5" t="s">
        <v>1277</v>
      </c>
      <c r="C49" s="7" t="s">
        <v>1319</v>
      </c>
      <c r="D49" s="11" t="s">
        <v>960</v>
      </c>
      <c r="E49" s="5"/>
      <c r="F49" s="5" t="s">
        <v>1283</v>
      </c>
      <c r="G49" s="5" t="s">
        <v>1298</v>
      </c>
    </row>
    <row r="50" spans="1:7">
      <c r="A50" s="11" t="s">
        <v>1363</v>
      </c>
      <c r="B50" s="5" t="s">
        <v>1277</v>
      </c>
      <c r="C50" s="7" t="s">
        <v>1321</v>
      </c>
      <c r="D50" s="11" t="s">
        <v>963</v>
      </c>
      <c r="E50" s="5"/>
      <c r="F50" s="5" t="s">
        <v>1279</v>
      </c>
      <c r="G50" s="5" t="s">
        <v>1298</v>
      </c>
    </row>
    <row r="51" spans="1:7">
      <c r="A51" s="11" t="s">
        <v>1364</v>
      </c>
      <c r="B51" s="5" t="s">
        <v>1277</v>
      </c>
      <c r="C51" s="7" t="s">
        <v>1323</v>
      </c>
      <c r="D51" s="11" t="s">
        <v>966</v>
      </c>
      <c r="E51" s="5"/>
      <c r="F51" s="5" t="s">
        <v>1288</v>
      </c>
      <c r="G51" s="5" t="s">
        <v>1280</v>
      </c>
    </row>
    <row r="52" spans="1:7">
      <c r="A52" s="11" t="s">
        <v>1365</v>
      </c>
      <c r="B52" s="5" t="s">
        <v>1277</v>
      </c>
      <c r="C52" s="7" t="s">
        <v>1325</v>
      </c>
      <c r="D52" s="11" t="s">
        <v>969</v>
      </c>
      <c r="E52" s="5"/>
      <c r="F52" s="5" t="s">
        <v>1283</v>
      </c>
      <c r="G52" s="5" t="s">
        <v>1280</v>
      </c>
    </row>
    <row r="53" spans="1:7">
      <c r="A53" s="11" t="s">
        <v>1366</v>
      </c>
      <c r="B53" s="5" t="s">
        <v>1295</v>
      </c>
      <c r="C53" s="7" t="s">
        <v>1327</v>
      </c>
      <c r="D53" s="11"/>
      <c r="E53" s="5" t="s">
        <v>1367</v>
      </c>
      <c r="F53" s="5" t="s">
        <v>1288</v>
      </c>
      <c r="G53" s="5" t="s">
        <v>1291</v>
      </c>
    </row>
    <row r="54" spans="1:7">
      <c r="A54" s="11" t="s">
        <v>1368</v>
      </c>
      <c r="B54" s="5" t="s">
        <v>1277</v>
      </c>
      <c r="C54" s="7" t="s">
        <v>1330</v>
      </c>
      <c r="D54" s="11" t="s">
        <v>976</v>
      </c>
      <c r="E54" s="5"/>
      <c r="F54" s="5" t="s">
        <v>1288</v>
      </c>
      <c r="G54" s="5" t="s">
        <v>1298</v>
      </c>
    </row>
    <row r="55" spans="1:7">
      <c r="A55" s="11" t="s">
        <v>1369</v>
      </c>
      <c r="B55" s="5" t="s">
        <v>1277</v>
      </c>
      <c r="C55" s="7" t="s">
        <v>1332</v>
      </c>
      <c r="D55" s="11" t="s">
        <v>979</v>
      </c>
      <c r="E55" s="5"/>
      <c r="F55" s="5" t="s">
        <v>1283</v>
      </c>
      <c r="G55" s="5" t="s">
        <v>1298</v>
      </c>
    </row>
    <row r="56" spans="1:7">
      <c r="A56" s="11" t="s">
        <v>1370</v>
      </c>
      <c r="B56" s="5" t="s">
        <v>1277</v>
      </c>
      <c r="C56" s="7" t="s">
        <v>1334</v>
      </c>
      <c r="D56" s="11" t="s">
        <v>983</v>
      </c>
      <c r="E56" s="5"/>
      <c r="F56" s="5" t="s">
        <v>1288</v>
      </c>
      <c r="G56" s="5" t="s">
        <v>1298</v>
      </c>
    </row>
    <row r="57" spans="1:7">
      <c r="A57" s="11" t="s">
        <v>1371</v>
      </c>
      <c r="B57" s="5" t="s">
        <v>1277</v>
      </c>
      <c r="C57" s="7" t="s">
        <v>1336</v>
      </c>
      <c r="D57" s="11" t="s">
        <v>986</v>
      </c>
      <c r="E57" s="5"/>
      <c r="F57" s="5" t="s">
        <v>1283</v>
      </c>
      <c r="G57" s="5" t="s">
        <v>1298</v>
      </c>
    </row>
    <row r="58" spans="1:7">
      <c r="A58" s="11" t="s">
        <v>1372</v>
      </c>
      <c r="B58" s="5" t="s">
        <v>1277</v>
      </c>
      <c r="C58" s="7" t="s">
        <v>1338</v>
      </c>
      <c r="D58" s="11" t="s">
        <v>989</v>
      </c>
      <c r="E58" s="5"/>
      <c r="F58" s="5" t="s">
        <v>1288</v>
      </c>
      <c r="G58" s="5" t="s">
        <v>1280</v>
      </c>
    </row>
    <row r="59" spans="1:7">
      <c r="A59" s="11" t="s">
        <v>1373</v>
      </c>
      <c r="B59" s="5" t="s">
        <v>1277</v>
      </c>
      <c r="C59" s="7" t="s">
        <v>1340</v>
      </c>
      <c r="D59" s="11" t="s">
        <v>992</v>
      </c>
      <c r="E59" s="5"/>
      <c r="F59" s="5" t="s">
        <v>1279</v>
      </c>
      <c r="G59" s="5" t="s">
        <v>1291</v>
      </c>
    </row>
    <row r="60" spans="1:7">
      <c r="A60" s="11" t="s">
        <v>1374</v>
      </c>
      <c r="B60" s="5" t="s">
        <v>1295</v>
      </c>
      <c r="C60" s="7" t="s">
        <v>1342</v>
      </c>
      <c r="D60" s="11"/>
      <c r="E60" s="5" t="s">
        <v>1375</v>
      </c>
      <c r="F60" s="5" t="s">
        <v>1288</v>
      </c>
      <c r="G60" s="5" t="s">
        <v>1291</v>
      </c>
    </row>
    <row r="61" spans="1:7">
      <c r="A61" s="11" t="s">
        <v>1376</v>
      </c>
      <c r="B61" s="5" t="s">
        <v>1277</v>
      </c>
      <c r="C61" s="7" t="s">
        <v>1278</v>
      </c>
      <c r="D61" s="11" t="s">
        <v>999</v>
      </c>
      <c r="E61" s="5"/>
      <c r="F61" s="5" t="s">
        <v>1279</v>
      </c>
      <c r="G61" s="5" t="s">
        <v>1280</v>
      </c>
    </row>
    <row r="62" spans="1:7">
      <c r="A62" s="11" t="s">
        <v>1377</v>
      </c>
      <c r="B62" s="5" t="s">
        <v>1277</v>
      </c>
      <c r="C62" s="7" t="s">
        <v>1282</v>
      </c>
      <c r="D62" s="11" t="s">
        <v>1002</v>
      </c>
      <c r="E62" s="5"/>
      <c r="F62" s="5" t="s">
        <v>1288</v>
      </c>
      <c r="G62" s="5" t="s">
        <v>1280</v>
      </c>
    </row>
    <row r="63" spans="1:7">
      <c r="A63" s="11" t="s">
        <v>1378</v>
      </c>
      <c r="B63" s="5" t="s">
        <v>1277</v>
      </c>
      <c r="C63" s="7" t="s">
        <v>1285</v>
      </c>
      <c r="D63" s="11" t="s">
        <v>1006</v>
      </c>
      <c r="E63" s="5"/>
      <c r="F63" s="5" t="s">
        <v>1283</v>
      </c>
      <c r="G63" s="5" t="s">
        <v>1291</v>
      </c>
    </row>
    <row r="64" spans="1:7">
      <c r="A64" s="11" t="s">
        <v>1379</v>
      </c>
      <c r="B64" s="5" t="s">
        <v>1277</v>
      </c>
      <c r="C64" s="7" t="s">
        <v>1287</v>
      </c>
      <c r="D64" s="11" t="s">
        <v>1009</v>
      </c>
      <c r="E64" s="5"/>
      <c r="F64" s="5" t="s">
        <v>1288</v>
      </c>
      <c r="G64" s="5" t="s">
        <v>1291</v>
      </c>
    </row>
    <row r="65" spans="1:7">
      <c r="A65" s="11" t="s">
        <v>1380</v>
      </c>
      <c r="B65" s="5" t="s">
        <v>1277</v>
      </c>
      <c r="C65" s="7" t="s">
        <v>1290</v>
      </c>
      <c r="D65" s="11" t="s">
        <v>1013</v>
      </c>
      <c r="E65" s="5"/>
      <c r="F65" s="5" t="s">
        <v>1288</v>
      </c>
      <c r="G65" s="5" t="s">
        <v>1298</v>
      </c>
    </row>
    <row r="66" spans="1:7">
      <c r="A66" s="11" t="s">
        <v>1381</v>
      </c>
      <c r="B66" s="5" t="s">
        <v>1277</v>
      </c>
      <c r="C66" s="7" t="s">
        <v>1293</v>
      </c>
      <c r="D66" s="11" t="s">
        <v>1016</v>
      </c>
      <c r="E66" s="5"/>
      <c r="F66" s="5" t="s">
        <v>1288</v>
      </c>
      <c r="G66" s="5" t="s">
        <v>1280</v>
      </c>
    </row>
    <row r="67" spans="1:7">
      <c r="A67" s="11" t="s">
        <v>1382</v>
      </c>
      <c r="B67" s="5" t="s">
        <v>1295</v>
      </c>
      <c r="C67" s="7" t="s">
        <v>1296</v>
      </c>
      <c r="D67" s="11"/>
      <c r="E67" s="5" t="s">
        <v>1383</v>
      </c>
      <c r="F67" s="5" t="s">
        <v>1288</v>
      </c>
      <c r="G67" s="5" t="s">
        <v>1280</v>
      </c>
    </row>
    <row r="68" spans="1:7">
      <c r="A68" s="11" t="s">
        <v>1384</v>
      </c>
      <c r="B68" s="5" t="s">
        <v>1277</v>
      </c>
      <c r="C68" s="7" t="s">
        <v>1300</v>
      </c>
      <c r="D68" s="11" t="s">
        <v>1023</v>
      </c>
      <c r="E68" s="5"/>
      <c r="F68" s="5" t="s">
        <v>1283</v>
      </c>
      <c r="G68" s="5" t="s">
        <v>1280</v>
      </c>
    </row>
    <row r="69" spans="1:7">
      <c r="A69" s="11" t="s">
        <v>1385</v>
      </c>
      <c r="B69" s="5" t="s">
        <v>1277</v>
      </c>
      <c r="C69" s="7" t="s">
        <v>1302</v>
      </c>
      <c r="D69" s="11" t="s">
        <v>1026</v>
      </c>
      <c r="E69" s="5"/>
      <c r="F69" s="5" t="s">
        <v>1279</v>
      </c>
      <c r="G69" s="5" t="s">
        <v>1280</v>
      </c>
    </row>
    <row r="70" spans="1:7">
      <c r="A70" s="11" t="s">
        <v>1386</v>
      </c>
      <c r="B70" s="5" t="s">
        <v>1277</v>
      </c>
      <c r="C70" s="7" t="s">
        <v>1304</v>
      </c>
      <c r="D70" s="11" t="s">
        <v>1029</v>
      </c>
      <c r="E70" s="5"/>
      <c r="F70" s="5" t="s">
        <v>1288</v>
      </c>
      <c r="G70" s="5" t="s">
        <v>1280</v>
      </c>
    </row>
    <row r="71" spans="1:7">
      <c r="A71" s="11" t="s">
        <v>1387</v>
      </c>
      <c r="B71" s="5" t="s">
        <v>1277</v>
      </c>
      <c r="C71" s="7" t="s">
        <v>1306</v>
      </c>
      <c r="D71" s="11" t="s">
        <v>1033</v>
      </c>
      <c r="E71" s="5"/>
      <c r="F71" s="5" t="s">
        <v>1283</v>
      </c>
      <c r="G71" s="5" t="s">
        <v>1291</v>
      </c>
    </row>
    <row r="72" spans="1:7">
      <c r="A72" s="11" t="s">
        <v>1388</v>
      </c>
      <c r="B72" s="5" t="s">
        <v>1277</v>
      </c>
      <c r="C72" s="7" t="s">
        <v>1308</v>
      </c>
      <c r="D72" s="11" t="s">
        <v>1036</v>
      </c>
      <c r="E72" s="5"/>
      <c r="F72" s="5" t="s">
        <v>1279</v>
      </c>
      <c r="G72" s="5" t="s">
        <v>1298</v>
      </c>
    </row>
    <row r="73" spans="1:7">
      <c r="A73" s="11" t="s">
        <v>1389</v>
      </c>
      <c r="B73" s="5" t="s">
        <v>1277</v>
      </c>
      <c r="C73" s="7" t="s">
        <v>1310</v>
      </c>
      <c r="D73" s="11" t="s">
        <v>1039</v>
      </c>
      <c r="E73" s="5"/>
      <c r="F73" s="5" t="s">
        <v>1288</v>
      </c>
      <c r="G73" s="5" t="s">
        <v>1298</v>
      </c>
    </row>
    <row r="74" spans="1:7">
      <c r="A74" s="11" t="s">
        <v>1390</v>
      </c>
      <c r="B74" s="5" t="s">
        <v>1295</v>
      </c>
      <c r="C74" s="7" t="s">
        <v>1312</v>
      </c>
      <c r="D74" s="11"/>
      <c r="E74" s="5" t="s">
        <v>1391</v>
      </c>
      <c r="F74" s="5" t="s">
        <v>1288</v>
      </c>
      <c r="G74" s="5" t="s">
        <v>1280</v>
      </c>
    </row>
    <row r="75" spans="1:7">
      <c r="A75" s="11" t="s">
        <v>1392</v>
      </c>
      <c r="B75" s="5" t="s">
        <v>1277</v>
      </c>
      <c r="C75" s="7" t="s">
        <v>1315</v>
      </c>
      <c r="D75" s="11" t="s">
        <v>1045</v>
      </c>
      <c r="E75" s="5"/>
      <c r="F75" s="5" t="s">
        <v>1288</v>
      </c>
      <c r="G75" s="5" t="s">
        <v>1280</v>
      </c>
    </row>
    <row r="76" spans="1:7">
      <c r="A76" s="11" t="s">
        <v>1393</v>
      </c>
      <c r="B76" s="5" t="s">
        <v>1277</v>
      </c>
      <c r="C76" s="7" t="s">
        <v>1317</v>
      </c>
      <c r="D76" s="11" t="s">
        <v>1048</v>
      </c>
      <c r="E76" s="5"/>
      <c r="F76" s="5" t="s">
        <v>1283</v>
      </c>
      <c r="G76" s="5" t="s">
        <v>1291</v>
      </c>
    </row>
    <row r="77" spans="1:7">
      <c r="A77" s="11" t="s">
        <v>1394</v>
      </c>
      <c r="B77" s="5" t="s">
        <v>1277</v>
      </c>
      <c r="C77" s="7" t="s">
        <v>1319</v>
      </c>
      <c r="D77" s="11" t="s">
        <v>1051</v>
      </c>
      <c r="E77" s="5"/>
      <c r="F77" s="5" t="s">
        <v>1279</v>
      </c>
      <c r="G77" s="5" t="s">
        <v>1291</v>
      </c>
    </row>
    <row r="78" spans="1:7">
      <c r="A78" s="11" t="s">
        <v>1395</v>
      </c>
      <c r="B78" s="5" t="s">
        <v>1277</v>
      </c>
      <c r="C78" s="7" t="s">
        <v>1321</v>
      </c>
      <c r="D78" s="11" t="s">
        <v>1054</v>
      </c>
      <c r="E78" s="5"/>
      <c r="F78" s="5" t="s">
        <v>1279</v>
      </c>
      <c r="G78" s="5" t="s">
        <v>1291</v>
      </c>
    </row>
    <row r="79" spans="1:7">
      <c r="A79" s="11" t="s">
        <v>1396</v>
      </c>
      <c r="B79" s="5" t="s">
        <v>1277</v>
      </c>
      <c r="C79" s="7" t="s">
        <v>1323</v>
      </c>
      <c r="D79" s="11" t="s">
        <v>1057</v>
      </c>
      <c r="E79" s="5"/>
      <c r="F79" s="5" t="s">
        <v>1283</v>
      </c>
      <c r="G79" s="5" t="s">
        <v>1291</v>
      </c>
    </row>
    <row r="80" spans="1:7">
      <c r="A80" s="11" t="s">
        <v>1397</v>
      </c>
      <c r="B80" s="5" t="s">
        <v>1277</v>
      </c>
      <c r="C80" s="7" t="s">
        <v>1325</v>
      </c>
      <c r="D80" s="11" t="s">
        <v>1060</v>
      </c>
      <c r="E80" s="5"/>
      <c r="F80" s="5" t="s">
        <v>1279</v>
      </c>
      <c r="G80" s="5" t="s">
        <v>1298</v>
      </c>
    </row>
    <row r="81" spans="1:7">
      <c r="A81" s="11" t="s">
        <v>1398</v>
      </c>
      <c r="B81" s="5" t="s">
        <v>1295</v>
      </c>
      <c r="C81" s="7" t="s">
        <v>1327</v>
      </c>
      <c r="D81" s="11"/>
      <c r="E81" s="5" t="s">
        <v>1399</v>
      </c>
      <c r="F81" s="5" t="s">
        <v>1288</v>
      </c>
      <c r="G81" s="5" t="s">
        <v>1280</v>
      </c>
    </row>
    <row r="82" spans="1:7">
      <c r="A82" s="11" t="s">
        <v>1400</v>
      </c>
      <c r="B82" s="5" t="s">
        <v>1277</v>
      </c>
      <c r="C82" s="7" t="s">
        <v>1330</v>
      </c>
      <c r="D82" s="11" t="s">
        <v>1066</v>
      </c>
      <c r="E82" s="5"/>
      <c r="F82" s="5" t="s">
        <v>1283</v>
      </c>
      <c r="G82" s="5" t="s">
        <v>1291</v>
      </c>
    </row>
    <row r="83" spans="1:7">
      <c r="A83" s="11" t="s">
        <v>1401</v>
      </c>
      <c r="B83" s="5" t="s">
        <v>1277</v>
      </c>
      <c r="C83" s="7" t="s">
        <v>1332</v>
      </c>
      <c r="D83" s="11" t="s">
        <v>1069</v>
      </c>
      <c r="E83" s="5"/>
      <c r="F83" s="5" t="s">
        <v>1288</v>
      </c>
      <c r="G83" s="5" t="s">
        <v>1291</v>
      </c>
    </row>
    <row r="84" spans="1:7">
      <c r="A84" s="11" t="s">
        <v>1402</v>
      </c>
      <c r="B84" s="5" t="s">
        <v>1277</v>
      </c>
      <c r="C84" s="7" t="s">
        <v>1334</v>
      </c>
      <c r="D84" s="11" t="s">
        <v>1072</v>
      </c>
      <c r="E84" s="5"/>
      <c r="F84" s="5" t="s">
        <v>1283</v>
      </c>
      <c r="G84" s="5" t="s">
        <v>1291</v>
      </c>
    </row>
    <row r="85" spans="1:7">
      <c r="A85" s="11" t="s">
        <v>1403</v>
      </c>
      <c r="B85" s="5" t="s">
        <v>1277</v>
      </c>
      <c r="C85" s="7" t="s">
        <v>1336</v>
      </c>
      <c r="D85" s="11" t="s">
        <v>1075</v>
      </c>
      <c r="E85" s="5"/>
      <c r="F85" s="5" t="s">
        <v>1283</v>
      </c>
      <c r="G85" s="5" t="s">
        <v>1298</v>
      </c>
    </row>
    <row r="86" spans="1:7">
      <c r="A86" s="11" t="s">
        <v>1404</v>
      </c>
      <c r="B86" s="5" t="s">
        <v>1277</v>
      </c>
      <c r="C86" s="7" t="s">
        <v>1338</v>
      </c>
      <c r="D86" s="11" t="s">
        <v>1078</v>
      </c>
      <c r="E86" s="5"/>
      <c r="F86" s="5" t="s">
        <v>1288</v>
      </c>
      <c r="G86" s="5" t="s">
        <v>1298</v>
      </c>
    </row>
    <row r="87" spans="1:7">
      <c r="A87" s="11" t="s">
        <v>1405</v>
      </c>
      <c r="B87" s="5" t="s">
        <v>1277</v>
      </c>
      <c r="C87" s="7" t="s">
        <v>1340</v>
      </c>
      <c r="D87" s="11" t="s">
        <v>1082</v>
      </c>
      <c r="E87" s="5"/>
      <c r="F87" s="5" t="s">
        <v>1283</v>
      </c>
      <c r="G87" s="5" t="s">
        <v>1298</v>
      </c>
    </row>
    <row r="88" spans="1:7">
      <c r="A88" s="11" t="s">
        <v>1406</v>
      </c>
      <c r="B88" s="5" t="s">
        <v>1295</v>
      </c>
      <c r="C88" s="7" t="s">
        <v>1342</v>
      </c>
      <c r="D88" s="11"/>
      <c r="E88" s="5" t="s">
        <v>1297</v>
      </c>
      <c r="F88" s="5" t="s">
        <v>1288</v>
      </c>
      <c r="G88" s="5" t="s">
        <v>1298</v>
      </c>
    </row>
    <row r="89" spans="1:7">
      <c r="A89" s="11" t="s">
        <v>1407</v>
      </c>
      <c r="B89" s="5" t="s">
        <v>1277</v>
      </c>
      <c r="C89" s="7" t="s">
        <v>1278</v>
      </c>
      <c r="D89" s="11" t="s">
        <v>1088</v>
      </c>
      <c r="E89" s="5"/>
      <c r="F89" s="5" t="s">
        <v>1279</v>
      </c>
      <c r="G89" s="5" t="s">
        <v>1280</v>
      </c>
    </row>
    <row r="90" spans="1:7">
      <c r="A90" s="11" t="s">
        <v>1408</v>
      </c>
      <c r="B90" s="5" t="s">
        <v>1277</v>
      </c>
      <c r="C90" s="7" t="s">
        <v>1282</v>
      </c>
      <c r="D90" s="11" t="s">
        <v>1091</v>
      </c>
      <c r="E90" s="5"/>
      <c r="F90" s="5" t="s">
        <v>1283</v>
      </c>
      <c r="G90" s="5" t="s">
        <v>1280</v>
      </c>
    </row>
    <row r="91" spans="1:7">
      <c r="A91" s="11" t="s">
        <v>1409</v>
      </c>
      <c r="B91" s="5" t="s">
        <v>1277</v>
      </c>
      <c r="C91" s="7" t="s">
        <v>1285</v>
      </c>
      <c r="D91" s="11" t="s">
        <v>1094</v>
      </c>
      <c r="E91" s="5"/>
      <c r="F91" s="5" t="s">
        <v>1279</v>
      </c>
      <c r="G91" s="5" t="s">
        <v>1280</v>
      </c>
    </row>
    <row r="92" spans="1:7">
      <c r="A92" s="11" t="s">
        <v>1410</v>
      </c>
      <c r="B92" s="5" t="s">
        <v>1277</v>
      </c>
      <c r="C92" s="7" t="s">
        <v>1287</v>
      </c>
      <c r="D92" s="11" t="s">
        <v>1097</v>
      </c>
      <c r="E92" s="5"/>
      <c r="F92" s="5" t="s">
        <v>1288</v>
      </c>
      <c r="G92" s="5" t="s">
        <v>1280</v>
      </c>
    </row>
    <row r="93" spans="1:7">
      <c r="A93" s="11" t="s">
        <v>1411</v>
      </c>
      <c r="B93" s="5" t="s">
        <v>1277</v>
      </c>
      <c r="C93" s="7" t="s">
        <v>1290</v>
      </c>
      <c r="D93" s="11" t="s">
        <v>1099</v>
      </c>
      <c r="E93" s="5"/>
      <c r="F93" s="5" t="s">
        <v>1288</v>
      </c>
      <c r="G93" s="5" t="s">
        <v>1280</v>
      </c>
    </row>
    <row r="94" spans="1:7">
      <c r="A94" s="11" t="s">
        <v>1412</v>
      </c>
      <c r="B94" s="5" t="s">
        <v>1277</v>
      </c>
      <c r="C94" s="7" t="s">
        <v>1293</v>
      </c>
      <c r="D94" s="11" t="s">
        <v>1102</v>
      </c>
      <c r="E94" s="5"/>
      <c r="F94" s="5" t="s">
        <v>1288</v>
      </c>
      <c r="G94" s="5" t="s">
        <v>1291</v>
      </c>
    </row>
    <row r="95" spans="1:7">
      <c r="A95" s="11" t="s">
        <v>1413</v>
      </c>
      <c r="B95" s="5" t="s">
        <v>1295</v>
      </c>
      <c r="C95" s="7" t="s">
        <v>1296</v>
      </c>
      <c r="D95" s="11"/>
      <c r="E95" s="5" t="s">
        <v>1313</v>
      </c>
      <c r="F95" s="5" t="s">
        <v>1288</v>
      </c>
      <c r="G95" s="5" t="s">
        <v>1291</v>
      </c>
    </row>
    <row r="96" spans="1:7">
      <c r="A96" s="11" t="s">
        <v>1414</v>
      </c>
      <c r="B96" s="5" t="s">
        <v>1277</v>
      </c>
      <c r="C96" s="7" t="s">
        <v>1300</v>
      </c>
      <c r="D96" s="11" t="s">
        <v>1108</v>
      </c>
      <c r="E96" s="5"/>
      <c r="F96" s="5" t="s">
        <v>1279</v>
      </c>
      <c r="G96" s="5" t="s">
        <v>1298</v>
      </c>
    </row>
    <row r="97" spans="1:7">
      <c r="A97" s="11" t="s">
        <v>1415</v>
      </c>
      <c r="B97" s="5" t="s">
        <v>1277</v>
      </c>
      <c r="C97" s="7" t="s">
        <v>1302</v>
      </c>
      <c r="D97" s="11" t="s">
        <v>1111</v>
      </c>
      <c r="E97" s="5"/>
      <c r="F97" s="5" t="s">
        <v>1288</v>
      </c>
      <c r="G97" s="5" t="s">
        <v>1280</v>
      </c>
    </row>
    <row r="98" spans="1:7">
      <c r="A98" s="11" t="s">
        <v>1416</v>
      </c>
      <c r="B98" s="5" t="s">
        <v>1277</v>
      </c>
      <c r="C98" s="7" t="s">
        <v>1304</v>
      </c>
      <c r="D98" s="11" t="s">
        <v>1114</v>
      </c>
      <c r="E98" s="5"/>
      <c r="F98" s="5" t="s">
        <v>1283</v>
      </c>
      <c r="G98" s="5" t="s">
        <v>1280</v>
      </c>
    </row>
    <row r="99" spans="1:7">
      <c r="A99" s="11" t="s">
        <v>1417</v>
      </c>
      <c r="B99" s="5" t="s">
        <v>1277</v>
      </c>
      <c r="C99" s="7" t="s">
        <v>1306</v>
      </c>
      <c r="D99" s="11" t="s">
        <v>1118</v>
      </c>
      <c r="E99" s="5"/>
      <c r="F99" s="5" t="s">
        <v>1279</v>
      </c>
      <c r="G99" s="5" t="s">
        <v>1291</v>
      </c>
    </row>
    <row r="100" spans="1:7">
      <c r="A100" s="11" t="s">
        <v>1418</v>
      </c>
      <c r="B100" s="5" t="s">
        <v>1277</v>
      </c>
      <c r="C100" s="7" t="s">
        <v>1308</v>
      </c>
      <c r="D100" s="11" t="s">
        <v>1121</v>
      </c>
      <c r="E100" s="5"/>
      <c r="F100" s="5" t="s">
        <v>1288</v>
      </c>
      <c r="G100" s="5" t="s">
        <v>1291</v>
      </c>
    </row>
    <row r="101" spans="1:7">
      <c r="A101" s="11" t="s">
        <v>1419</v>
      </c>
      <c r="B101" s="5" t="s">
        <v>1277</v>
      </c>
      <c r="C101" s="7" t="s">
        <v>1310</v>
      </c>
      <c r="D101" s="11" t="s">
        <v>1124</v>
      </c>
      <c r="E101" s="5"/>
      <c r="F101" s="5" t="s">
        <v>1283</v>
      </c>
      <c r="G101" s="5" t="s">
        <v>1291</v>
      </c>
    </row>
    <row r="102" spans="1:7">
      <c r="A102" s="11" t="s">
        <v>1420</v>
      </c>
      <c r="B102" s="5" t="s">
        <v>1295</v>
      </c>
      <c r="C102" s="7" t="s">
        <v>1312</v>
      </c>
      <c r="D102" s="11"/>
      <c r="E102" s="5" t="s">
        <v>1328</v>
      </c>
      <c r="F102" s="5" t="s">
        <v>1288</v>
      </c>
      <c r="G102" s="5" t="s">
        <v>1291</v>
      </c>
    </row>
    <row r="103" spans="1:7">
      <c r="A103" s="11" t="s">
        <v>1421</v>
      </c>
      <c r="B103" s="5" t="s">
        <v>1277</v>
      </c>
      <c r="C103" s="7" t="s">
        <v>1315</v>
      </c>
      <c r="D103" s="11" t="s">
        <v>1130</v>
      </c>
      <c r="E103" s="5"/>
      <c r="F103" s="5" t="s">
        <v>1288</v>
      </c>
      <c r="G103" s="5" t="s">
        <v>1298</v>
      </c>
    </row>
    <row r="104" spans="1:7">
      <c r="A104" s="11" t="s">
        <v>1422</v>
      </c>
      <c r="B104" s="5" t="s">
        <v>1277</v>
      </c>
      <c r="C104" s="7" t="s">
        <v>1317</v>
      </c>
      <c r="D104" s="11" t="s">
        <v>1133</v>
      </c>
      <c r="E104" s="5"/>
      <c r="F104" s="5" t="s">
        <v>1279</v>
      </c>
      <c r="G104" s="5" t="s">
        <v>1280</v>
      </c>
    </row>
    <row r="105" spans="1:7">
      <c r="A105" s="11" t="s">
        <v>1423</v>
      </c>
      <c r="B105" s="5" t="s">
        <v>1277</v>
      </c>
      <c r="C105" s="7" t="s">
        <v>1319</v>
      </c>
      <c r="D105" s="11" t="s">
        <v>772</v>
      </c>
      <c r="E105" s="5"/>
      <c r="F105" s="5" t="s">
        <v>1279</v>
      </c>
      <c r="G105" s="5" t="s">
        <v>1280</v>
      </c>
    </row>
    <row r="106" spans="1:7">
      <c r="A106" s="11" t="s">
        <v>1424</v>
      </c>
      <c r="B106" s="5" t="s">
        <v>1277</v>
      </c>
      <c r="C106" s="7" t="s">
        <v>1321</v>
      </c>
      <c r="D106" s="11" t="s">
        <v>783</v>
      </c>
      <c r="E106" s="5"/>
      <c r="F106" s="5" t="s">
        <v>1283</v>
      </c>
      <c r="G106" s="5" t="s">
        <v>1280</v>
      </c>
    </row>
    <row r="107" spans="1:7">
      <c r="A107" s="11" t="s">
        <v>1425</v>
      </c>
      <c r="B107" s="5" t="s">
        <v>1277</v>
      </c>
      <c r="C107" s="7" t="s">
        <v>1323</v>
      </c>
      <c r="D107" s="11" t="s">
        <v>792</v>
      </c>
      <c r="E107" s="5"/>
      <c r="F107" s="5" t="s">
        <v>1279</v>
      </c>
      <c r="G107" s="5" t="s">
        <v>1291</v>
      </c>
    </row>
    <row r="108" spans="1:7">
      <c r="A108" s="11" t="s">
        <v>1426</v>
      </c>
      <c r="B108" s="5" t="s">
        <v>1277</v>
      </c>
      <c r="C108" s="7" t="s">
        <v>1325</v>
      </c>
      <c r="D108" s="11" t="s">
        <v>799</v>
      </c>
      <c r="E108" s="5"/>
      <c r="F108" s="5" t="s">
        <v>1288</v>
      </c>
      <c r="G108" s="5" t="s">
        <v>1291</v>
      </c>
    </row>
    <row r="109" spans="1:7">
      <c r="A109" s="11" t="s">
        <v>1427</v>
      </c>
      <c r="B109" s="5" t="s">
        <v>1295</v>
      </c>
      <c r="C109" s="7" t="s">
        <v>1327</v>
      </c>
      <c r="D109" s="11"/>
      <c r="E109" s="5" t="s">
        <v>1343</v>
      </c>
      <c r="F109" s="5" t="s">
        <v>1288</v>
      </c>
      <c r="G109" s="5" t="s">
        <v>1298</v>
      </c>
    </row>
    <row r="110" spans="1:7">
      <c r="A110" s="11" t="s">
        <v>1428</v>
      </c>
      <c r="B110" s="5" t="s">
        <v>1277</v>
      </c>
      <c r="C110" s="7" t="s">
        <v>1330</v>
      </c>
      <c r="D110" s="11" t="s">
        <v>813</v>
      </c>
      <c r="E110" s="5"/>
      <c r="F110" s="5" t="s">
        <v>1288</v>
      </c>
      <c r="G110" s="5" t="s">
        <v>1298</v>
      </c>
    </row>
    <row r="111" spans="1:7">
      <c r="A111" s="11" t="s">
        <v>1429</v>
      </c>
      <c r="B111" s="5" t="s">
        <v>1277</v>
      </c>
      <c r="C111" s="7" t="s">
        <v>1332</v>
      </c>
      <c r="D111" s="11" t="s">
        <v>817</v>
      </c>
      <c r="E111" s="5"/>
      <c r="F111" s="5" t="s">
        <v>1288</v>
      </c>
      <c r="G111" s="5" t="s">
        <v>1298</v>
      </c>
    </row>
    <row r="112" spans="1:7">
      <c r="A112" s="11" t="s">
        <v>1430</v>
      </c>
      <c r="B112" s="5" t="s">
        <v>1277</v>
      </c>
      <c r="C112" s="7" t="s">
        <v>1334</v>
      </c>
      <c r="D112" s="11" t="s">
        <v>820</v>
      </c>
      <c r="E112" s="5"/>
      <c r="F112" s="5" t="s">
        <v>1283</v>
      </c>
      <c r="G112" s="5" t="s">
        <v>1280</v>
      </c>
    </row>
    <row r="113" spans="1:7">
      <c r="A113" s="11" t="s">
        <v>1431</v>
      </c>
      <c r="B113" s="5" t="s">
        <v>1277</v>
      </c>
      <c r="C113" s="7" t="s">
        <v>1336</v>
      </c>
      <c r="D113" s="11" t="s">
        <v>825</v>
      </c>
      <c r="E113" s="5"/>
      <c r="F113" s="5" t="s">
        <v>1288</v>
      </c>
      <c r="G113" s="5" t="s">
        <v>1291</v>
      </c>
    </row>
    <row r="114" spans="1:7">
      <c r="A114" s="11" t="s">
        <v>1432</v>
      </c>
      <c r="B114" s="5" t="s">
        <v>1277</v>
      </c>
      <c r="C114" s="7" t="s">
        <v>1338</v>
      </c>
      <c r="D114" s="11" t="s">
        <v>830</v>
      </c>
      <c r="E114" s="5"/>
      <c r="F114" s="5" t="s">
        <v>1283</v>
      </c>
      <c r="G114" s="5" t="s">
        <v>1291</v>
      </c>
    </row>
    <row r="115" spans="1:7">
      <c r="A115" s="11" t="s">
        <v>1433</v>
      </c>
      <c r="B115" s="5" t="s">
        <v>1277</v>
      </c>
      <c r="C115" s="7" t="s">
        <v>1340</v>
      </c>
      <c r="D115" s="11" t="s">
        <v>835</v>
      </c>
      <c r="E115" s="5"/>
      <c r="F115" s="5" t="s">
        <v>1279</v>
      </c>
      <c r="G115" s="5" t="s">
        <v>1291</v>
      </c>
    </row>
    <row r="116" spans="1:7">
      <c r="A116" s="11" t="s">
        <v>1434</v>
      </c>
      <c r="B116" s="5" t="s">
        <v>1295</v>
      </c>
      <c r="C116" s="7" t="s">
        <v>1342</v>
      </c>
      <c r="D116" s="11"/>
      <c r="E116" s="5" t="s">
        <v>1351</v>
      </c>
      <c r="F116" s="5" t="s">
        <v>1288</v>
      </c>
      <c r="G116" s="5" t="s">
        <v>1298</v>
      </c>
    </row>
    <row r="117" spans="1:7">
      <c r="A117" s="11" t="s">
        <v>1435</v>
      </c>
      <c r="B117" s="5" t="s">
        <v>1277</v>
      </c>
      <c r="C117" s="7" t="s">
        <v>1278</v>
      </c>
      <c r="D117" s="11" t="s">
        <v>844</v>
      </c>
      <c r="E117" s="5"/>
      <c r="F117" s="5" t="s">
        <v>1283</v>
      </c>
      <c r="G117" s="5" t="s">
        <v>1291</v>
      </c>
    </row>
    <row r="118" spans="1:7">
      <c r="A118" s="11" t="s">
        <v>1436</v>
      </c>
      <c r="B118" s="5" t="s">
        <v>1277</v>
      </c>
      <c r="C118" s="7" t="s">
        <v>1282</v>
      </c>
      <c r="D118" s="11" t="s">
        <v>848</v>
      </c>
      <c r="E118" s="5"/>
      <c r="F118" s="5" t="s">
        <v>1288</v>
      </c>
      <c r="G118" s="5" t="s">
        <v>1291</v>
      </c>
    </row>
    <row r="119" spans="1:7">
      <c r="A119" s="11" t="s">
        <v>1437</v>
      </c>
      <c r="B119" s="5" t="s">
        <v>1277</v>
      </c>
      <c r="C119" s="7" t="s">
        <v>1285</v>
      </c>
      <c r="D119" s="11" t="s">
        <v>853</v>
      </c>
      <c r="E119" s="5"/>
      <c r="F119" s="5" t="s">
        <v>1279</v>
      </c>
      <c r="G119" s="5" t="s">
        <v>1298</v>
      </c>
    </row>
    <row r="120" spans="1:7">
      <c r="A120" s="11" t="s">
        <v>1438</v>
      </c>
      <c r="B120" s="5" t="s">
        <v>1277</v>
      </c>
      <c r="C120" s="7" t="s">
        <v>1287</v>
      </c>
      <c r="D120" s="11" t="s">
        <v>856</v>
      </c>
      <c r="E120" s="5"/>
      <c r="F120" s="5" t="s">
        <v>1288</v>
      </c>
      <c r="G120" s="5" t="s">
        <v>1280</v>
      </c>
    </row>
    <row r="121" spans="1:7">
      <c r="A121" s="11" t="s">
        <v>1439</v>
      </c>
      <c r="B121" s="5" t="s">
        <v>1277</v>
      </c>
      <c r="C121" s="7" t="s">
        <v>1290</v>
      </c>
      <c r="D121" s="11" t="s">
        <v>860</v>
      </c>
      <c r="E121" s="5"/>
      <c r="F121" s="5" t="s">
        <v>1279</v>
      </c>
      <c r="G121" s="5" t="s">
        <v>1280</v>
      </c>
    </row>
    <row r="122" spans="1:7">
      <c r="A122" s="11" t="s">
        <v>1440</v>
      </c>
      <c r="B122" s="5" t="s">
        <v>1277</v>
      </c>
      <c r="C122" s="7" t="s">
        <v>1293</v>
      </c>
      <c r="D122" s="11" t="s">
        <v>864</v>
      </c>
      <c r="E122" s="5"/>
      <c r="F122" s="5" t="s">
        <v>1283</v>
      </c>
      <c r="G122" s="5" t="s">
        <v>1280</v>
      </c>
    </row>
    <row r="123" spans="1:7">
      <c r="A123" s="11" t="s">
        <v>1441</v>
      </c>
      <c r="B123" s="5" t="s">
        <v>1295</v>
      </c>
      <c r="C123" s="7" t="s">
        <v>1296</v>
      </c>
      <c r="D123" s="11"/>
      <c r="E123" s="5" t="s">
        <v>1359</v>
      </c>
      <c r="F123" s="5" t="s">
        <v>1288</v>
      </c>
      <c r="G123" s="5" t="s">
        <v>1280</v>
      </c>
    </row>
    <row r="124" spans="1:7">
      <c r="A124" s="11" t="s">
        <v>1442</v>
      </c>
      <c r="B124" s="5" t="s">
        <v>1277</v>
      </c>
      <c r="C124" s="7" t="s">
        <v>1300</v>
      </c>
      <c r="D124" s="11" t="s">
        <v>871</v>
      </c>
      <c r="E124" s="5"/>
      <c r="F124" s="5" t="s">
        <v>1288</v>
      </c>
      <c r="G124" s="5" t="s">
        <v>1291</v>
      </c>
    </row>
    <row r="125" spans="1:7">
      <c r="A125" s="11" t="s">
        <v>1443</v>
      </c>
      <c r="B125" s="5" t="s">
        <v>1277</v>
      </c>
      <c r="C125" s="7" t="s">
        <v>1302</v>
      </c>
      <c r="D125" s="11" t="s">
        <v>876</v>
      </c>
      <c r="E125" s="5"/>
      <c r="F125" s="5" t="s">
        <v>1283</v>
      </c>
      <c r="G125" s="5" t="s">
        <v>1291</v>
      </c>
    </row>
    <row r="126" spans="1:7">
      <c r="A126" s="11" t="s">
        <v>1444</v>
      </c>
      <c r="B126" s="5" t="s">
        <v>1277</v>
      </c>
      <c r="C126" s="7" t="s">
        <v>1304</v>
      </c>
      <c r="D126" s="11" t="s">
        <v>879</v>
      </c>
      <c r="E126" s="5"/>
      <c r="F126" s="5" t="s">
        <v>1279</v>
      </c>
      <c r="G126" s="5" t="s">
        <v>1291</v>
      </c>
    </row>
    <row r="127" spans="1:7">
      <c r="A127" s="11" t="s">
        <v>1445</v>
      </c>
      <c r="B127" s="5" t="s">
        <v>1277</v>
      </c>
      <c r="C127" s="7" t="s">
        <v>1306</v>
      </c>
      <c r="D127" s="11" t="s">
        <v>885</v>
      </c>
      <c r="E127" s="5"/>
      <c r="F127" s="5" t="s">
        <v>1279</v>
      </c>
      <c r="G127" s="5" t="s">
        <v>1298</v>
      </c>
    </row>
    <row r="128" spans="1:7">
      <c r="A128" s="11" t="s">
        <v>1446</v>
      </c>
      <c r="B128" s="5" t="s">
        <v>1277</v>
      </c>
      <c r="C128" s="7" t="s">
        <v>1308</v>
      </c>
      <c r="D128" s="11" t="s">
        <v>888</v>
      </c>
      <c r="E128" s="5"/>
      <c r="F128" s="5" t="s">
        <v>1288</v>
      </c>
      <c r="G128" s="5" t="s">
        <v>1280</v>
      </c>
    </row>
    <row r="129" spans="1:7">
      <c r="A129" s="11" t="s">
        <v>1447</v>
      </c>
      <c r="B129" s="5" t="s">
        <v>1277</v>
      </c>
      <c r="C129" s="7" t="s">
        <v>1310</v>
      </c>
      <c r="D129" s="11" t="s">
        <v>891</v>
      </c>
      <c r="E129" s="5"/>
      <c r="F129" s="5" t="s">
        <v>1288</v>
      </c>
      <c r="G129" s="5" t="s">
        <v>1280</v>
      </c>
    </row>
    <row r="130" spans="1:7">
      <c r="A130" s="11" t="s">
        <v>1448</v>
      </c>
      <c r="B130" s="5" t="s">
        <v>1295</v>
      </c>
      <c r="C130" s="7" t="s">
        <v>1312</v>
      </c>
      <c r="D130" s="11"/>
      <c r="E130" s="5" t="s">
        <v>1367</v>
      </c>
      <c r="F130" s="5" t="s">
        <v>1288</v>
      </c>
      <c r="G130" s="5" t="s">
        <v>1291</v>
      </c>
    </row>
    <row r="131" spans="1:7">
      <c r="A131" s="11" t="s">
        <v>1449</v>
      </c>
      <c r="B131" s="5" t="s">
        <v>1277</v>
      </c>
      <c r="C131" s="7" t="s">
        <v>1315</v>
      </c>
      <c r="D131" s="11" t="s">
        <v>897</v>
      </c>
      <c r="E131" s="5"/>
      <c r="F131" s="5" t="s">
        <v>1283</v>
      </c>
      <c r="G131" s="5" t="s">
        <v>1291</v>
      </c>
    </row>
    <row r="132" spans="1:7">
      <c r="A132" s="11" t="s">
        <v>1450</v>
      </c>
      <c r="B132" s="5" t="s">
        <v>1277</v>
      </c>
      <c r="C132" s="7" t="s">
        <v>1317</v>
      </c>
      <c r="D132" s="11" t="s">
        <v>901</v>
      </c>
      <c r="E132" s="5"/>
      <c r="F132" s="5" t="s">
        <v>1288</v>
      </c>
      <c r="G132" s="5" t="s">
        <v>1291</v>
      </c>
    </row>
    <row r="133" spans="1:7">
      <c r="A133" s="11" t="s">
        <v>1451</v>
      </c>
      <c r="B133" s="5" t="s">
        <v>1277</v>
      </c>
      <c r="C133" s="7" t="s">
        <v>1319</v>
      </c>
      <c r="D133" s="11" t="s">
        <v>904</v>
      </c>
      <c r="E133" s="5"/>
      <c r="F133" s="5" t="s">
        <v>1283</v>
      </c>
      <c r="G133" s="5" t="s">
        <v>1291</v>
      </c>
    </row>
    <row r="134" spans="1:7">
      <c r="A134" s="11" t="s">
        <v>1452</v>
      </c>
      <c r="B134" s="5" t="s">
        <v>1277</v>
      </c>
      <c r="C134" s="7" t="s">
        <v>1321</v>
      </c>
      <c r="D134" s="11" t="s">
        <v>908</v>
      </c>
      <c r="E134" s="5"/>
      <c r="F134" s="5" t="s">
        <v>1279</v>
      </c>
      <c r="G134" s="5" t="s">
        <v>1298</v>
      </c>
    </row>
    <row r="135" spans="1:7">
      <c r="A135" s="11" t="s">
        <v>1453</v>
      </c>
      <c r="B135" s="5" t="s">
        <v>1277</v>
      </c>
      <c r="C135" s="7" t="s">
        <v>1323</v>
      </c>
      <c r="D135" s="11" t="s">
        <v>911</v>
      </c>
      <c r="E135" s="5"/>
      <c r="F135" s="5" t="s">
        <v>1279</v>
      </c>
      <c r="G135" s="5" t="s">
        <v>1280</v>
      </c>
    </row>
    <row r="136" spans="1:7">
      <c r="A136" s="11" t="s">
        <v>1454</v>
      </c>
      <c r="B136" s="5" t="s">
        <v>1277</v>
      </c>
      <c r="C136" s="7" t="s">
        <v>1325</v>
      </c>
      <c r="D136" s="11" t="s">
        <v>915</v>
      </c>
      <c r="E136" s="5"/>
      <c r="F136" s="5" t="s">
        <v>1288</v>
      </c>
      <c r="G136" s="5" t="s">
        <v>1280</v>
      </c>
    </row>
    <row r="137" spans="1:7">
      <c r="A137" s="11" t="s">
        <v>1455</v>
      </c>
      <c r="B137" s="5" t="s">
        <v>1295</v>
      </c>
      <c r="C137" s="7" t="s">
        <v>1327</v>
      </c>
      <c r="D137" s="11"/>
      <c r="E137" s="5" t="s">
        <v>1375</v>
      </c>
      <c r="F137" s="5" t="s">
        <v>1288</v>
      </c>
      <c r="G137" s="5" t="s">
        <v>1291</v>
      </c>
    </row>
    <row r="138" spans="1:7">
      <c r="A138" s="11" t="s">
        <v>1456</v>
      </c>
      <c r="B138" s="5" t="s">
        <v>1277</v>
      </c>
      <c r="C138" s="7" t="s">
        <v>1330</v>
      </c>
      <c r="D138" s="11" t="s">
        <v>922</v>
      </c>
      <c r="E138" s="5"/>
      <c r="F138" s="5" t="s">
        <v>1288</v>
      </c>
      <c r="G138" s="5" t="s">
        <v>1291</v>
      </c>
    </row>
    <row r="139" spans="1:7">
      <c r="A139" s="11" t="s">
        <v>1457</v>
      </c>
      <c r="B139" s="5" t="s">
        <v>1277</v>
      </c>
      <c r="C139" s="7" t="s">
        <v>1332</v>
      </c>
      <c r="D139" s="11" t="s">
        <v>925</v>
      </c>
      <c r="E139" s="5"/>
      <c r="F139" s="5" t="s">
        <v>1283</v>
      </c>
      <c r="G139" s="5" t="s">
        <v>1298</v>
      </c>
    </row>
    <row r="140" spans="1:7">
      <c r="A140" s="11" t="s">
        <v>1458</v>
      </c>
      <c r="B140" s="5" t="s">
        <v>1277</v>
      </c>
      <c r="C140" s="7" t="s">
        <v>1334</v>
      </c>
      <c r="D140" s="11" t="s">
        <v>928</v>
      </c>
      <c r="E140" s="5"/>
      <c r="F140" s="5" t="s">
        <v>1279</v>
      </c>
      <c r="G140" s="5" t="s">
        <v>1298</v>
      </c>
    </row>
    <row r="141" spans="1:7">
      <c r="A141" s="11" t="s">
        <v>1459</v>
      </c>
      <c r="B141" s="5" t="s">
        <v>1277</v>
      </c>
      <c r="C141" s="7" t="s">
        <v>1336</v>
      </c>
      <c r="D141" s="11" t="s">
        <v>932</v>
      </c>
      <c r="E141" s="5"/>
      <c r="F141" s="5" t="s">
        <v>1283</v>
      </c>
      <c r="G141" s="5" t="s">
        <v>1298</v>
      </c>
    </row>
    <row r="142" spans="1:7">
      <c r="A142" s="11" t="s">
        <v>1460</v>
      </c>
      <c r="B142" s="5" t="s">
        <v>1277</v>
      </c>
      <c r="C142" s="7" t="s">
        <v>1338</v>
      </c>
      <c r="D142" s="11" t="s">
        <v>935</v>
      </c>
      <c r="E142" s="5"/>
      <c r="F142" s="5" t="s">
        <v>1279</v>
      </c>
      <c r="G142" s="5" t="s">
        <v>1298</v>
      </c>
    </row>
    <row r="143" spans="1:7">
      <c r="A143" s="11" t="s">
        <v>1461</v>
      </c>
      <c r="B143" s="5" t="s">
        <v>1277</v>
      </c>
      <c r="C143" s="7" t="s">
        <v>1340</v>
      </c>
      <c r="D143" s="11" t="s">
        <v>939</v>
      </c>
      <c r="E143" s="5"/>
      <c r="F143" s="5" t="s">
        <v>1279</v>
      </c>
      <c r="G143" s="5" t="s">
        <v>1280</v>
      </c>
    </row>
    <row r="144" spans="1:7">
      <c r="A144" s="11" t="s">
        <v>1462</v>
      </c>
      <c r="B144" s="5" t="s">
        <v>1295</v>
      </c>
      <c r="C144" s="7" t="s">
        <v>1342</v>
      </c>
      <c r="D144" s="11"/>
      <c r="E144" s="5" t="s">
        <v>1383</v>
      </c>
      <c r="F144" s="5" t="s">
        <v>1288</v>
      </c>
      <c r="G144" s="5" t="s">
        <v>1291</v>
      </c>
    </row>
    <row r="145" spans="1:7">
      <c r="A145" s="11" t="s">
        <v>1463</v>
      </c>
      <c r="B145" s="5" t="s">
        <v>1277</v>
      </c>
      <c r="C145" s="7" t="s">
        <v>1278</v>
      </c>
      <c r="D145" s="11" t="s">
        <v>946</v>
      </c>
      <c r="E145" s="5"/>
      <c r="F145" s="5" t="s">
        <v>1279</v>
      </c>
      <c r="G145" s="5" t="s">
        <v>1280</v>
      </c>
    </row>
    <row r="146" spans="1:7">
      <c r="A146" s="11" t="s">
        <v>1464</v>
      </c>
      <c r="B146" s="5" t="s">
        <v>1277</v>
      </c>
      <c r="C146" s="7" t="s">
        <v>1282</v>
      </c>
      <c r="D146" s="11" t="s">
        <v>949</v>
      </c>
      <c r="E146" s="5"/>
      <c r="F146" s="5" t="s">
        <v>1288</v>
      </c>
      <c r="G146" s="5" t="s">
        <v>1280</v>
      </c>
    </row>
    <row r="147" spans="1:7">
      <c r="A147" s="11" t="s">
        <v>1465</v>
      </c>
      <c r="B147" s="5" t="s">
        <v>1277</v>
      </c>
      <c r="C147" s="7" t="s">
        <v>1285</v>
      </c>
      <c r="D147" s="11" t="s">
        <v>953</v>
      </c>
      <c r="E147" s="5"/>
      <c r="F147" s="5" t="s">
        <v>1283</v>
      </c>
      <c r="G147" s="5" t="s">
        <v>1280</v>
      </c>
    </row>
    <row r="148" spans="1:7">
      <c r="A148" s="11" t="s">
        <v>1466</v>
      </c>
      <c r="B148" s="5" t="s">
        <v>1277</v>
      </c>
      <c r="C148" s="7" t="s">
        <v>1287</v>
      </c>
      <c r="D148" s="11" t="s">
        <v>957</v>
      </c>
      <c r="E148" s="5"/>
      <c r="F148" s="5" t="s">
        <v>1279</v>
      </c>
      <c r="G148" s="5" t="s">
        <v>1291</v>
      </c>
    </row>
    <row r="149" spans="1:7">
      <c r="A149" s="11" t="s">
        <v>1467</v>
      </c>
      <c r="B149" s="5" t="s">
        <v>1277</v>
      </c>
      <c r="C149" s="7" t="s">
        <v>1290</v>
      </c>
      <c r="D149" s="11" t="s">
        <v>960</v>
      </c>
      <c r="E149" s="5"/>
      <c r="F149" s="5" t="s">
        <v>1283</v>
      </c>
      <c r="G149" s="5" t="s">
        <v>1291</v>
      </c>
    </row>
    <row r="150" spans="1:7">
      <c r="A150" s="11" t="s">
        <v>1468</v>
      </c>
      <c r="B150" s="5" t="s">
        <v>1277</v>
      </c>
      <c r="C150" s="7" t="s">
        <v>1293</v>
      </c>
      <c r="D150" s="11" t="s">
        <v>963</v>
      </c>
      <c r="E150" s="5"/>
      <c r="F150" s="5" t="s">
        <v>1279</v>
      </c>
      <c r="G150" s="5" t="s">
        <v>1298</v>
      </c>
    </row>
    <row r="151" spans="1:7">
      <c r="A151" s="11" t="s">
        <v>1469</v>
      </c>
      <c r="B151" s="5" t="s">
        <v>1295</v>
      </c>
      <c r="C151" s="7" t="s">
        <v>1296</v>
      </c>
      <c r="D151" s="11"/>
      <c r="E151" s="5" t="s">
        <v>1391</v>
      </c>
      <c r="F151" s="5" t="s">
        <v>1288</v>
      </c>
      <c r="G151" s="5" t="s">
        <v>1280</v>
      </c>
    </row>
    <row r="152" spans="1:7">
      <c r="A152" s="11" t="s">
        <v>1470</v>
      </c>
      <c r="B152" s="5" t="s">
        <v>1277</v>
      </c>
      <c r="C152" s="7" t="s">
        <v>1300</v>
      </c>
      <c r="D152" s="11" t="s">
        <v>969</v>
      </c>
      <c r="E152" s="5"/>
      <c r="F152" s="5" t="s">
        <v>1283</v>
      </c>
      <c r="G152" s="5" t="s">
        <v>1280</v>
      </c>
    </row>
    <row r="153" spans="1:7">
      <c r="A153" s="11" t="s">
        <v>1471</v>
      </c>
      <c r="B153" s="5" t="s">
        <v>1277</v>
      </c>
      <c r="C153" s="7" t="s">
        <v>1302</v>
      </c>
      <c r="D153" s="11" t="s">
        <v>973</v>
      </c>
      <c r="E153" s="5"/>
      <c r="F153" s="5" t="s">
        <v>1279</v>
      </c>
      <c r="G153" s="5" t="s">
        <v>1280</v>
      </c>
    </row>
    <row r="154" spans="1:7">
      <c r="A154" s="11" t="s">
        <v>1472</v>
      </c>
      <c r="B154" s="5" t="s">
        <v>1277</v>
      </c>
      <c r="C154" s="7" t="s">
        <v>1304</v>
      </c>
      <c r="D154" s="11" t="s">
        <v>976</v>
      </c>
      <c r="E154" s="5"/>
      <c r="F154" s="5" t="s">
        <v>1288</v>
      </c>
      <c r="G154" s="5" t="s">
        <v>1280</v>
      </c>
    </row>
    <row r="155" spans="1:7">
      <c r="A155" s="11" t="s">
        <v>1473</v>
      </c>
      <c r="B155" s="5" t="s">
        <v>1277</v>
      </c>
      <c r="C155" s="7" t="s">
        <v>1306</v>
      </c>
      <c r="D155" s="11" t="s">
        <v>979</v>
      </c>
      <c r="E155" s="5"/>
      <c r="F155" s="5" t="s">
        <v>1283</v>
      </c>
      <c r="G155" s="5" t="s">
        <v>1291</v>
      </c>
    </row>
    <row r="156" spans="1:7">
      <c r="A156" s="11" t="s">
        <v>1474</v>
      </c>
      <c r="B156" s="5" t="s">
        <v>1277</v>
      </c>
      <c r="C156" s="7" t="s">
        <v>1308</v>
      </c>
      <c r="D156" s="11" t="s">
        <v>983</v>
      </c>
      <c r="E156" s="5"/>
      <c r="F156" s="5" t="s">
        <v>1288</v>
      </c>
      <c r="G156" s="5" t="s">
        <v>1291</v>
      </c>
    </row>
    <row r="157" spans="1:7">
      <c r="A157" s="11" t="s">
        <v>1475</v>
      </c>
      <c r="B157" s="5" t="s">
        <v>1277</v>
      </c>
      <c r="C157" s="7" t="s">
        <v>1310</v>
      </c>
      <c r="D157" s="11" t="s">
        <v>986</v>
      </c>
      <c r="E157" s="5"/>
      <c r="F157" s="5" t="s">
        <v>1283</v>
      </c>
      <c r="G157" s="5" t="s">
        <v>1298</v>
      </c>
    </row>
    <row r="158" spans="1:7">
      <c r="A158" s="11" t="s">
        <v>1476</v>
      </c>
      <c r="B158" s="5" t="s">
        <v>1295</v>
      </c>
      <c r="C158" s="7" t="s">
        <v>1312</v>
      </c>
      <c r="D158" s="11"/>
      <c r="E158" s="5" t="s">
        <v>1399</v>
      </c>
      <c r="F158" s="5" t="s">
        <v>1288</v>
      </c>
      <c r="G158" s="5" t="s">
        <v>1280</v>
      </c>
    </row>
    <row r="159" spans="1:7">
      <c r="A159" s="11" t="s">
        <v>1477</v>
      </c>
      <c r="B159" s="5" t="s">
        <v>1277</v>
      </c>
      <c r="C159" s="7" t="s">
        <v>1315</v>
      </c>
      <c r="D159" s="11" t="s">
        <v>992</v>
      </c>
      <c r="E159" s="5"/>
      <c r="F159" s="5" t="s">
        <v>1279</v>
      </c>
      <c r="G159" s="5" t="s">
        <v>1280</v>
      </c>
    </row>
    <row r="160" spans="1:7">
      <c r="A160" s="11" t="s">
        <v>1478</v>
      </c>
      <c r="B160" s="5" t="s">
        <v>1277</v>
      </c>
      <c r="C160" s="7" t="s">
        <v>1317</v>
      </c>
      <c r="D160" s="11" t="s">
        <v>996</v>
      </c>
      <c r="E160" s="5"/>
      <c r="F160" s="5" t="s">
        <v>1283</v>
      </c>
      <c r="G160" s="5" t="s">
        <v>1280</v>
      </c>
    </row>
    <row r="161" spans="1:7">
      <c r="A161" s="11" t="s">
        <v>1479</v>
      </c>
      <c r="B161" s="5" t="s">
        <v>1277</v>
      </c>
      <c r="C161" s="7" t="s">
        <v>1319</v>
      </c>
      <c r="D161" s="11" t="s">
        <v>999</v>
      </c>
      <c r="E161" s="5"/>
      <c r="F161" s="5" t="s">
        <v>1279</v>
      </c>
      <c r="G161" s="5" t="s">
        <v>1291</v>
      </c>
    </row>
    <row r="162" spans="1:7">
      <c r="A162" s="11" t="s">
        <v>1480</v>
      </c>
      <c r="B162" s="5" t="s">
        <v>1277</v>
      </c>
      <c r="C162" s="7" t="s">
        <v>1321</v>
      </c>
      <c r="D162" s="11" t="s">
        <v>1002</v>
      </c>
      <c r="E162" s="5"/>
      <c r="F162" s="5" t="s">
        <v>1288</v>
      </c>
      <c r="G162" s="5" t="s">
        <v>1291</v>
      </c>
    </row>
    <row r="163" spans="1:7">
      <c r="A163" s="11" t="s">
        <v>1481</v>
      </c>
      <c r="B163" s="5" t="s">
        <v>1277</v>
      </c>
      <c r="C163" s="7" t="s">
        <v>1323</v>
      </c>
      <c r="D163" s="11" t="s">
        <v>1006</v>
      </c>
      <c r="E163" s="5"/>
      <c r="F163" s="5" t="s">
        <v>1283</v>
      </c>
      <c r="G163" s="5" t="s">
        <v>1291</v>
      </c>
    </row>
    <row r="164" spans="1:7">
      <c r="A164" s="11" t="s">
        <v>1482</v>
      </c>
      <c r="B164" s="5" t="s">
        <v>1277</v>
      </c>
      <c r="C164" s="7" t="s">
        <v>1325</v>
      </c>
      <c r="D164" s="11" t="s">
        <v>1009</v>
      </c>
      <c r="E164" s="5"/>
      <c r="F164" s="5" t="s">
        <v>1288</v>
      </c>
      <c r="G164" s="5" t="s">
        <v>1298</v>
      </c>
    </row>
    <row r="165" spans="1:7">
      <c r="A165" s="11" t="s">
        <v>1483</v>
      </c>
      <c r="B165" s="5" t="s">
        <v>1295</v>
      </c>
      <c r="C165" s="7" t="s">
        <v>1327</v>
      </c>
      <c r="D165" s="11"/>
      <c r="E165" s="5" t="s">
        <v>1297</v>
      </c>
      <c r="F165" s="5" t="s">
        <v>1288</v>
      </c>
      <c r="G165" s="5" t="s">
        <v>1298</v>
      </c>
    </row>
    <row r="166" spans="1:7">
      <c r="A166" s="11" t="s">
        <v>1484</v>
      </c>
      <c r="B166" s="5" t="s">
        <v>1277</v>
      </c>
      <c r="C166" s="7" t="s">
        <v>1330</v>
      </c>
      <c r="D166" s="11" t="s">
        <v>1016</v>
      </c>
      <c r="E166" s="5"/>
      <c r="F166" s="5" t="s">
        <v>1288</v>
      </c>
      <c r="G166" s="5" t="s">
        <v>1280</v>
      </c>
    </row>
    <row r="167" spans="1:7">
      <c r="A167" s="11" t="s">
        <v>1485</v>
      </c>
      <c r="B167" s="5" t="s">
        <v>1277</v>
      </c>
      <c r="C167" s="7" t="s">
        <v>1332</v>
      </c>
      <c r="D167" s="11" t="s">
        <v>1019</v>
      </c>
      <c r="E167" s="5"/>
      <c r="F167" s="5" t="s">
        <v>1288</v>
      </c>
      <c r="G167" s="5" t="s">
        <v>1291</v>
      </c>
    </row>
    <row r="168" spans="1:7">
      <c r="A168" s="11" t="s">
        <v>1486</v>
      </c>
      <c r="B168" s="5" t="s">
        <v>1277</v>
      </c>
      <c r="C168" s="7" t="s">
        <v>1334</v>
      </c>
      <c r="D168" s="11" t="s">
        <v>1023</v>
      </c>
      <c r="E168" s="5"/>
      <c r="F168" s="5" t="s">
        <v>1283</v>
      </c>
      <c r="G168" s="5" t="s">
        <v>1291</v>
      </c>
    </row>
    <row r="169" spans="1:7">
      <c r="A169" s="11" t="s">
        <v>1487</v>
      </c>
      <c r="B169" s="5" t="s">
        <v>1277</v>
      </c>
      <c r="C169" s="7" t="s">
        <v>1336</v>
      </c>
      <c r="D169" s="11" t="s">
        <v>1026</v>
      </c>
      <c r="E169" s="5"/>
      <c r="F169" s="5" t="s">
        <v>1279</v>
      </c>
      <c r="G169" s="5" t="s">
        <v>1291</v>
      </c>
    </row>
    <row r="170" spans="1:7">
      <c r="A170" s="11" t="s">
        <v>1488</v>
      </c>
      <c r="B170" s="5" t="s">
        <v>1277</v>
      </c>
      <c r="C170" s="7" t="s">
        <v>1338</v>
      </c>
      <c r="D170" s="11" t="s">
        <v>1029</v>
      </c>
      <c r="E170" s="5"/>
      <c r="F170" s="5" t="s">
        <v>1288</v>
      </c>
      <c r="G170" s="5" t="s">
        <v>1298</v>
      </c>
    </row>
    <row r="171" spans="1:7">
      <c r="A171" s="11" t="s">
        <v>1489</v>
      </c>
      <c r="B171" s="5" t="s">
        <v>1277</v>
      </c>
      <c r="C171" s="7" t="s">
        <v>1340</v>
      </c>
      <c r="D171" s="11" t="s">
        <v>1033</v>
      </c>
      <c r="E171" s="5"/>
      <c r="F171" s="5" t="s">
        <v>1283</v>
      </c>
      <c r="G171" s="5" t="s">
        <v>1298</v>
      </c>
    </row>
    <row r="172" spans="1:7">
      <c r="A172" s="11" t="s">
        <v>1490</v>
      </c>
      <c r="B172" s="5" t="s">
        <v>1295</v>
      </c>
      <c r="C172" s="7" t="s">
        <v>1342</v>
      </c>
      <c r="D172" s="11"/>
      <c r="E172" s="5" t="s">
        <v>1313</v>
      </c>
      <c r="F172" s="5" t="s">
        <v>1288</v>
      </c>
      <c r="G172" s="5" t="s">
        <v>1298</v>
      </c>
    </row>
    <row r="173" spans="1:7">
      <c r="A173" s="11" t="s">
        <v>1491</v>
      </c>
      <c r="B173" s="5" t="s">
        <v>1277</v>
      </c>
      <c r="C173" s="7" t="s">
        <v>1278</v>
      </c>
      <c r="D173" s="11" t="s">
        <v>1039</v>
      </c>
      <c r="E173" s="5"/>
      <c r="F173" s="5" t="s">
        <v>1288</v>
      </c>
      <c r="G173" s="5" t="s">
        <v>1298</v>
      </c>
    </row>
    <row r="174" spans="1:7">
      <c r="A174" s="11" t="s">
        <v>1492</v>
      </c>
      <c r="B174" s="5" t="s">
        <v>1277</v>
      </c>
      <c r="C174" s="7" t="s">
        <v>1282</v>
      </c>
      <c r="D174" s="11" t="s">
        <v>1042</v>
      </c>
      <c r="E174" s="5"/>
      <c r="F174" s="5" t="s">
        <v>1283</v>
      </c>
      <c r="G174" s="5" t="s">
        <v>1280</v>
      </c>
    </row>
    <row r="175" spans="1:7">
      <c r="A175" s="11" t="s">
        <v>1493</v>
      </c>
      <c r="B175" s="5" t="s">
        <v>1277</v>
      </c>
      <c r="C175" s="7" t="s">
        <v>1285</v>
      </c>
      <c r="D175" s="11" t="s">
        <v>1045</v>
      </c>
      <c r="E175" s="5"/>
      <c r="F175" s="5" t="s">
        <v>1288</v>
      </c>
      <c r="G175" s="5" t="s">
        <v>1280</v>
      </c>
    </row>
    <row r="176" spans="1:7">
      <c r="A176" s="11" t="s">
        <v>1494</v>
      </c>
      <c r="B176" s="5" t="s">
        <v>1277</v>
      </c>
      <c r="C176" s="7" t="s">
        <v>1287</v>
      </c>
      <c r="D176" s="11" t="s">
        <v>1048</v>
      </c>
      <c r="E176" s="5"/>
      <c r="F176" s="5" t="s">
        <v>1283</v>
      </c>
      <c r="G176" s="5" t="s">
        <v>1280</v>
      </c>
    </row>
    <row r="177" spans="1:7">
      <c r="A177" s="11" t="s">
        <v>1495</v>
      </c>
      <c r="B177" s="5" t="s">
        <v>1277</v>
      </c>
      <c r="C177" s="7" t="s">
        <v>1290</v>
      </c>
      <c r="D177" s="11" t="s">
        <v>1051</v>
      </c>
      <c r="E177" s="5"/>
      <c r="F177" s="5" t="s">
        <v>1279</v>
      </c>
      <c r="G177" s="5" t="s">
        <v>1280</v>
      </c>
    </row>
    <row r="178" spans="1:7">
      <c r="A178" s="11" t="s">
        <v>1496</v>
      </c>
      <c r="B178" s="5" t="s">
        <v>1277</v>
      </c>
      <c r="C178" s="7" t="s">
        <v>1293</v>
      </c>
      <c r="D178" s="11" t="s">
        <v>1054</v>
      </c>
      <c r="E178" s="5"/>
      <c r="F178" s="5" t="s">
        <v>1279</v>
      </c>
      <c r="G178" s="5" t="s">
        <v>1291</v>
      </c>
    </row>
    <row r="179" spans="1:7">
      <c r="A179" s="11" t="s">
        <v>1497</v>
      </c>
      <c r="B179" s="5" t="s">
        <v>1295</v>
      </c>
      <c r="C179" s="7" t="s">
        <v>1296</v>
      </c>
      <c r="D179" s="11"/>
      <c r="E179" s="5" t="s">
        <v>1328</v>
      </c>
      <c r="F179" s="5" t="s">
        <v>1288</v>
      </c>
      <c r="G179" s="5" t="s">
        <v>1291</v>
      </c>
    </row>
    <row r="180" spans="1:7">
      <c r="A180" s="11" t="s">
        <v>1498</v>
      </c>
      <c r="B180" s="5" t="s">
        <v>1277</v>
      </c>
      <c r="C180" s="7" t="s">
        <v>1300</v>
      </c>
      <c r="D180" s="11" t="s">
        <v>1060</v>
      </c>
      <c r="E180" s="5"/>
      <c r="F180" s="5" t="s">
        <v>1279</v>
      </c>
      <c r="G180" s="5" t="s">
        <v>1291</v>
      </c>
    </row>
    <row r="181" spans="1:7">
      <c r="A181" s="11" t="s">
        <v>1499</v>
      </c>
      <c r="B181" s="5" t="s">
        <v>1277</v>
      </c>
      <c r="C181" s="7" t="s">
        <v>1302</v>
      </c>
      <c r="D181" s="11" t="s">
        <v>1063</v>
      </c>
      <c r="E181" s="5"/>
      <c r="F181" s="5" t="s">
        <v>1288</v>
      </c>
      <c r="G181" s="5" t="s">
        <v>1280</v>
      </c>
    </row>
    <row r="182" spans="1:7">
      <c r="A182" s="11" t="s">
        <v>1500</v>
      </c>
      <c r="B182" s="5" t="s">
        <v>1277</v>
      </c>
      <c r="C182" s="7" t="s">
        <v>1304</v>
      </c>
      <c r="D182" s="11" t="s">
        <v>1066</v>
      </c>
      <c r="E182" s="5"/>
      <c r="F182" s="5" t="s">
        <v>1283</v>
      </c>
      <c r="G182" s="5" t="s">
        <v>1280</v>
      </c>
    </row>
    <row r="183" spans="1:7">
      <c r="A183" s="11" t="s">
        <v>1501</v>
      </c>
      <c r="B183" s="5" t="s">
        <v>1295</v>
      </c>
      <c r="C183" s="7" t="s">
        <v>1306</v>
      </c>
      <c r="D183" s="11"/>
      <c r="E183" s="5" t="s">
        <v>1343</v>
      </c>
      <c r="F183" s="5" t="s">
        <v>1288</v>
      </c>
      <c r="G183" s="5" t="s">
        <v>1280</v>
      </c>
    </row>
    <row r="184" spans="1:7">
      <c r="A184" s="11" t="s">
        <v>1502</v>
      </c>
      <c r="B184" s="5" t="s">
        <v>1295</v>
      </c>
      <c r="C184" s="7" t="s">
        <v>1308</v>
      </c>
      <c r="D184" s="11"/>
      <c r="E184" s="5" t="s">
        <v>1351</v>
      </c>
      <c r="F184" s="5" t="s">
        <v>1288</v>
      </c>
      <c r="G184" s="5" t="s">
        <v>1291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740D-38F9-7246-BC0A-A43C35E3CEE6}">
  <sheetPr codeName="Sheet9">
    <tabColor rgb="FF92D050"/>
  </sheetPr>
  <dimension ref="A1:K220"/>
  <sheetViews>
    <sheetView topLeftCell="F24" workbookViewId="0">
      <selection activeCell="G21" sqref="G21"/>
    </sheetView>
  </sheetViews>
  <sheetFormatPr defaultColWidth="11.5546875" defaultRowHeight="15.95"/>
  <cols>
    <col min="1" max="1" width="28.33203125" bestFit="1" customWidth="1"/>
    <col min="2" max="2" width="16.33203125" bestFit="1" customWidth="1"/>
    <col min="3" max="3" width="25.44140625" bestFit="1" customWidth="1"/>
    <col min="4" max="4" width="16" bestFit="1" customWidth="1"/>
    <col min="5" max="5" width="18.44140625" bestFit="1" customWidth="1"/>
    <col min="6" max="6" width="29.44140625" bestFit="1" customWidth="1"/>
    <col min="7" max="7" width="52.6640625" bestFit="1" customWidth="1"/>
    <col min="8" max="8" width="12.77734375" bestFit="1" customWidth="1"/>
    <col min="9" max="9" width="14.44140625" bestFit="1" customWidth="1"/>
    <col min="10" max="10" width="11" bestFit="1" customWidth="1"/>
    <col min="11" max="11" width="25.6640625" bestFit="1" customWidth="1"/>
  </cols>
  <sheetData>
    <row r="1" spans="1:11">
      <c r="A1" t="s">
        <v>1267</v>
      </c>
    </row>
    <row r="2" spans="1:11">
      <c r="A2" t="s">
        <v>1268</v>
      </c>
    </row>
    <row r="3" spans="1:11">
      <c r="A3" t="s">
        <v>1269</v>
      </c>
      <c r="B3">
        <v>216</v>
      </c>
    </row>
    <row r="4" spans="1:11">
      <c r="A4" s="46" t="s">
        <v>1503</v>
      </c>
      <c r="B4" s="47" t="s">
        <v>1504</v>
      </c>
      <c r="C4" s="47" t="s">
        <v>1505</v>
      </c>
      <c r="D4" s="48" t="s">
        <v>1506</v>
      </c>
      <c r="E4" s="48" t="s">
        <v>1507</v>
      </c>
      <c r="F4" s="47" t="s">
        <v>1508</v>
      </c>
      <c r="G4" s="47" t="s">
        <v>1509</v>
      </c>
      <c r="H4" s="48" t="s">
        <v>1510</v>
      </c>
      <c r="I4" s="48" t="s">
        <v>1511</v>
      </c>
      <c r="J4" s="48" t="s">
        <v>1512</v>
      </c>
      <c r="K4" s="47" t="s">
        <v>1513</v>
      </c>
    </row>
    <row r="5" spans="1:11">
      <c r="A5" s="5" t="s">
        <v>1514</v>
      </c>
      <c r="B5" s="5" t="s">
        <v>1276</v>
      </c>
      <c r="C5" s="5" t="s">
        <v>1169</v>
      </c>
      <c r="D5" s="44" t="s">
        <v>1302</v>
      </c>
      <c r="E5" s="5" t="s">
        <v>1515</v>
      </c>
      <c r="F5" s="5" t="s">
        <v>1367</v>
      </c>
      <c r="G5" s="5" t="s">
        <v>131</v>
      </c>
      <c r="H5" s="45">
        <v>101.01</v>
      </c>
      <c r="I5" s="45">
        <v>1076.43</v>
      </c>
      <c r="J5" s="45">
        <v>108731.54</v>
      </c>
      <c r="K5" s="5" t="s">
        <v>1516</v>
      </c>
    </row>
    <row r="6" spans="1:11">
      <c r="A6" s="5" t="s">
        <v>1517</v>
      </c>
      <c r="B6" s="5" t="s">
        <v>1281</v>
      </c>
      <c r="C6" s="5" t="s">
        <v>1248</v>
      </c>
      <c r="D6" s="44" t="s">
        <v>1338</v>
      </c>
      <c r="E6" s="5" t="s">
        <v>1515</v>
      </c>
      <c r="F6" s="5" t="s">
        <v>1383</v>
      </c>
      <c r="G6" s="5" t="s">
        <v>141</v>
      </c>
      <c r="H6" s="45">
        <v>106.95</v>
      </c>
      <c r="I6" s="45">
        <v>1082.43</v>
      </c>
      <c r="J6" s="45">
        <v>115763.95</v>
      </c>
      <c r="K6" s="5" t="s">
        <v>1518</v>
      </c>
    </row>
    <row r="7" spans="1:11">
      <c r="A7" s="5" t="s">
        <v>1519</v>
      </c>
      <c r="B7" s="5" t="s">
        <v>1284</v>
      </c>
      <c r="C7" s="5" t="s">
        <v>1169</v>
      </c>
      <c r="D7" s="44" t="s">
        <v>1304</v>
      </c>
      <c r="E7" s="5" t="s">
        <v>1515</v>
      </c>
      <c r="F7" s="5" t="s">
        <v>1343</v>
      </c>
      <c r="G7" s="5" t="s">
        <v>143</v>
      </c>
      <c r="H7" s="45">
        <v>92.21</v>
      </c>
      <c r="I7" s="45">
        <v>1282.1500000000001</v>
      </c>
      <c r="J7" s="45">
        <v>118222.68</v>
      </c>
      <c r="K7" s="5" t="s">
        <v>1516</v>
      </c>
    </row>
    <row r="8" spans="1:11">
      <c r="A8" s="5" t="s">
        <v>1520</v>
      </c>
      <c r="B8" s="5" t="s">
        <v>1286</v>
      </c>
      <c r="C8" s="5" t="s">
        <v>1218</v>
      </c>
      <c r="D8" s="44" t="s">
        <v>1521</v>
      </c>
      <c r="E8" s="5" t="s">
        <v>1515</v>
      </c>
      <c r="F8" s="5" t="s">
        <v>1375</v>
      </c>
      <c r="G8" s="5" t="s">
        <v>136</v>
      </c>
      <c r="H8" s="45">
        <v>95.46</v>
      </c>
      <c r="I8" s="45">
        <v>1237.57</v>
      </c>
      <c r="J8" s="45">
        <v>118134.89</v>
      </c>
      <c r="K8" s="5" t="s">
        <v>1522</v>
      </c>
    </row>
    <row r="9" spans="1:11">
      <c r="A9" s="5" t="s">
        <v>1523</v>
      </c>
      <c r="B9" s="5" t="s">
        <v>1289</v>
      </c>
      <c r="C9" s="5" t="s">
        <v>1184</v>
      </c>
      <c r="D9" s="44" t="s">
        <v>1315</v>
      </c>
      <c r="E9" s="5" t="s">
        <v>1524</v>
      </c>
      <c r="F9" s="5" t="s">
        <v>1351</v>
      </c>
      <c r="G9" s="5" t="s">
        <v>124</v>
      </c>
      <c r="H9" s="45">
        <v>79.900000000000006</v>
      </c>
      <c r="I9" s="45">
        <v>1130.54</v>
      </c>
      <c r="J9" s="45">
        <v>90333.06</v>
      </c>
      <c r="K9" s="5" t="s">
        <v>1516</v>
      </c>
    </row>
    <row r="10" spans="1:11">
      <c r="A10" s="5" t="s">
        <v>1525</v>
      </c>
      <c r="B10" s="5" t="s">
        <v>1292</v>
      </c>
      <c r="C10" s="5" t="s">
        <v>1256</v>
      </c>
      <c r="D10" s="44" t="s">
        <v>1342</v>
      </c>
      <c r="E10" s="5" t="s">
        <v>1524</v>
      </c>
      <c r="F10" s="5" t="s">
        <v>1383</v>
      </c>
      <c r="G10" s="5" t="s">
        <v>138</v>
      </c>
      <c r="H10" s="45">
        <v>107.28</v>
      </c>
      <c r="I10" s="45">
        <v>1848.85</v>
      </c>
      <c r="J10" s="45">
        <v>198347.1</v>
      </c>
      <c r="K10" s="5" t="s">
        <v>1526</v>
      </c>
    </row>
    <row r="11" spans="1:11">
      <c r="A11" s="5" t="s">
        <v>1527</v>
      </c>
      <c r="B11" s="5" t="s">
        <v>1294</v>
      </c>
      <c r="C11" s="5" t="s">
        <v>1184</v>
      </c>
      <c r="D11" s="44" t="s">
        <v>1319</v>
      </c>
      <c r="E11" s="5" t="s">
        <v>1266</v>
      </c>
      <c r="F11" s="5" t="s">
        <v>1297</v>
      </c>
      <c r="G11" s="5" t="s">
        <v>135</v>
      </c>
      <c r="H11" s="45">
        <v>90.14</v>
      </c>
      <c r="I11" s="45">
        <v>1146.69</v>
      </c>
      <c r="J11" s="45">
        <v>103361.82</v>
      </c>
      <c r="K11" s="5" t="s">
        <v>1516</v>
      </c>
    </row>
    <row r="12" spans="1:11">
      <c r="A12" s="5" t="s">
        <v>1528</v>
      </c>
      <c r="B12" s="5" t="s">
        <v>1299</v>
      </c>
      <c r="C12" s="5" t="s">
        <v>1218</v>
      </c>
      <c r="D12" s="44" t="s">
        <v>1529</v>
      </c>
      <c r="E12" s="5" t="s">
        <v>1515</v>
      </c>
      <c r="F12" s="5" t="s">
        <v>1391</v>
      </c>
      <c r="G12" s="5" t="s">
        <v>105</v>
      </c>
      <c r="H12" s="45">
        <v>97.7</v>
      </c>
      <c r="I12" s="45">
        <v>999.77</v>
      </c>
      <c r="J12" s="45">
        <v>97674.11</v>
      </c>
      <c r="K12" s="5" t="s">
        <v>1522</v>
      </c>
    </row>
    <row r="13" spans="1:11">
      <c r="A13" s="5" t="s">
        <v>1530</v>
      </c>
      <c r="B13" s="5" t="s">
        <v>1301</v>
      </c>
      <c r="C13" s="5" t="s">
        <v>1195</v>
      </c>
      <c r="D13" s="44" t="s">
        <v>1321</v>
      </c>
      <c r="E13" s="5" t="s">
        <v>1515</v>
      </c>
      <c r="F13" s="5" t="s">
        <v>1343</v>
      </c>
      <c r="G13" s="5" t="s">
        <v>129</v>
      </c>
      <c r="H13" s="45">
        <v>88.24</v>
      </c>
      <c r="I13" s="45">
        <v>2119.56</v>
      </c>
      <c r="J13" s="45">
        <v>187029.67</v>
      </c>
      <c r="K13" s="5" t="s">
        <v>1531</v>
      </c>
    </row>
    <row r="14" spans="1:11">
      <c r="A14" s="5" t="s">
        <v>1532</v>
      </c>
      <c r="B14" s="5" t="s">
        <v>1303</v>
      </c>
      <c r="C14" s="5" t="s">
        <v>1206</v>
      </c>
      <c r="D14" s="44" t="s">
        <v>1521</v>
      </c>
      <c r="E14" s="5" t="s">
        <v>1515</v>
      </c>
      <c r="F14" s="5" t="s">
        <v>1297</v>
      </c>
      <c r="G14" s="5" t="s">
        <v>131</v>
      </c>
      <c r="H14" s="45">
        <v>87.14</v>
      </c>
      <c r="I14" s="45">
        <v>1018.86</v>
      </c>
      <c r="J14" s="45">
        <v>88787.15</v>
      </c>
      <c r="K14" s="5" t="s">
        <v>1533</v>
      </c>
    </row>
    <row r="15" spans="1:11">
      <c r="A15" s="5" t="s">
        <v>1534</v>
      </c>
      <c r="B15" s="5" t="s">
        <v>1305</v>
      </c>
      <c r="C15" s="5" t="s">
        <v>1206</v>
      </c>
      <c r="D15" s="44" t="s">
        <v>1535</v>
      </c>
      <c r="E15" s="5" t="s">
        <v>1524</v>
      </c>
      <c r="F15" s="5" t="s">
        <v>1297</v>
      </c>
      <c r="G15" s="5" t="s">
        <v>127</v>
      </c>
      <c r="H15" s="45">
        <v>92.41</v>
      </c>
      <c r="I15" s="45">
        <v>1240.8900000000001</v>
      </c>
      <c r="J15" s="45">
        <v>114674.38</v>
      </c>
      <c r="K15" s="5" t="s">
        <v>1536</v>
      </c>
    </row>
    <row r="16" spans="1:11">
      <c r="A16" s="5" t="s">
        <v>1537</v>
      </c>
      <c r="B16" s="5" t="s">
        <v>1307</v>
      </c>
      <c r="C16" s="5" t="s">
        <v>1184</v>
      </c>
      <c r="D16" s="44" t="s">
        <v>1327</v>
      </c>
      <c r="E16" s="5" t="s">
        <v>1524</v>
      </c>
      <c r="F16" s="5" t="s">
        <v>1359</v>
      </c>
      <c r="G16" s="5" t="s">
        <v>107</v>
      </c>
      <c r="H16" s="45">
        <v>95.89</v>
      </c>
      <c r="I16" s="45">
        <v>1296.8499999999999</v>
      </c>
      <c r="J16" s="45">
        <v>124349.92</v>
      </c>
      <c r="K16" s="5" t="s">
        <v>1516</v>
      </c>
    </row>
    <row r="17" spans="1:11">
      <c r="A17" s="5" t="s">
        <v>1538</v>
      </c>
      <c r="B17" s="5" t="s">
        <v>1309</v>
      </c>
      <c r="C17" s="5" t="s">
        <v>1218</v>
      </c>
      <c r="D17" s="44" t="s">
        <v>1539</v>
      </c>
      <c r="E17" s="5" t="s">
        <v>1524</v>
      </c>
      <c r="F17" s="5" t="s">
        <v>1399</v>
      </c>
      <c r="G17" s="5" t="s">
        <v>140</v>
      </c>
      <c r="H17" s="45">
        <v>96.47</v>
      </c>
      <c r="I17" s="45">
        <v>1180.56</v>
      </c>
      <c r="J17" s="45">
        <v>113889.79</v>
      </c>
      <c r="K17" s="5" t="s">
        <v>1522</v>
      </c>
    </row>
    <row r="18" spans="1:11">
      <c r="A18" s="5" t="s">
        <v>1540</v>
      </c>
      <c r="B18" s="5" t="s">
        <v>1311</v>
      </c>
      <c r="C18" s="5" t="s">
        <v>1169</v>
      </c>
      <c r="D18" s="44" t="s">
        <v>1323</v>
      </c>
      <c r="E18" s="5" t="s">
        <v>1266</v>
      </c>
      <c r="F18" s="5" t="s">
        <v>1313</v>
      </c>
      <c r="G18" s="5" t="s">
        <v>126</v>
      </c>
      <c r="H18" s="45">
        <v>93.96</v>
      </c>
      <c r="I18" s="45">
        <v>1068.8900000000001</v>
      </c>
      <c r="J18" s="45">
        <v>100436.36</v>
      </c>
      <c r="K18" s="5" t="s">
        <v>1516</v>
      </c>
    </row>
    <row r="19" spans="1:11">
      <c r="A19" s="5" t="s">
        <v>1541</v>
      </c>
      <c r="B19" s="5" t="s">
        <v>1314</v>
      </c>
      <c r="C19" s="5" t="s">
        <v>1169</v>
      </c>
      <c r="D19" s="44" t="s">
        <v>1330</v>
      </c>
      <c r="E19" s="5" t="s">
        <v>1266</v>
      </c>
      <c r="F19" s="5" t="s">
        <v>1367</v>
      </c>
      <c r="G19" s="5" t="s">
        <v>143</v>
      </c>
      <c r="H19" s="45">
        <v>88.06</v>
      </c>
      <c r="I19" s="45">
        <v>1122.43</v>
      </c>
      <c r="J19" s="45">
        <v>98837.64</v>
      </c>
      <c r="K19" s="5" t="s">
        <v>1516</v>
      </c>
    </row>
    <row r="20" spans="1:11">
      <c r="A20" s="5" t="s">
        <v>1542</v>
      </c>
      <c r="B20" s="5" t="s">
        <v>1316</v>
      </c>
      <c r="C20" s="5" t="s">
        <v>1184</v>
      </c>
      <c r="D20" s="44" t="s">
        <v>1327</v>
      </c>
      <c r="E20" s="5" t="s">
        <v>1515</v>
      </c>
      <c r="F20" s="5" t="s">
        <v>1351</v>
      </c>
      <c r="G20" s="5" t="s">
        <v>135</v>
      </c>
      <c r="H20" s="45">
        <v>100</v>
      </c>
      <c r="I20" s="45">
        <v>1052.53</v>
      </c>
      <c r="J20" s="45">
        <v>105252.12</v>
      </c>
      <c r="K20" s="5" t="s">
        <v>1516</v>
      </c>
    </row>
    <row r="21" spans="1:11">
      <c r="A21" s="5" t="s">
        <v>1543</v>
      </c>
      <c r="B21" s="5" t="s">
        <v>1318</v>
      </c>
      <c r="C21" s="5" t="s">
        <v>1218</v>
      </c>
      <c r="D21" s="44" t="s">
        <v>1544</v>
      </c>
      <c r="E21" s="5" t="s">
        <v>1515</v>
      </c>
      <c r="F21" s="5" t="s">
        <v>1399</v>
      </c>
      <c r="G21" s="5" t="s">
        <v>135</v>
      </c>
      <c r="H21" s="45">
        <v>106.36</v>
      </c>
      <c r="I21" s="45">
        <v>1198.74</v>
      </c>
      <c r="J21" s="45">
        <v>127497.29</v>
      </c>
      <c r="K21" s="5" t="s">
        <v>1522</v>
      </c>
    </row>
    <row r="22" spans="1:11">
      <c r="A22" s="5" t="s">
        <v>1545</v>
      </c>
      <c r="B22" s="5" t="s">
        <v>1320</v>
      </c>
      <c r="C22" s="5" t="s">
        <v>1184</v>
      </c>
      <c r="D22" s="44" t="s">
        <v>1332</v>
      </c>
      <c r="E22" s="5" t="s">
        <v>1524</v>
      </c>
      <c r="F22" s="5" t="s">
        <v>1359</v>
      </c>
      <c r="G22" s="5" t="s">
        <v>130</v>
      </c>
      <c r="H22" s="45">
        <v>85.87</v>
      </c>
      <c r="I22" s="45">
        <v>909.99</v>
      </c>
      <c r="J22" s="45">
        <v>78141.05</v>
      </c>
      <c r="K22" s="5" t="s">
        <v>1516</v>
      </c>
    </row>
    <row r="23" spans="1:11">
      <c r="A23" s="5" t="s">
        <v>1546</v>
      </c>
      <c r="B23" s="5" t="s">
        <v>1322</v>
      </c>
      <c r="C23" s="5" t="s">
        <v>1169</v>
      </c>
      <c r="D23" s="44" t="s">
        <v>1340</v>
      </c>
      <c r="E23" s="5" t="s">
        <v>1524</v>
      </c>
      <c r="F23" s="5" t="s">
        <v>1351</v>
      </c>
      <c r="G23" s="5" t="s">
        <v>109</v>
      </c>
      <c r="H23" s="45">
        <v>86.09</v>
      </c>
      <c r="I23" s="45">
        <v>1052.2</v>
      </c>
      <c r="J23" s="45">
        <v>90580.98</v>
      </c>
      <c r="K23" s="5" t="s">
        <v>1516</v>
      </c>
    </row>
    <row r="24" spans="1:11">
      <c r="A24" s="5" t="s">
        <v>1547</v>
      </c>
      <c r="B24" s="5" t="s">
        <v>1324</v>
      </c>
      <c r="C24" s="5" t="s">
        <v>1248</v>
      </c>
      <c r="D24" s="44" t="s">
        <v>1548</v>
      </c>
      <c r="E24" s="5" t="s">
        <v>1524</v>
      </c>
      <c r="F24" s="5" t="s">
        <v>1375</v>
      </c>
      <c r="G24" s="5" t="s">
        <v>120</v>
      </c>
      <c r="H24" s="45">
        <v>111.33</v>
      </c>
      <c r="I24" s="45">
        <v>1159.3800000000001</v>
      </c>
      <c r="J24" s="45">
        <v>129075.11</v>
      </c>
      <c r="K24" s="5" t="s">
        <v>1549</v>
      </c>
    </row>
    <row r="25" spans="1:11">
      <c r="A25" s="5" t="s">
        <v>1550</v>
      </c>
      <c r="B25" s="5" t="s">
        <v>1326</v>
      </c>
      <c r="C25" s="5" t="s">
        <v>1169</v>
      </c>
      <c r="D25" s="44" t="s">
        <v>1340</v>
      </c>
      <c r="E25" s="5" t="s">
        <v>1266</v>
      </c>
      <c r="F25" s="5" t="s">
        <v>1328</v>
      </c>
      <c r="G25" s="5" t="s">
        <v>131</v>
      </c>
      <c r="H25" s="45">
        <v>97.4</v>
      </c>
      <c r="I25" s="45">
        <v>1196.5</v>
      </c>
      <c r="J25" s="45">
        <v>116543.36</v>
      </c>
      <c r="K25" s="5" t="s">
        <v>1516</v>
      </c>
    </row>
    <row r="26" spans="1:11">
      <c r="A26" s="5" t="s">
        <v>1551</v>
      </c>
      <c r="B26" s="5" t="s">
        <v>1329</v>
      </c>
      <c r="C26" s="5" t="s">
        <v>1206</v>
      </c>
      <c r="D26" s="44" t="s">
        <v>1552</v>
      </c>
      <c r="E26" s="5" t="s">
        <v>1266</v>
      </c>
      <c r="F26" s="5" t="s">
        <v>1297</v>
      </c>
      <c r="G26" s="5" t="s">
        <v>139</v>
      </c>
      <c r="H26" s="45">
        <v>104.14</v>
      </c>
      <c r="I26" s="45">
        <v>2286.35</v>
      </c>
      <c r="J26" s="45">
        <v>238101.77</v>
      </c>
      <c r="K26" s="5" t="s">
        <v>1553</v>
      </c>
    </row>
    <row r="27" spans="1:11">
      <c r="A27" s="5" t="s">
        <v>1554</v>
      </c>
      <c r="B27" s="5" t="s">
        <v>1331</v>
      </c>
      <c r="C27" s="5" t="s">
        <v>1169</v>
      </c>
      <c r="D27" s="44" t="s">
        <v>1555</v>
      </c>
      <c r="E27" s="5" t="s">
        <v>1266</v>
      </c>
      <c r="F27" s="5" t="s">
        <v>1343</v>
      </c>
      <c r="G27" s="5" t="s">
        <v>141</v>
      </c>
      <c r="H27" s="45">
        <v>100.8</v>
      </c>
      <c r="I27" s="45">
        <v>1155.97</v>
      </c>
      <c r="J27" s="45">
        <v>116520.65</v>
      </c>
      <c r="K27" s="5" t="s">
        <v>1516</v>
      </c>
    </row>
    <row r="28" spans="1:11">
      <c r="A28" s="5" t="s">
        <v>1556</v>
      </c>
      <c r="B28" s="5" t="s">
        <v>1333</v>
      </c>
      <c r="C28" s="5" t="s">
        <v>1184</v>
      </c>
      <c r="D28" s="44" t="s">
        <v>1557</v>
      </c>
      <c r="E28" s="5" t="s">
        <v>1524</v>
      </c>
      <c r="F28" s="5" t="s">
        <v>1351</v>
      </c>
      <c r="G28" s="5" t="s">
        <v>96</v>
      </c>
      <c r="H28" s="45">
        <v>103.08</v>
      </c>
      <c r="I28" s="45">
        <v>925.3</v>
      </c>
      <c r="J28" s="45">
        <v>95382.47</v>
      </c>
      <c r="K28" s="5" t="s">
        <v>1516</v>
      </c>
    </row>
    <row r="29" spans="1:11">
      <c r="A29" s="5" t="s">
        <v>1558</v>
      </c>
      <c r="B29" s="5" t="s">
        <v>1335</v>
      </c>
      <c r="C29" s="5" t="s">
        <v>1184</v>
      </c>
      <c r="D29" s="44" t="s">
        <v>1559</v>
      </c>
      <c r="E29" s="5" t="s">
        <v>1524</v>
      </c>
      <c r="F29" s="5" t="s">
        <v>1367</v>
      </c>
      <c r="G29" s="5" t="s">
        <v>134</v>
      </c>
      <c r="H29" s="45">
        <v>94.56</v>
      </c>
      <c r="I29" s="45">
        <v>951.18</v>
      </c>
      <c r="J29" s="45">
        <v>89946.73</v>
      </c>
      <c r="K29" s="5" t="s">
        <v>1516</v>
      </c>
    </row>
    <row r="30" spans="1:11">
      <c r="A30" s="5" t="s">
        <v>1560</v>
      </c>
      <c r="B30" s="5" t="s">
        <v>1337</v>
      </c>
      <c r="C30" s="5" t="s">
        <v>1248</v>
      </c>
      <c r="D30" s="44" t="s">
        <v>1561</v>
      </c>
      <c r="E30" s="5" t="s">
        <v>1524</v>
      </c>
      <c r="F30" s="5" t="s">
        <v>1383</v>
      </c>
      <c r="G30" s="5" t="s">
        <v>134</v>
      </c>
      <c r="H30" s="45">
        <v>86.86</v>
      </c>
      <c r="I30" s="45">
        <v>941.57</v>
      </c>
      <c r="J30" s="45">
        <v>81784.17</v>
      </c>
      <c r="K30" s="5" t="s">
        <v>1518</v>
      </c>
    </row>
    <row r="31" spans="1:11">
      <c r="A31" s="5" t="s">
        <v>1562</v>
      </c>
      <c r="B31" s="5" t="s">
        <v>1339</v>
      </c>
      <c r="C31" s="5" t="s">
        <v>1206</v>
      </c>
      <c r="D31" s="44" t="s">
        <v>1563</v>
      </c>
      <c r="E31" s="5" t="s">
        <v>1266</v>
      </c>
      <c r="F31" s="5" t="s">
        <v>1297</v>
      </c>
      <c r="G31" s="5" t="s">
        <v>122</v>
      </c>
      <c r="H31" s="45">
        <v>90.25</v>
      </c>
      <c r="I31" s="45">
        <v>1218.67</v>
      </c>
      <c r="J31" s="45">
        <v>109987.84</v>
      </c>
      <c r="K31" s="5" t="s">
        <v>1533</v>
      </c>
    </row>
    <row r="32" spans="1:11">
      <c r="A32" s="5" t="s">
        <v>1564</v>
      </c>
      <c r="B32" s="5" t="s">
        <v>1341</v>
      </c>
      <c r="C32" s="5" t="s">
        <v>1169</v>
      </c>
      <c r="D32" s="44" t="s">
        <v>1539</v>
      </c>
      <c r="E32" s="5" t="s">
        <v>1266</v>
      </c>
      <c r="F32" s="5" t="s">
        <v>1343</v>
      </c>
      <c r="G32" s="5" t="s">
        <v>147</v>
      </c>
      <c r="H32" s="45">
        <v>88.14</v>
      </c>
      <c r="I32" s="45">
        <v>1328.58</v>
      </c>
      <c r="J32" s="45">
        <v>117094.45</v>
      </c>
      <c r="K32" s="5" t="s">
        <v>1565</v>
      </c>
    </row>
    <row r="33" spans="1:11">
      <c r="A33" s="5" t="s">
        <v>1566</v>
      </c>
      <c r="B33" s="5" t="s">
        <v>1344</v>
      </c>
      <c r="C33" s="5" t="s">
        <v>1195</v>
      </c>
      <c r="D33" s="44" t="s">
        <v>1302</v>
      </c>
      <c r="E33" s="5" t="s">
        <v>1524</v>
      </c>
      <c r="F33" s="5" t="s">
        <v>1351</v>
      </c>
      <c r="G33" s="5" t="s">
        <v>117</v>
      </c>
      <c r="H33" s="45">
        <v>105.93</v>
      </c>
      <c r="I33" s="45">
        <v>2371.5</v>
      </c>
      <c r="J33" s="45">
        <v>251223.8</v>
      </c>
      <c r="K33" s="5" t="s">
        <v>1531</v>
      </c>
    </row>
    <row r="34" spans="1:11">
      <c r="A34" s="5" t="s">
        <v>1567</v>
      </c>
      <c r="B34" s="5" t="s">
        <v>1345</v>
      </c>
      <c r="C34" s="5" t="s">
        <v>1184</v>
      </c>
      <c r="D34" s="44" t="s">
        <v>1296</v>
      </c>
      <c r="E34" s="5" t="s">
        <v>1266</v>
      </c>
      <c r="F34" s="5" t="s">
        <v>1367</v>
      </c>
      <c r="G34" s="5" t="s">
        <v>134</v>
      </c>
      <c r="H34" s="45">
        <v>103.26</v>
      </c>
      <c r="I34" s="45">
        <v>1260.43</v>
      </c>
      <c r="J34" s="45">
        <v>130146.39</v>
      </c>
      <c r="K34" s="5" t="s">
        <v>1516</v>
      </c>
    </row>
    <row r="35" spans="1:11">
      <c r="A35" s="5" t="s">
        <v>1568</v>
      </c>
      <c r="B35" s="5" t="s">
        <v>1346</v>
      </c>
      <c r="C35" s="5" t="s">
        <v>1248</v>
      </c>
      <c r="D35" s="44" t="s">
        <v>1336</v>
      </c>
      <c r="E35" s="5" t="s">
        <v>1515</v>
      </c>
      <c r="F35" s="5" t="s">
        <v>1383</v>
      </c>
      <c r="G35" s="5" t="s">
        <v>109</v>
      </c>
      <c r="H35" s="45">
        <v>103.51</v>
      </c>
      <c r="I35" s="45">
        <v>1072.93</v>
      </c>
      <c r="J35" s="45">
        <v>111060.92</v>
      </c>
      <c r="K35" s="5" t="s">
        <v>1518</v>
      </c>
    </row>
    <row r="36" spans="1:11">
      <c r="A36" s="5" t="s">
        <v>1569</v>
      </c>
      <c r="B36" s="5" t="s">
        <v>1347</v>
      </c>
      <c r="C36" s="5" t="s">
        <v>1227</v>
      </c>
      <c r="D36" s="44" t="s">
        <v>1338</v>
      </c>
      <c r="E36" s="5" t="s">
        <v>1515</v>
      </c>
      <c r="F36" s="5" t="s">
        <v>1375</v>
      </c>
      <c r="G36" s="5" t="s">
        <v>96</v>
      </c>
      <c r="H36" s="45">
        <v>99.25</v>
      </c>
      <c r="I36" s="45">
        <v>1290.54</v>
      </c>
      <c r="J36" s="45">
        <v>128089.4</v>
      </c>
      <c r="K36" s="5" t="s">
        <v>1522</v>
      </c>
    </row>
    <row r="37" spans="1:11">
      <c r="A37" s="5" t="s">
        <v>1570</v>
      </c>
      <c r="B37" s="5" t="s">
        <v>1348</v>
      </c>
      <c r="C37" s="5" t="s">
        <v>1184</v>
      </c>
      <c r="D37" s="44" t="s">
        <v>1310</v>
      </c>
      <c r="E37" s="5" t="s">
        <v>1515</v>
      </c>
      <c r="F37" s="5" t="s">
        <v>1343</v>
      </c>
      <c r="G37" s="5" t="s">
        <v>132</v>
      </c>
      <c r="H37" s="45">
        <v>109.58</v>
      </c>
      <c r="I37" s="45">
        <v>1268.95</v>
      </c>
      <c r="J37" s="45">
        <v>139057.48000000001</v>
      </c>
      <c r="K37" s="5" t="s">
        <v>1516</v>
      </c>
    </row>
    <row r="38" spans="1:11">
      <c r="A38" s="5" t="s">
        <v>1571</v>
      </c>
      <c r="B38" s="5" t="s">
        <v>1349</v>
      </c>
      <c r="C38" s="5" t="s">
        <v>1248</v>
      </c>
      <c r="D38" s="44" t="s">
        <v>1529</v>
      </c>
      <c r="E38" s="5" t="s">
        <v>1515</v>
      </c>
      <c r="F38" s="5" t="s">
        <v>1383</v>
      </c>
      <c r="G38" s="5" t="s">
        <v>125</v>
      </c>
      <c r="H38" s="45">
        <v>104.3</v>
      </c>
      <c r="I38" s="45">
        <v>1221.48</v>
      </c>
      <c r="J38" s="45">
        <v>127405.15</v>
      </c>
      <c r="K38" s="5" t="s">
        <v>1518</v>
      </c>
    </row>
    <row r="39" spans="1:11">
      <c r="A39" s="5" t="s">
        <v>1572</v>
      </c>
      <c r="B39" s="5" t="s">
        <v>1350</v>
      </c>
      <c r="C39" s="5" t="s">
        <v>1169</v>
      </c>
      <c r="D39" s="44" t="s">
        <v>1315</v>
      </c>
      <c r="E39" s="5" t="s">
        <v>1515</v>
      </c>
      <c r="F39" s="5" t="s">
        <v>1351</v>
      </c>
      <c r="G39" s="5" t="s">
        <v>121</v>
      </c>
      <c r="H39" s="45">
        <v>103.61</v>
      </c>
      <c r="I39" s="45">
        <v>926.28</v>
      </c>
      <c r="J39" s="45">
        <v>95973.02</v>
      </c>
      <c r="K39" s="5" t="s">
        <v>1516</v>
      </c>
    </row>
    <row r="40" spans="1:11">
      <c r="A40" s="5" t="s">
        <v>1573</v>
      </c>
      <c r="B40" s="5" t="s">
        <v>1352</v>
      </c>
      <c r="C40" s="5" t="s">
        <v>1169</v>
      </c>
      <c r="D40" s="44" t="s">
        <v>1315</v>
      </c>
      <c r="E40" s="5" t="s">
        <v>1524</v>
      </c>
      <c r="F40" s="5" t="s">
        <v>1343</v>
      </c>
      <c r="G40" s="5" t="s">
        <v>109</v>
      </c>
      <c r="H40" s="45">
        <v>113.43</v>
      </c>
      <c r="I40" s="45">
        <v>976.08</v>
      </c>
      <c r="J40" s="45">
        <v>110719.63</v>
      </c>
      <c r="K40" s="5" t="s">
        <v>1516</v>
      </c>
    </row>
    <row r="41" spans="1:11">
      <c r="A41" s="5" t="s">
        <v>1574</v>
      </c>
      <c r="B41" s="5" t="s">
        <v>1353</v>
      </c>
      <c r="C41" s="5" t="s">
        <v>1195</v>
      </c>
      <c r="D41" s="44" t="s">
        <v>1325</v>
      </c>
      <c r="E41" s="5" t="s">
        <v>1524</v>
      </c>
      <c r="F41" s="5" t="s">
        <v>1359</v>
      </c>
      <c r="G41" s="5" t="s">
        <v>129</v>
      </c>
      <c r="H41" s="45">
        <v>119.29</v>
      </c>
      <c r="I41" s="45">
        <v>2383.42</v>
      </c>
      <c r="J41" s="45">
        <v>284324.47999999998</v>
      </c>
      <c r="K41" s="5" t="s">
        <v>1531</v>
      </c>
    </row>
    <row r="42" spans="1:11">
      <c r="A42" s="5" t="s">
        <v>1575</v>
      </c>
      <c r="B42" s="5" t="s">
        <v>1354</v>
      </c>
      <c r="C42" s="5" t="s">
        <v>1248</v>
      </c>
      <c r="D42" s="44" t="s">
        <v>1559</v>
      </c>
      <c r="E42" s="5" t="s">
        <v>1266</v>
      </c>
      <c r="F42" s="5" t="s">
        <v>1375</v>
      </c>
      <c r="G42" s="5" t="s">
        <v>126</v>
      </c>
      <c r="H42" s="45">
        <v>110.62</v>
      </c>
      <c r="I42" s="45">
        <v>1135.19</v>
      </c>
      <c r="J42" s="45">
        <v>125571.44</v>
      </c>
      <c r="K42" s="5" t="s">
        <v>1518</v>
      </c>
    </row>
    <row r="43" spans="1:11">
      <c r="A43" s="5" t="s">
        <v>1576</v>
      </c>
      <c r="B43" s="5" t="s">
        <v>1355</v>
      </c>
      <c r="C43" s="5" t="s">
        <v>1169</v>
      </c>
      <c r="D43" s="44" t="s">
        <v>1317</v>
      </c>
      <c r="E43" s="5" t="s">
        <v>1515</v>
      </c>
      <c r="F43" s="5" t="s">
        <v>1359</v>
      </c>
      <c r="G43" s="5" t="s">
        <v>140</v>
      </c>
      <c r="H43" s="45">
        <v>120.24</v>
      </c>
      <c r="I43" s="45">
        <v>1087.48</v>
      </c>
      <c r="J43" s="45">
        <v>130754.87</v>
      </c>
      <c r="K43" s="5" t="s">
        <v>1516</v>
      </c>
    </row>
    <row r="44" spans="1:11">
      <c r="A44" s="5" t="s">
        <v>1577</v>
      </c>
      <c r="B44" s="5" t="s">
        <v>1356</v>
      </c>
      <c r="C44" s="5" t="s">
        <v>1195</v>
      </c>
      <c r="D44" s="44" t="s">
        <v>1332</v>
      </c>
      <c r="E44" s="5" t="s">
        <v>1515</v>
      </c>
      <c r="F44" s="5" t="s">
        <v>1367</v>
      </c>
      <c r="G44" s="5" t="s">
        <v>139</v>
      </c>
      <c r="H44" s="45">
        <v>116.23</v>
      </c>
      <c r="I44" s="45">
        <v>2176.0500000000002</v>
      </c>
      <c r="J44" s="45">
        <v>252916.31</v>
      </c>
      <c r="K44" s="5" t="s">
        <v>1531</v>
      </c>
    </row>
    <row r="45" spans="1:11">
      <c r="A45" s="5" t="s">
        <v>1578</v>
      </c>
      <c r="B45" s="5" t="s">
        <v>1357</v>
      </c>
      <c r="C45" s="5" t="s">
        <v>1218</v>
      </c>
      <c r="D45" s="44" t="s">
        <v>1539</v>
      </c>
      <c r="E45" s="5" t="s">
        <v>1524</v>
      </c>
      <c r="F45" s="5" t="s">
        <v>1391</v>
      </c>
      <c r="G45" s="5" t="s">
        <v>131</v>
      </c>
      <c r="H45" s="45">
        <v>95.82</v>
      </c>
      <c r="I45" s="45">
        <v>963.13</v>
      </c>
      <c r="J45" s="45">
        <v>92286.27</v>
      </c>
      <c r="K45" s="5" t="s">
        <v>1522</v>
      </c>
    </row>
    <row r="46" spans="1:11">
      <c r="A46" s="5" t="s">
        <v>1579</v>
      </c>
      <c r="B46" s="5" t="s">
        <v>1358</v>
      </c>
      <c r="C46" s="5" t="s">
        <v>1184</v>
      </c>
      <c r="D46" s="44" t="s">
        <v>1323</v>
      </c>
      <c r="E46" s="5" t="s">
        <v>1524</v>
      </c>
      <c r="F46" s="5" t="s">
        <v>1359</v>
      </c>
      <c r="G46" s="5" t="s">
        <v>136</v>
      </c>
      <c r="H46" s="45">
        <v>106.23</v>
      </c>
      <c r="I46" s="45">
        <v>1211.8499999999999</v>
      </c>
      <c r="J46" s="45">
        <v>128738.29</v>
      </c>
      <c r="K46" s="5" t="s">
        <v>1516</v>
      </c>
    </row>
    <row r="47" spans="1:11">
      <c r="A47" s="5" t="s">
        <v>1580</v>
      </c>
      <c r="B47" s="5" t="s">
        <v>1360</v>
      </c>
      <c r="C47" s="5" t="s">
        <v>1248</v>
      </c>
      <c r="D47" s="44" t="s">
        <v>1581</v>
      </c>
      <c r="E47" s="5" t="s">
        <v>1524</v>
      </c>
      <c r="F47" s="5" t="s">
        <v>1383</v>
      </c>
      <c r="G47" s="5" t="s">
        <v>120</v>
      </c>
      <c r="H47" s="45">
        <v>98.79</v>
      </c>
      <c r="I47" s="45">
        <v>1153.1300000000001</v>
      </c>
      <c r="J47" s="45">
        <v>113913.96</v>
      </c>
      <c r="K47" s="5" t="s">
        <v>1518</v>
      </c>
    </row>
    <row r="48" spans="1:11">
      <c r="A48" s="5" t="s">
        <v>1582</v>
      </c>
      <c r="B48" s="5" t="s">
        <v>1361</v>
      </c>
      <c r="C48" s="5" t="s">
        <v>1206</v>
      </c>
      <c r="D48" s="44" t="s">
        <v>1583</v>
      </c>
      <c r="E48" s="5" t="s">
        <v>1524</v>
      </c>
      <c r="F48" s="5" t="s">
        <v>1297</v>
      </c>
      <c r="G48" s="5" t="s">
        <v>117</v>
      </c>
      <c r="H48" s="45">
        <v>90.78</v>
      </c>
      <c r="I48" s="45">
        <v>2389.16</v>
      </c>
      <c r="J48" s="45">
        <v>216876.75</v>
      </c>
      <c r="K48" s="5" t="s">
        <v>1553</v>
      </c>
    </row>
    <row r="49" spans="1:11">
      <c r="A49" s="5" t="s">
        <v>1584</v>
      </c>
      <c r="B49" s="5" t="s">
        <v>1362</v>
      </c>
      <c r="C49" s="5" t="s">
        <v>1248</v>
      </c>
      <c r="D49" s="44" t="s">
        <v>1585</v>
      </c>
      <c r="E49" s="5" t="s">
        <v>1266</v>
      </c>
      <c r="F49" s="5" t="s">
        <v>1383</v>
      </c>
      <c r="G49" s="5" t="s">
        <v>132</v>
      </c>
      <c r="H49" s="45">
        <v>100.59</v>
      </c>
      <c r="I49" s="45">
        <v>1023.98</v>
      </c>
      <c r="J49" s="45">
        <v>103003.04</v>
      </c>
      <c r="K49" s="5" t="s">
        <v>1518</v>
      </c>
    </row>
    <row r="50" spans="1:11">
      <c r="A50" s="5" t="s">
        <v>1586</v>
      </c>
      <c r="B50" s="5" t="s">
        <v>1363</v>
      </c>
      <c r="C50" s="5" t="s">
        <v>1195</v>
      </c>
      <c r="D50" s="44" t="s">
        <v>1340</v>
      </c>
      <c r="E50" s="5" t="s">
        <v>1266</v>
      </c>
      <c r="F50" s="5" t="s">
        <v>1351</v>
      </c>
      <c r="G50" s="5" t="s">
        <v>148</v>
      </c>
      <c r="H50" s="45">
        <v>103.56</v>
      </c>
      <c r="I50" s="45">
        <v>1667.35</v>
      </c>
      <c r="J50" s="45">
        <v>172664.59</v>
      </c>
      <c r="K50" s="5" t="s">
        <v>1587</v>
      </c>
    </row>
    <row r="51" spans="1:11">
      <c r="A51" s="5" t="s">
        <v>1588</v>
      </c>
      <c r="B51" s="5" t="s">
        <v>1364</v>
      </c>
      <c r="C51" s="5" t="s">
        <v>1206</v>
      </c>
      <c r="D51" s="44" t="s">
        <v>1589</v>
      </c>
      <c r="E51" s="5" t="s">
        <v>1515</v>
      </c>
      <c r="F51" s="5" t="s">
        <v>1328</v>
      </c>
      <c r="G51" s="5" t="s">
        <v>126</v>
      </c>
      <c r="H51" s="45">
        <v>98.2</v>
      </c>
      <c r="I51" s="45">
        <v>1269.56</v>
      </c>
      <c r="J51" s="45">
        <v>124672.92</v>
      </c>
      <c r="K51" s="5" t="s">
        <v>1533</v>
      </c>
    </row>
    <row r="52" spans="1:11">
      <c r="A52" s="5" t="s">
        <v>1590</v>
      </c>
      <c r="B52" s="5" t="s">
        <v>1365</v>
      </c>
      <c r="C52" s="5" t="s">
        <v>1206</v>
      </c>
      <c r="D52" s="44" t="s">
        <v>1589</v>
      </c>
      <c r="E52" s="5" t="s">
        <v>1515</v>
      </c>
      <c r="F52" s="5" t="s">
        <v>1297</v>
      </c>
      <c r="G52" s="5" t="s">
        <v>93</v>
      </c>
      <c r="H52" s="45">
        <v>101.65</v>
      </c>
      <c r="I52" s="45">
        <v>949.61</v>
      </c>
      <c r="J52" s="45">
        <v>96531.98</v>
      </c>
      <c r="K52" s="5" t="s">
        <v>1533</v>
      </c>
    </row>
    <row r="53" spans="1:11">
      <c r="A53" s="5" t="s">
        <v>1591</v>
      </c>
      <c r="B53" s="5" t="s">
        <v>1366</v>
      </c>
      <c r="C53" s="5" t="s">
        <v>1184</v>
      </c>
      <c r="D53" s="44" t="s">
        <v>1340</v>
      </c>
      <c r="E53" s="5" t="s">
        <v>1524</v>
      </c>
      <c r="F53" s="5" t="s">
        <v>1367</v>
      </c>
      <c r="G53" s="5" t="s">
        <v>136</v>
      </c>
      <c r="H53" s="45">
        <v>98.5</v>
      </c>
      <c r="I53" s="45">
        <v>1124.3800000000001</v>
      </c>
      <c r="J53" s="45">
        <v>110756.87</v>
      </c>
      <c r="K53" s="5" t="s">
        <v>1516</v>
      </c>
    </row>
    <row r="54" spans="1:11">
      <c r="A54" s="5" t="s">
        <v>1592</v>
      </c>
      <c r="B54" s="5" t="s">
        <v>1368</v>
      </c>
      <c r="C54" s="5" t="s">
        <v>1206</v>
      </c>
      <c r="D54" s="44" t="s">
        <v>1552</v>
      </c>
      <c r="E54" s="5" t="s">
        <v>1266</v>
      </c>
      <c r="F54" s="5" t="s">
        <v>1313</v>
      </c>
      <c r="G54" s="5" t="s">
        <v>137</v>
      </c>
      <c r="H54" s="45">
        <v>109.28</v>
      </c>
      <c r="I54" s="45">
        <v>1455.22</v>
      </c>
      <c r="J54" s="45">
        <v>159028.9</v>
      </c>
      <c r="K54" s="5" t="s">
        <v>1536</v>
      </c>
    </row>
    <row r="55" spans="1:11">
      <c r="A55" s="5" t="s">
        <v>1593</v>
      </c>
      <c r="B55" s="5" t="s">
        <v>1369</v>
      </c>
      <c r="C55" s="5" t="s">
        <v>1206</v>
      </c>
      <c r="D55" s="44" t="s">
        <v>1594</v>
      </c>
      <c r="E55" s="5" t="s">
        <v>1266</v>
      </c>
      <c r="F55" s="5" t="s">
        <v>1297</v>
      </c>
      <c r="G55" s="5" t="s">
        <v>139</v>
      </c>
      <c r="H55" s="45">
        <v>109.88</v>
      </c>
      <c r="I55" s="45">
        <v>2306.02</v>
      </c>
      <c r="J55" s="45">
        <v>253378.99</v>
      </c>
      <c r="K55" s="5" t="s">
        <v>1553</v>
      </c>
    </row>
    <row r="56" spans="1:11">
      <c r="A56" s="5" t="s">
        <v>1595</v>
      </c>
      <c r="B56" s="5" t="s">
        <v>1370</v>
      </c>
      <c r="C56" s="5" t="s">
        <v>1248</v>
      </c>
      <c r="D56" s="44" t="s">
        <v>1594</v>
      </c>
      <c r="E56" s="5" t="s">
        <v>1266</v>
      </c>
      <c r="F56" s="5" t="s">
        <v>1383</v>
      </c>
      <c r="G56" s="5" t="s">
        <v>130</v>
      </c>
      <c r="H56" s="45">
        <v>107.77</v>
      </c>
      <c r="I56" s="45">
        <v>996.11</v>
      </c>
      <c r="J56" s="45">
        <v>107348.23</v>
      </c>
      <c r="K56" s="5" t="s">
        <v>1549</v>
      </c>
    </row>
    <row r="57" spans="1:11">
      <c r="A57" s="5" t="s">
        <v>1596</v>
      </c>
      <c r="B57" s="5" t="s">
        <v>1371</v>
      </c>
      <c r="C57" s="5" t="s">
        <v>1169</v>
      </c>
      <c r="D57" s="44" t="s">
        <v>1597</v>
      </c>
      <c r="E57" s="5" t="s">
        <v>1266</v>
      </c>
      <c r="F57" s="5" t="s">
        <v>1343</v>
      </c>
      <c r="G57" s="5" t="s">
        <v>131</v>
      </c>
      <c r="H57" s="45">
        <v>94.87</v>
      </c>
      <c r="I57" s="45">
        <v>1177.58</v>
      </c>
      <c r="J57" s="45">
        <v>111714.67</v>
      </c>
      <c r="K57" s="5" t="s">
        <v>1516</v>
      </c>
    </row>
    <row r="58" spans="1:11">
      <c r="A58" s="5" t="s">
        <v>1598</v>
      </c>
      <c r="B58" s="5" t="s">
        <v>1372</v>
      </c>
      <c r="C58" s="5" t="s">
        <v>1184</v>
      </c>
      <c r="D58" s="44" t="s">
        <v>1535</v>
      </c>
      <c r="E58" s="5" t="s">
        <v>1515</v>
      </c>
      <c r="F58" s="5" t="s">
        <v>1359</v>
      </c>
      <c r="G58" s="5" t="s">
        <v>107</v>
      </c>
      <c r="H58" s="45">
        <v>82.26</v>
      </c>
      <c r="I58" s="45">
        <v>951.09</v>
      </c>
      <c r="J58" s="45">
        <v>78234.38</v>
      </c>
      <c r="K58" s="5" t="s">
        <v>1516</v>
      </c>
    </row>
    <row r="59" spans="1:11">
      <c r="A59" s="5" t="s">
        <v>1599</v>
      </c>
      <c r="B59" s="5" t="s">
        <v>1373</v>
      </c>
      <c r="C59" s="5" t="s">
        <v>1218</v>
      </c>
      <c r="D59" s="44" t="s">
        <v>1600</v>
      </c>
      <c r="E59" s="5" t="s">
        <v>1524</v>
      </c>
      <c r="F59" s="5" t="s">
        <v>1399</v>
      </c>
      <c r="G59" s="5" t="s">
        <v>124</v>
      </c>
      <c r="H59" s="45">
        <v>123.41</v>
      </c>
      <c r="I59" s="45">
        <v>1220.1099999999999</v>
      </c>
      <c r="J59" s="45">
        <v>150579.64000000001</v>
      </c>
      <c r="K59" s="5" t="s">
        <v>1522</v>
      </c>
    </row>
    <row r="60" spans="1:11">
      <c r="A60" s="5" t="s">
        <v>1601</v>
      </c>
      <c r="B60" s="5" t="s">
        <v>1374</v>
      </c>
      <c r="C60" s="5" t="s">
        <v>1169</v>
      </c>
      <c r="D60" s="44" t="s">
        <v>1597</v>
      </c>
      <c r="E60" s="5" t="s">
        <v>1524</v>
      </c>
      <c r="F60" s="5" t="s">
        <v>1375</v>
      </c>
      <c r="G60" s="5" t="s">
        <v>93</v>
      </c>
      <c r="H60" s="45">
        <v>116.81</v>
      </c>
      <c r="I60" s="45">
        <v>958.81</v>
      </c>
      <c r="J60" s="45">
        <v>112000.9</v>
      </c>
      <c r="K60" s="5" t="s">
        <v>1516</v>
      </c>
    </row>
    <row r="61" spans="1:11">
      <c r="A61" s="5" t="s">
        <v>1602</v>
      </c>
      <c r="B61" s="5" t="s">
        <v>1376</v>
      </c>
      <c r="C61" s="5" t="s">
        <v>1218</v>
      </c>
      <c r="D61" s="44" t="s">
        <v>1332</v>
      </c>
      <c r="E61" s="5" t="s">
        <v>1515</v>
      </c>
      <c r="F61" s="5" t="s">
        <v>1399</v>
      </c>
      <c r="G61" s="5" t="s">
        <v>124</v>
      </c>
      <c r="H61" s="45">
        <v>101.37</v>
      </c>
      <c r="I61" s="45">
        <v>1104.9100000000001</v>
      </c>
      <c r="J61" s="45">
        <v>111999.67</v>
      </c>
      <c r="K61" s="5" t="s">
        <v>1522</v>
      </c>
    </row>
    <row r="62" spans="1:11">
      <c r="A62" s="5" t="s">
        <v>1603</v>
      </c>
      <c r="B62" s="5" t="s">
        <v>1377</v>
      </c>
      <c r="C62" s="5" t="s">
        <v>1248</v>
      </c>
      <c r="D62" s="44" t="s">
        <v>1340</v>
      </c>
      <c r="E62" s="5" t="s">
        <v>1515</v>
      </c>
      <c r="F62" s="5" t="s">
        <v>1375</v>
      </c>
      <c r="G62" s="5" t="s">
        <v>107</v>
      </c>
      <c r="H62" s="45">
        <v>103.86</v>
      </c>
      <c r="I62" s="45">
        <v>1051.57</v>
      </c>
      <c r="J62" s="45">
        <v>109215.05</v>
      </c>
      <c r="K62" s="5" t="s">
        <v>1549</v>
      </c>
    </row>
    <row r="63" spans="1:11">
      <c r="A63" s="5" t="s">
        <v>1604</v>
      </c>
      <c r="B63" s="5" t="s">
        <v>1378</v>
      </c>
      <c r="C63" s="5" t="s">
        <v>1206</v>
      </c>
      <c r="D63" s="44" t="s">
        <v>1342</v>
      </c>
      <c r="E63" s="5" t="s">
        <v>1524</v>
      </c>
      <c r="F63" s="5" t="s">
        <v>1297</v>
      </c>
      <c r="G63" s="5" t="s">
        <v>134</v>
      </c>
      <c r="H63" s="45">
        <v>97</v>
      </c>
      <c r="I63" s="45">
        <v>1056.76</v>
      </c>
      <c r="J63" s="45">
        <v>102503.81</v>
      </c>
      <c r="K63" s="5" t="s">
        <v>1533</v>
      </c>
    </row>
    <row r="64" spans="1:11">
      <c r="A64" s="5" t="s">
        <v>1605</v>
      </c>
      <c r="B64" s="5" t="s">
        <v>1379</v>
      </c>
      <c r="C64" s="5" t="s">
        <v>1248</v>
      </c>
      <c r="D64" s="44" t="s">
        <v>1521</v>
      </c>
      <c r="E64" s="5" t="s">
        <v>1524</v>
      </c>
      <c r="F64" s="5" t="s">
        <v>1383</v>
      </c>
      <c r="G64" s="5" t="s">
        <v>135</v>
      </c>
      <c r="H64" s="45">
        <v>94.67</v>
      </c>
      <c r="I64" s="45">
        <v>990.94</v>
      </c>
      <c r="J64" s="45">
        <v>93810.89</v>
      </c>
      <c r="K64" s="5" t="s">
        <v>1549</v>
      </c>
    </row>
    <row r="65" spans="1:11">
      <c r="A65" s="5" t="s">
        <v>1606</v>
      </c>
      <c r="B65" s="5" t="s">
        <v>1380</v>
      </c>
      <c r="C65" s="5" t="s">
        <v>1169</v>
      </c>
      <c r="D65" s="44" t="s">
        <v>1304</v>
      </c>
      <c r="E65" s="5" t="s">
        <v>1266</v>
      </c>
      <c r="F65" s="5" t="s">
        <v>1359</v>
      </c>
      <c r="G65" s="5" t="s">
        <v>99</v>
      </c>
      <c r="H65" s="45">
        <v>94.71</v>
      </c>
      <c r="I65" s="45">
        <v>931.97</v>
      </c>
      <c r="J65" s="45">
        <v>88269.48</v>
      </c>
      <c r="K65" s="5" t="s">
        <v>1516</v>
      </c>
    </row>
    <row r="66" spans="1:11">
      <c r="A66" s="5" t="s">
        <v>1607</v>
      </c>
      <c r="B66" s="5" t="s">
        <v>1381</v>
      </c>
      <c r="C66" s="5" t="s">
        <v>1206</v>
      </c>
      <c r="D66" s="44" t="s">
        <v>1336</v>
      </c>
      <c r="E66" s="5" t="s">
        <v>1515</v>
      </c>
      <c r="F66" s="5" t="s">
        <v>1313</v>
      </c>
      <c r="G66" s="5" t="s">
        <v>137</v>
      </c>
      <c r="H66" s="45">
        <v>86.09</v>
      </c>
      <c r="I66" s="45">
        <v>1436.35</v>
      </c>
      <c r="J66" s="45">
        <v>123657.3</v>
      </c>
      <c r="K66" s="5" t="s">
        <v>1536</v>
      </c>
    </row>
    <row r="67" spans="1:11">
      <c r="A67" s="5" t="s">
        <v>1608</v>
      </c>
      <c r="B67" s="5" t="s">
        <v>1382</v>
      </c>
      <c r="C67" s="5" t="s">
        <v>1169</v>
      </c>
      <c r="D67" s="44" t="s">
        <v>1312</v>
      </c>
      <c r="E67" s="5" t="s">
        <v>1515</v>
      </c>
      <c r="F67" s="5" t="s">
        <v>1383</v>
      </c>
      <c r="G67" s="5" t="s">
        <v>141</v>
      </c>
      <c r="H67" s="45">
        <v>103.96</v>
      </c>
      <c r="I67" s="45">
        <v>979.09</v>
      </c>
      <c r="J67" s="45">
        <v>101782.01</v>
      </c>
      <c r="K67" s="5" t="s">
        <v>1516</v>
      </c>
    </row>
    <row r="68" spans="1:11">
      <c r="A68" s="5" t="s">
        <v>1609</v>
      </c>
      <c r="B68" s="5" t="s">
        <v>1384</v>
      </c>
      <c r="C68" s="5" t="s">
        <v>1169</v>
      </c>
      <c r="D68" s="44" t="s">
        <v>1312</v>
      </c>
      <c r="E68" s="5" t="s">
        <v>1515</v>
      </c>
      <c r="F68" s="5" t="s">
        <v>1359</v>
      </c>
      <c r="G68" s="5" t="s">
        <v>120</v>
      </c>
      <c r="H68" s="45">
        <v>88.08</v>
      </c>
      <c r="I68" s="45">
        <v>1107.0899999999999</v>
      </c>
      <c r="J68" s="45">
        <v>97518.3</v>
      </c>
      <c r="K68" s="5" t="s">
        <v>1516</v>
      </c>
    </row>
    <row r="69" spans="1:11">
      <c r="A69" s="5" t="s">
        <v>1610</v>
      </c>
      <c r="B69" s="5" t="s">
        <v>1385</v>
      </c>
      <c r="C69" s="5" t="s">
        <v>1184</v>
      </c>
      <c r="D69" s="44" t="s">
        <v>1312</v>
      </c>
      <c r="E69" s="5" t="s">
        <v>1515</v>
      </c>
      <c r="F69" s="5" t="s">
        <v>1367</v>
      </c>
      <c r="G69" s="5" t="s">
        <v>136</v>
      </c>
      <c r="H69" s="45">
        <v>103.62</v>
      </c>
      <c r="I69" s="45">
        <v>1183.8900000000001</v>
      </c>
      <c r="J69" s="45">
        <v>122675.59</v>
      </c>
      <c r="K69" s="5" t="s">
        <v>1516</v>
      </c>
    </row>
    <row r="70" spans="1:11">
      <c r="A70" s="5" t="s">
        <v>1611</v>
      </c>
      <c r="B70" s="5" t="s">
        <v>1386</v>
      </c>
      <c r="C70" s="5" t="s">
        <v>1206</v>
      </c>
      <c r="D70" s="44" t="s">
        <v>1342</v>
      </c>
      <c r="E70" s="5" t="s">
        <v>1515</v>
      </c>
      <c r="F70" s="5" t="s">
        <v>1328</v>
      </c>
      <c r="G70" s="5" t="s">
        <v>125</v>
      </c>
      <c r="H70" s="45">
        <v>87.59</v>
      </c>
      <c r="I70" s="45">
        <v>947.84</v>
      </c>
      <c r="J70" s="45">
        <v>83017.539999999994</v>
      </c>
      <c r="K70" s="5" t="s">
        <v>1533</v>
      </c>
    </row>
    <row r="71" spans="1:11">
      <c r="A71" s="5" t="s">
        <v>1612</v>
      </c>
      <c r="B71" s="5" t="s">
        <v>1387</v>
      </c>
      <c r="C71" s="5" t="s">
        <v>1248</v>
      </c>
      <c r="D71" s="44" t="s">
        <v>1539</v>
      </c>
      <c r="E71" s="5" t="s">
        <v>1524</v>
      </c>
      <c r="F71" s="5" t="s">
        <v>1383</v>
      </c>
      <c r="G71" s="5" t="s">
        <v>136</v>
      </c>
      <c r="H71" s="45">
        <v>107.09</v>
      </c>
      <c r="I71" s="45">
        <v>966.05</v>
      </c>
      <c r="J71" s="45">
        <v>103454.54</v>
      </c>
      <c r="K71" s="5" t="s">
        <v>1518</v>
      </c>
    </row>
    <row r="72" spans="1:11">
      <c r="A72" s="5" t="s">
        <v>1613</v>
      </c>
      <c r="B72" s="5" t="s">
        <v>1388</v>
      </c>
      <c r="C72" s="5" t="s">
        <v>1184</v>
      </c>
      <c r="D72" s="44" t="s">
        <v>1325</v>
      </c>
      <c r="E72" s="5" t="s">
        <v>1266</v>
      </c>
      <c r="F72" s="5" t="s">
        <v>1359</v>
      </c>
      <c r="G72" s="5" t="s">
        <v>136</v>
      </c>
      <c r="H72" s="45">
        <v>92.33</v>
      </c>
      <c r="I72" s="45">
        <v>1153.22</v>
      </c>
      <c r="J72" s="45">
        <v>106476.1</v>
      </c>
      <c r="K72" s="5" t="s">
        <v>1516</v>
      </c>
    </row>
    <row r="73" spans="1:11">
      <c r="A73" s="5" t="s">
        <v>1614</v>
      </c>
      <c r="B73" s="5" t="s">
        <v>1389</v>
      </c>
      <c r="C73" s="5" t="s">
        <v>1218</v>
      </c>
      <c r="D73" s="44" t="s">
        <v>1615</v>
      </c>
      <c r="E73" s="5" t="s">
        <v>1266</v>
      </c>
      <c r="F73" s="5" t="s">
        <v>1399</v>
      </c>
      <c r="G73" s="5" t="s">
        <v>123</v>
      </c>
      <c r="H73" s="45">
        <v>108.31</v>
      </c>
      <c r="I73" s="45">
        <v>1228.99</v>
      </c>
      <c r="J73" s="45">
        <v>133117.31</v>
      </c>
      <c r="K73" s="5" t="s">
        <v>1522</v>
      </c>
    </row>
    <row r="74" spans="1:11">
      <c r="A74" s="5" t="s">
        <v>1616</v>
      </c>
      <c r="B74" s="5" t="s">
        <v>1390</v>
      </c>
      <c r="C74" s="5" t="s">
        <v>1169</v>
      </c>
      <c r="D74" s="44" t="s">
        <v>1323</v>
      </c>
      <c r="E74" s="5" t="s">
        <v>1515</v>
      </c>
      <c r="F74" s="5" t="s">
        <v>1391</v>
      </c>
      <c r="G74" s="5" t="s">
        <v>93</v>
      </c>
      <c r="H74" s="45">
        <v>96.6</v>
      </c>
      <c r="I74" s="45">
        <v>1124.47</v>
      </c>
      <c r="J74" s="45">
        <v>108628.64</v>
      </c>
      <c r="K74" s="5" t="s">
        <v>1516</v>
      </c>
    </row>
    <row r="75" spans="1:11">
      <c r="A75" s="5" t="s">
        <v>1617</v>
      </c>
      <c r="B75" s="5" t="s">
        <v>1392</v>
      </c>
      <c r="C75" s="5" t="s">
        <v>1206</v>
      </c>
      <c r="D75" s="44" t="s">
        <v>1585</v>
      </c>
      <c r="E75" s="5" t="s">
        <v>1515</v>
      </c>
      <c r="F75" s="5" t="s">
        <v>1297</v>
      </c>
      <c r="G75" s="5" t="s">
        <v>130</v>
      </c>
      <c r="H75" s="45">
        <v>90.64</v>
      </c>
      <c r="I75" s="45">
        <v>1030.81</v>
      </c>
      <c r="J75" s="45">
        <v>93435.54</v>
      </c>
      <c r="K75" s="5" t="s">
        <v>1533</v>
      </c>
    </row>
    <row r="76" spans="1:11">
      <c r="A76" s="5" t="s">
        <v>1618</v>
      </c>
      <c r="B76" s="5" t="s">
        <v>1393</v>
      </c>
      <c r="C76" s="5" t="s">
        <v>1184</v>
      </c>
      <c r="D76" s="44" t="s">
        <v>1327</v>
      </c>
      <c r="E76" s="5" t="s">
        <v>1524</v>
      </c>
      <c r="F76" s="5" t="s">
        <v>1343</v>
      </c>
      <c r="G76" s="5" t="s">
        <v>125</v>
      </c>
      <c r="H76" s="45">
        <v>112.73</v>
      </c>
      <c r="I76" s="45">
        <v>1280.3399999999999</v>
      </c>
      <c r="J76" s="45">
        <v>144330.93</v>
      </c>
      <c r="K76" s="5" t="s">
        <v>1516</v>
      </c>
    </row>
    <row r="77" spans="1:11">
      <c r="A77" s="5" t="s">
        <v>1619</v>
      </c>
      <c r="B77" s="5" t="s">
        <v>1394</v>
      </c>
      <c r="C77" s="5" t="s">
        <v>1169</v>
      </c>
      <c r="D77" s="44" t="s">
        <v>1334</v>
      </c>
      <c r="E77" s="5" t="s">
        <v>1524</v>
      </c>
      <c r="F77" s="5" t="s">
        <v>1359</v>
      </c>
      <c r="G77" s="5" t="s">
        <v>146</v>
      </c>
      <c r="H77" s="45">
        <v>103.68</v>
      </c>
      <c r="I77" s="45">
        <v>1070.49</v>
      </c>
      <c r="J77" s="45">
        <v>110985.06</v>
      </c>
      <c r="K77" s="5" t="s">
        <v>1516</v>
      </c>
    </row>
    <row r="78" spans="1:11">
      <c r="A78" s="5" t="s">
        <v>1620</v>
      </c>
      <c r="B78" s="5" t="s">
        <v>1395</v>
      </c>
      <c r="C78" s="5" t="s">
        <v>1206</v>
      </c>
      <c r="D78" s="44" t="s">
        <v>1585</v>
      </c>
      <c r="E78" s="5" t="s">
        <v>1524</v>
      </c>
      <c r="F78" s="5" t="s">
        <v>1313</v>
      </c>
      <c r="G78" s="5" t="s">
        <v>139</v>
      </c>
      <c r="H78" s="45">
        <v>114.16</v>
      </c>
      <c r="I78" s="45">
        <v>2367.44</v>
      </c>
      <c r="J78" s="45">
        <v>270255.39</v>
      </c>
      <c r="K78" s="5" t="s">
        <v>1553</v>
      </c>
    </row>
    <row r="79" spans="1:11">
      <c r="A79" s="5" t="s">
        <v>1621</v>
      </c>
      <c r="B79" s="5" t="s">
        <v>1396</v>
      </c>
      <c r="C79" s="5" t="s">
        <v>1169</v>
      </c>
      <c r="D79" s="44" t="s">
        <v>1334</v>
      </c>
      <c r="E79" s="5" t="s">
        <v>1524</v>
      </c>
      <c r="F79" s="5" t="s">
        <v>1367</v>
      </c>
      <c r="G79" s="5" t="s">
        <v>143</v>
      </c>
      <c r="H79" s="45">
        <v>101.01</v>
      </c>
      <c r="I79" s="45">
        <v>1128.06</v>
      </c>
      <c r="J79" s="45">
        <v>113943.47</v>
      </c>
      <c r="K79" s="5" t="s">
        <v>1516</v>
      </c>
    </row>
    <row r="80" spans="1:11">
      <c r="A80" s="5" t="s">
        <v>1622</v>
      </c>
      <c r="B80" s="5" t="s">
        <v>1397</v>
      </c>
      <c r="C80" s="5" t="s">
        <v>1206</v>
      </c>
      <c r="D80" s="44" t="s">
        <v>1544</v>
      </c>
      <c r="E80" s="5" t="s">
        <v>1266</v>
      </c>
      <c r="F80" s="5" t="s">
        <v>1328</v>
      </c>
      <c r="G80" s="5" t="s">
        <v>132</v>
      </c>
      <c r="H80" s="45">
        <v>91.44</v>
      </c>
      <c r="I80" s="45">
        <v>1276.1600000000001</v>
      </c>
      <c r="J80" s="45">
        <v>116695.13</v>
      </c>
      <c r="K80" s="5" t="s">
        <v>1533</v>
      </c>
    </row>
    <row r="81" spans="1:11">
      <c r="A81" s="5" t="s">
        <v>1623</v>
      </c>
      <c r="B81" s="5" t="s">
        <v>1398</v>
      </c>
      <c r="C81" s="5" t="s">
        <v>1169</v>
      </c>
      <c r="D81" s="44" t="s">
        <v>1342</v>
      </c>
      <c r="E81" s="5" t="s">
        <v>1515</v>
      </c>
      <c r="F81" s="5" t="s">
        <v>1399</v>
      </c>
      <c r="G81" s="5" t="s">
        <v>131</v>
      </c>
      <c r="H81" s="45">
        <v>89.8</v>
      </c>
      <c r="I81" s="45">
        <v>1036.47</v>
      </c>
      <c r="J81" s="45">
        <v>93069.55</v>
      </c>
      <c r="K81" s="5" t="s">
        <v>1516</v>
      </c>
    </row>
    <row r="82" spans="1:11">
      <c r="A82" s="5" t="s">
        <v>1624</v>
      </c>
      <c r="B82" s="5" t="s">
        <v>1400</v>
      </c>
      <c r="C82" s="5" t="s">
        <v>1195</v>
      </c>
      <c r="D82" s="44" t="s">
        <v>1529</v>
      </c>
      <c r="E82" s="5" t="s">
        <v>1524</v>
      </c>
      <c r="F82" s="5" t="s">
        <v>1351</v>
      </c>
      <c r="G82" s="5" t="s">
        <v>138</v>
      </c>
      <c r="H82" s="45">
        <v>98.82</v>
      </c>
      <c r="I82" s="45">
        <v>1672.08</v>
      </c>
      <c r="J82" s="45">
        <v>165239.51999999999</v>
      </c>
      <c r="K82" s="5" t="s">
        <v>1587</v>
      </c>
    </row>
    <row r="83" spans="1:11">
      <c r="A83" s="5" t="s">
        <v>1625</v>
      </c>
      <c r="B83" s="5" t="s">
        <v>1401</v>
      </c>
      <c r="C83" s="5" t="s">
        <v>1195</v>
      </c>
      <c r="D83" s="44" t="s">
        <v>1529</v>
      </c>
      <c r="E83" s="5" t="s">
        <v>1524</v>
      </c>
      <c r="F83" s="5" t="s">
        <v>1343</v>
      </c>
      <c r="G83" s="5" t="s">
        <v>129</v>
      </c>
      <c r="H83" s="45">
        <v>85.13</v>
      </c>
      <c r="I83" s="45">
        <v>2460.9</v>
      </c>
      <c r="J83" s="45">
        <v>209497.44</v>
      </c>
      <c r="K83" s="5" t="s">
        <v>1531</v>
      </c>
    </row>
    <row r="84" spans="1:11">
      <c r="A84" s="5" t="s">
        <v>1626</v>
      </c>
      <c r="B84" s="5" t="s">
        <v>1402</v>
      </c>
      <c r="C84" s="5" t="s">
        <v>1195</v>
      </c>
      <c r="D84" s="44" t="s">
        <v>1535</v>
      </c>
      <c r="E84" s="5" t="s">
        <v>1524</v>
      </c>
      <c r="F84" s="5" t="s">
        <v>1343</v>
      </c>
      <c r="G84" s="5" t="s">
        <v>148</v>
      </c>
      <c r="H84" s="45">
        <v>100.61</v>
      </c>
      <c r="I84" s="45">
        <v>1781.78</v>
      </c>
      <c r="J84" s="45">
        <v>179260.58</v>
      </c>
      <c r="K84" s="5" t="s">
        <v>1587</v>
      </c>
    </row>
    <row r="85" spans="1:11">
      <c r="A85" s="5" t="s">
        <v>1627</v>
      </c>
      <c r="B85" s="5" t="s">
        <v>1403</v>
      </c>
      <c r="C85" s="5" t="s">
        <v>1195</v>
      </c>
      <c r="D85" s="44" t="s">
        <v>1559</v>
      </c>
      <c r="E85" s="5" t="s">
        <v>1266</v>
      </c>
      <c r="F85" s="5" t="s">
        <v>1359</v>
      </c>
      <c r="G85" s="5" t="s">
        <v>139</v>
      </c>
      <c r="H85" s="45">
        <v>110.41</v>
      </c>
      <c r="I85" s="45">
        <v>2062.1</v>
      </c>
      <c r="J85" s="45">
        <v>227669.58</v>
      </c>
      <c r="K85" s="5" t="s">
        <v>1531</v>
      </c>
    </row>
    <row r="86" spans="1:11">
      <c r="A86" s="5" t="s">
        <v>1628</v>
      </c>
      <c r="B86" s="5" t="s">
        <v>1404</v>
      </c>
      <c r="C86" s="5" t="s">
        <v>1206</v>
      </c>
      <c r="D86" s="44" t="s">
        <v>1589</v>
      </c>
      <c r="E86" s="5" t="s">
        <v>1266</v>
      </c>
      <c r="F86" s="5" t="s">
        <v>1328</v>
      </c>
      <c r="G86" s="5" t="s">
        <v>99</v>
      </c>
      <c r="H86" s="45">
        <v>89.23</v>
      </c>
      <c r="I86" s="45">
        <v>1101.93</v>
      </c>
      <c r="J86" s="45">
        <v>98323.04</v>
      </c>
      <c r="K86" s="5" t="s">
        <v>1533</v>
      </c>
    </row>
    <row r="87" spans="1:11">
      <c r="A87" s="5" t="s">
        <v>1629</v>
      </c>
      <c r="B87" s="5" t="s">
        <v>1405</v>
      </c>
      <c r="C87" s="5" t="s">
        <v>1169</v>
      </c>
      <c r="D87" s="44" t="s">
        <v>1539</v>
      </c>
      <c r="E87" s="5" t="s">
        <v>1266</v>
      </c>
      <c r="F87" s="5" t="s">
        <v>1343</v>
      </c>
      <c r="G87" s="5" t="s">
        <v>147</v>
      </c>
      <c r="H87" s="45">
        <v>102.27</v>
      </c>
      <c r="I87" s="45">
        <v>1369.94</v>
      </c>
      <c r="J87" s="45">
        <v>140099.21</v>
      </c>
      <c r="K87" s="5" t="s">
        <v>1565</v>
      </c>
    </row>
    <row r="88" spans="1:11">
      <c r="A88" s="5" t="s">
        <v>1630</v>
      </c>
      <c r="B88" s="5" t="s">
        <v>1406</v>
      </c>
      <c r="C88" s="5" t="s">
        <v>1169</v>
      </c>
      <c r="D88" s="44" t="s">
        <v>1535</v>
      </c>
      <c r="E88" s="5" t="s">
        <v>1266</v>
      </c>
      <c r="F88" s="5" t="s">
        <v>1297</v>
      </c>
      <c r="G88" s="5" t="s">
        <v>141</v>
      </c>
      <c r="H88" s="45">
        <v>86.24</v>
      </c>
      <c r="I88" s="45">
        <v>1227.0899999999999</v>
      </c>
      <c r="J88" s="45">
        <v>105827.66</v>
      </c>
      <c r="K88" s="5" t="s">
        <v>1516</v>
      </c>
    </row>
    <row r="89" spans="1:11">
      <c r="A89" s="5" t="s">
        <v>1631</v>
      </c>
      <c r="B89" s="5" t="s">
        <v>1407</v>
      </c>
      <c r="C89" s="5" t="s">
        <v>1184</v>
      </c>
      <c r="D89" s="44" t="s">
        <v>1302</v>
      </c>
      <c r="E89" s="5" t="s">
        <v>1515</v>
      </c>
      <c r="F89" s="5" t="s">
        <v>1351</v>
      </c>
      <c r="G89" s="5" t="s">
        <v>127</v>
      </c>
      <c r="H89" s="45">
        <v>99.71</v>
      </c>
      <c r="I89" s="45">
        <v>1418.45</v>
      </c>
      <c r="J89" s="45">
        <v>141431.5</v>
      </c>
      <c r="K89" s="5" t="s">
        <v>1565</v>
      </c>
    </row>
    <row r="90" spans="1:11">
      <c r="A90" s="5" t="s">
        <v>1632</v>
      </c>
      <c r="B90" s="5" t="s">
        <v>1408</v>
      </c>
      <c r="C90" s="5" t="s">
        <v>1206</v>
      </c>
      <c r="D90" s="44" t="s">
        <v>1332</v>
      </c>
      <c r="E90" s="5" t="s">
        <v>1515</v>
      </c>
      <c r="F90" s="5" t="s">
        <v>1328</v>
      </c>
      <c r="G90" s="5" t="s">
        <v>123</v>
      </c>
      <c r="H90" s="45">
        <v>109.53</v>
      </c>
      <c r="I90" s="45">
        <v>1159.03</v>
      </c>
      <c r="J90" s="45">
        <v>126946.55</v>
      </c>
      <c r="K90" s="5" t="s">
        <v>1533</v>
      </c>
    </row>
    <row r="91" spans="1:11">
      <c r="A91" s="5" t="s">
        <v>1633</v>
      </c>
      <c r="B91" s="5" t="s">
        <v>1409</v>
      </c>
      <c r="C91" s="5" t="s">
        <v>1169</v>
      </c>
      <c r="D91" s="44" t="s">
        <v>1300</v>
      </c>
      <c r="E91" s="5" t="s">
        <v>1515</v>
      </c>
      <c r="F91" s="5" t="s">
        <v>1351</v>
      </c>
      <c r="G91" s="5" t="s">
        <v>146</v>
      </c>
      <c r="H91" s="45">
        <v>108.81</v>
      </c>
      <c r="I91" s="45">
        <v>1046.6600000000001</v>
      </c>
      <c r="J91" s="45">
        <v>113886.3</v>
      </c>
      <c r="K91" s="5" t="s">
        <v>1516</v>
      </c>
    </row>
    <row r="92" spans="1:11">
      <c r="A92" s="5" t="s">
        <v>1634</v>
      </c>
      <c r="B92" s="5" t="s">
        <v>1410</v>
      </c>
      <c r="C92" s="5" t="s">
        <v>1169</v>
      </c>
      <c r="D92" s="44" t="s">
        <v>1306</v>
      </c>
      <c r="E92" s="5" t="s">
        <v>1515</v>
      </c>
      <c r="F92" s="5" t="s">
        <v>1367</v>
      </c>
      <c r="G92" s="5" t="s">
        <v>99</v>
      </c>
      <c r="H92" s="45">
        <v>94.28</v>
      </c>
      <c r="I92" s="45">
        <v>981.66</v>
      </c>
      <c r="J92" s="45">
        <v>92554.81</v>
      </c>
      <c r="K92" s="5" t="s">
        <v>1516</v>
      </c>
    </row>
    <row r="93" spans="1:11">
      <c r="A93" s="5" t="s">
        <v>1635</v>
      </c>
      <c r="B93" s="5" t="s">
        <v>1411</v>
      </c>
      <c r="C93" s="5" t="s">
        <v>1169</v>
      </c>
      <c r="D93" s="44" t="s">
        <v>1310</v>
      </c>
      <c r="E93" s="5" t="s">
        <v>1515</v>
      </c>
      <c r="F93" s="5" t="s">
        <v>1367</v>
      </c>
      <c r="G93" s="5" t="s">
        <v>120</v>
      </c>
      <c r="H93" s="45">
        <v>94.64</v>
      </c>
      <c r="I93" s="45">
        <v>1062.6099999999999</v>
      </c>
      <c r="J93" s="45">
        <v>100566.56</v>
      </c>
      <c r="K93" s="5" t="s">
        <v>1516</v>
      </c>
    </row>
    <row r="94" spans="1:11">
      <c r="A94" s="5" t="s">
        <v>1636</v>
      </c>
      <c r="B94" s="5" t="s">
        <v>1412</v>
      </c>
      <c r="C94" s="5" t="s">
        <v>1195</v>
      </c>
      <c r="D94" s="44" t="s">
        <v>1310</v>
      </c>
      <c r="E94" s="5" t="s">
        <v>1524</v>
      </c>
      <c r="F94" s="5" t="s">
        <v>1343</v>
      </c>
      <c r="G94" s="5" t="s">
        <v>129</v>
      </c>
      <c r="H94" s="45">
        <v>112.1</v>
      </c>
      <c r="I94" s="45">
        <v>2381.6</v>
      </c>
      <c r="J94" s="45">
        <v>266982.34999999998</v>
      </c>
      <c r="K94" s="5" t="s">
        <v>1531</v>
      </c>
    </row>
    <row r="95" spans="1:11">
      <c r="A95" s="5" t="s">
        <v>1637</v>
      </c>
      <c r="B95" s="5" t="s">
        <v>1413</v>
      </c>
      <c r="C95" s="5" t="s">
        <v>1169</v>
      </c>
      <c r="D95" s="44" t="s">
        <v>1310</v>
      </c>
      <c r="E95" s="5" t="s">
        <v>1524</v>
      </c>
      <c r="F95" s="5" t="s">
        <v>1313</v>
      </c>
      <c r="G95" s="5" t="s">
        <v>120</v>
      </c>
      <c r="H95" s="45">
        <v>117.31</v>
      </c>
      <c r="I95" s="45">
        <v>908.92</v>
      </c>
      <c r="J95" s="45">
        <v>106624.1</v>
      </c>
      <c r="K95" s="5" t="s">
        <v>1516</v>
      </c>
    </row>
    <row r="96" spans="1:11">
      <c r="A96" s="5" t="s">
        <v>1638</v>
      </c>
      <c r="B96" s="5" t="s">
        <v>1414</v>
      </c>
      <c r="C96" s="5" t="s">
        <v>1206</v>
      </c>
      <c r="D96" s="44" t="s">
        <v>1597</v>
      </c>
      <c r="E96" s="5" t="s">
        <v>1266</v>
      </c>
      <c r="F96" s="5" t="s">
        <v>1313</v>
      </c>
      <c r="G96" s="5" t="s">
        <v>142</v>
      </c>
      <c r="H96" s="45">
        <v>88.18</v>
      </c>
      <c r="I96" s="45">
        <v>1001.11</v>
      </c>
      <c r="J96" s="45">
        <v>88274.57</v>
      </c>
      <c r="K96" s="5" t="s">
        <v>1533</v>
      </c>
    </row>
    <row r="97" spans="1:11">
      <c r="A97" s="5" t="s">
        <v>1639</v>
      </c>
      <c r="B97" s="5" t="s">
        <v>1415</v>
      </c>
      <c r="C97" s="5" t="s">
        <v>1195</v>
      </c>
      <c r="D97" s="44" t="s">
        <v>1317</v>
      </c>
      <c r="E97" s="5" t="s">
        <v>1515</v>
      </c>
      <c r="F97" s="5" t="s">
        <v>1343</v>
      </c>
      <c r="G97" s="5" t="s">
        <v>114</v>
      </c>
      <c r="H97" s="45">
        <v>88.17</v>
      </c>
      <c r="I97" s="45">
        <v>1555.2</v>
      </c>
      <c r="J97" s="45">
        <v>137128.09</v>
      </c>
      <c r="K97" s="5" t="s">
        <v>1587</v>
      </c>
    </row>
    <row r="98" spans="1:11">
      <c r="A98" s="5" t="s">
        <v>1640</v>
      </c>
      <c r="B98" s="5" t="s">
        <v>1416</v>
      </c>
      <c r="C98" s="5" t="s">
        <v>1256</v>
      </c>
      <c r="D98" s="44" t="s">
        <v>1557</v>
      </c>
      <c r="E98" s="5" t="s">
        <v>1515</v>
      </c>
      <c r="F98" s="5" t="s">
        <v>1375</v>
      </c>
      <c r="G98" s="5" t="s">
        <v>149</v>
      </c>
      <c r="H98" s="45">
        <v>95.3</v>
      </c>
      <c r="I98" s="45">
        <v>1916.85</v>
      </c>
      <c r="J98" s="45">
        <v>182681.5</v>
      </c>
      <c r="K98" s="5" t="s">
        <v>1641</v>
      </c>
    </row>
    <row r="99" spans="1:11">
      <c r="A99" s="5" t="s">
        <v>1642</v>
      </c>
      <c r="B99" s="5" t="s">
        <v>1417</v>
      </c>
      <c r="C99" s="5" t="s">
        <v>1218</v>
      </c>
      <c r="D99" s="44" t="s">
        <v>1539</v>
      </c>
      <c r="E99" s="5" t="s">
        <v>1524</v>
      </c>
      <c r="F99" s="5" t="s">
        <v>1375</v>
      </c>
      <c r="G99" s="5" t="s">
        <v>105</v>
      </c>
      <c r="H99" s="45">
        <v>103.91</v>
      </c>
      <c r="I99" s="45">
        <v>1028.97</v>
      </c>
      <c r="J99" s="45">
        <v>106919.62</v>
      </c>
      <c r="K99" s="5" t="s">
        <v>1522</v>
      </c>
    </row>
    <row r="100" spans="1:11">
      <c r="A100" s="5" t="s">
        <v>1643</v>
      </c>
      <c r="B100" s="5" t="s">
        <v>1418</v>
      </c>
      <c r="C100" s="5" t="s">
        <v>1169</v>
      </c>
      <c r="D100" s="44" t="s">
        <v>1325</v>
      </c>
      <c r="E100" s="5" t="s">
        <v>1524</v>
      </c>
      <c r="F100" s="5" t="s">
        <v>1367</v>
      </c>
      <c r="G100" s="5" t="s">
        <v>133</v>
      </c>
      <c r="H100" s="45">
        <v>93.3</v>
      </c>
      <c r="I100" s="45">
        <v>1187.69</v>
      </c>
      <c r="J100" s="45">
        <v>110815.81</v>
      </c>
      <c r="K100" s="5" t="s">
        <v>1516</v>
      </c>
    </row>
    <row r="101" spans="1:11">
      <c r="A101" s="5" t="s">
        <v>1644</v>
      </c>
      <c r="B101" s="5" t="s">
        <v>1419</v>
      </c>
      <c r="C101" s="5" t="s">
        <v>1195</v>
      </c>
      <c r="D101" s="44" t="s">
        <v>1325</v>
      </c>
      <c r="E101" s="5" t="s">
        <v>1524</v>
      </c>
      <c r="F101" s="5" t="s">
        <v>1343</v>
      </c>
      <c r="G101" s="5" t="s">
        <v>117</v>
      </c>
      <c r="H101" s="45">
        <v>110.19</v>
      </c>
      <c r="I101" s="45">
        <v>2113.19</v>
      </c>
      <c r="J101" s="45">
        <v>232858.76</v>
      </c>
      <c r="K101" s="5" t="s">
        <v>1531</v>
      </c>
    </row>
    <row r="102" spans="1:11">
      <c r="A102" s="5" t="s">
        <v>1645</v>
      </c>
      <c r="B102" s="5" t="s">
        <v>1420</v>
      </c>
      <c r="C102" s="5" t="s">
        <v>1169</v>
      </c>
      <c r="D102" s="44" t="s">
        <v>1330</v>
      </c>
      <c r="E102" s="5" t="s">
        <v>1524</v>
      </c>
      <c r="F102" s="5" t="s">
        <v>1328</v>
      </c>
      <c r="G102" s="5" t="s">
        <v>131</v>
      </c>
      <c r="H102" s="45">
        <v>90.41</v>
      </c>
      <c r="I102" s="45">
        <v>1150.72</v>
      </c>
      <c r="J102" s="45">
        <v>104038.26</v>
      </c>
      <c r="K102" s="5" t="s">
        <v>1516</v>
      </c>
    </row>
    <row r="103" spans="1:11">
      <c r="A103" s="5" t="s">
        <v>1646</v>
      </c>
      <c r="B103" s="5" t="s">
        <v>1421</v>
      </c>
      <c r="C103" s="5" t="s">
        <v>1206</v>
      </c>
      <c r="D103" s="44" t="s">
        <v>1597</v>
      </c>
      <c r="E103" s="5" t="s">
        <v>1266</v>
      </c>
      <c r="F103" s="5" t="s">
        <v>1297</v>
      </c>
      <c r="G103" s="5" t="s">
        <v>99</v>
      </c>
      <c r="H103" s="45">
        <v>80.89</v>
      </c>
      <c r="I103" s="45">
        <v>1278.54</v>
      </c>
      <c r="J103" s="45">
        <v>103424.57</v>
      </c>
      <c r="K103" s="5" t="s">
        <v>1533</v>
      </c>
    </row>
    <row r="104" spans="1:11">
      <c r="A104" s="5" t="s">
        <v>1647</v>
      </c>
      <c r="B104" s="5" t="s">
        <v>1422</v>
      </c>
      <c r="C104" s="5" t="s">
        <v>1206</v>
      </c>
      <c r="D104" s="44" t="s">
        <v>1539</v>
      </c>
      <c r="E104" s="5" t="s">
        <v>1515</v>
      </c>
      <c r="F104" s="5" t="s">
        <v>1297</v>
      </c>
      <c r="G104" s="5" t="s">
        <v>142</v>
      </c>
      <c r="H104" s="45">
        <v>100.61</v>
      </c>
      <c r="I104" s="45">
        <v>932.02</v>
      </c>
      <c r="J104" s="45">
        <v>93772.56</v>
      </c>
      <c r="K104" s="5" t="s">
        <v>1533</v>
      </c>
    </row>
    <row r="105" spans="1:11">
      <c r="A105" s="5" t="s">
        <v>1648</v>
      </c>
      <c r="B105" s="5" t="s">
        <v>1423</v>
      </c>
      <c r="C105" s="5" t="s">
        <v>1184</v>
      </c>
      <c r="D105" s="44" t="s">
        <v>1334</v>
      </c>
      <c r="E105" s="5" t="s">
        <v>1515</v>
      </c>
      <c r="F105" s="5" t="s">
        <v>1359</v>
      </c>
      <c r="G105" s="5" t="s">
        <v>125</v>
      </c>
      <c r="H105" s="45">
        <v>111.48</v>
      </c>
      <c r="I105" s="45">
        <v>949.75</v>
      </c>
      <c r="J105" s="45">
        <v>105880.51</v>
      </c>
      <c r="K105" s="5" t="s">
        <v>1516</v>
      </c>
    </row>
    <row r="106" spans="1:11">
      <c r="A106" s="5" t="s">
        <v>1649</v>
      </c>
      <c r="B106" s="5" t="s">
        <v>1424</v>
      </c>
      <c r="C106" s="5" t="s">
        <v>1248</v>
      </c>
      <c r="D106" s="44" t="s">
        <v>1581</v>
      </c>
      <c r="E106" s="5" t="s">
        <v>1515</v>
      </c>
      <c r="F106" s="5" t="s">
        <v>1375</v>
      </c>
      <c r="G106" s="5" t="s">
        <v>144</v>
      </c>
      <c r="H106" s="45">
        <v>103.71</v>
      </c>
      <c r="I106" s="45">
        <v>1119.26</v>
      </c>
      <c r="J106" s="45">
        <v>116079.45</v>
      </c>
      <c r="K106" s="5" t="s">
        <v>1518</v>
      </c>
    </row>
    <row r="107" spans="1:11">
      <c r="A107" s="5" t="s">
        <v>1650</v>
      </c>
      <c r="B107" s="5" t="s">
        <v>1425</v>
      </c>
      <c r="C107" s="5" t="s">
        <v>1195</v>
      </c>
      <c r="D107" s="44" t="s">
        <v>1340</v>
      </c>
      <c r="E107" s="5" t="s">
        <v>1524</v>
      </c>
      <c r="F107" s="5" t="s">
        <v>1367</v>
      </c>
      <c r="G107" s="5" t="s">
        <v>128</v>
      </c>
      <c r="H107" s="45">
        <v>107.34</v>
      </c>
      <c r="I107" s="45">
        <v>1441.8</v>
      </c>
      <c r="J107" s="45">
        <v>154763.73000000001</v>
      </c>
      <c r="K107" s="5" t="s">
        <v>1587</v>
      </c>
    </row>
    <row r="108" spans="1:11">
      <c r="A108" s="5" t="s">
        <v>1651</v>
      </c>
      <c r="B108" s="5" t="s">
        <v>1426</v>
      </c>
      <c r="C108" s="5" t="s">
        <v>1227</v>
      </c>
      <c r="D108" s="44" t="s">
        <v>1652</v>
      </c>
      <c r="E108" s="5" t="s">
        <v>1524</v>
      </c>
      <c r="F108" s="5" t="s">
        <v>1399</v>
      </c>
      <c r="G108" s="5" t="s">
        <v>132</v>
      </c>
      <c r="H108" s="45">
        <v>113.91</v>
      </c>
      <c r="I108" s="45">
        <v>1115.48</v>
      </c>
      <c r="J108" s="45">
        <v>127062.84</v>
      </c>
      <c r="K108" s="5" t="s">
        <v>1522</v>
      </c>
    </row>
    <row r="109" spans="1:11">
      <c r="A109" s="5" t="s">
        <v>1653</v>
      </c>
      <c r="B109" s="5" t="s">
        <v>1427</v>
      </c>
      <c r="C109" s="5" t="s">
        <v>1169</v>
      </c>
      <c r="D109" s="44" t="s">
        <v>1340</v>
      </c>
      <c r="E109" s="5" t="s">
        <v>1266</v>
      </c>
      <c r="F109" s="5" t="s">
        <v>1343</v>
      </c>
      <c r="G109" s="5" t="s">
        <v>131</v>
      </c>
      <c r="H109" s="45">
        <v>93.83</v>
      </c>
      <c r="I109" s="45">
        <v>1043.68</v>
      </c>
      <c r="J109" s="45">
        <v>97929.16</v>
      </c>
      <c r="K109" s="5" t="s">
        <v>1516</v>
      </c>
    </row>
    <row r="110" spans="1:11">
      <c r="A110" s="5" t="s">
        <v>1654</v>
      </c>
      <c r="B110" s="5" t="s">
        <v>1428</v>
      </c>
      <c r="C110" s="5" t="s">
        <v>1248</v>
      </c>
      <c r="D110" s="44" t="s">
        <v>1655</v>
      </c>
      <c r="E110" s="5" t="s">
        <v>1266</v>
      </c>
      <c r="F110" s="5" t="s">
        <v>1383</v>
      </c>
      <c r="G110" s="5" t="s">
        <v>99</v>
      </c>
      <c r="H110" s="45">
        <v>94.29</v>
      </c>
      <c r="I110" s="45">
        <v>940.78</v>
      </c>
      <c r="J110" s="45">
        <v>88710.43</v>
      </c>
      <c r="K110" s="5" t="s">
        <v>1518</v>
      </c>
    </row>
    <row r="111" spans="1:11">
      <c r="A111" s="5" t="s">
        <v>1656</v>
      </c>
      <c r="B111" s="5" t="s">
        <v>1429</v>
      </c>
      <c r="C111" s="5" t="s">
        <v>1169</v>
      </c>
      <c r="D111" s="44" t="s">
        <v>1342</v>
      </c>
      <c r="E111" s="5" t="s">
        <v>1266</v>
      </c>
      <c r="F111" s="5" t="s">
        <v>1359</v>
      </c>
      <c r="G111" s="5" t="s">
        <v>109</v>
      </c>
      <c r="H111" s="45">
        <v>107.12</v>
      </c>
      <c r="I111" s="45">
        <v>1031.28</v>
      </c>
      <c r="J111" s="45">
        <v>110473.96</v>
      </c>
      <c r="K111" s="5" t="s">
        <v>1516</v>
      </c>
    </row>
    <row r="112" spans="1:11">
      <c r="A112" s="5" t="s">
        <v>1657</v>
      </c>
      <c r="B112" s="5" t="s">
        <v>1430</v>
      </c>
      <c r="C112" s="5" t="s">
        <v>1227</v>
      </c>
      <c r="D112" s="44" t="s">
        <v>1594</v>
      </c>
      <c r="E112" s="5" t="s">
        <v>1515</v>
      </c>
      <c r="F112" s="5" t="s">
        <v>1391</v>
      </c>
      <c r="G112" s="5" t="s">
        <v>141</v>
      </c>
      <c r="H112" s="45">
        <v>92.36</v>
      </c>
      <c r="I112" s="45">
        <v>1210.3</v>
      </c>
      <c r="J112" s="45">
        <v>111782.37</v>
      </c>
      <c r="K112" s="5" t="s">
        <v>1522</v>
      </c>
    </row>
    <row r="113" spans="1:11">
      <c r="A113" s="5" t="s">
        <v>1658</v>
      </c>
      <c r="B113" s="5" t="s">
        <v>1431</v>
      </c>
      <c r="C113" s="5" t="s">
        <v>1184</v>
      </c>
      <c r="D113" s="44" t="s">
        <v>1597</v>
      </c>
      <c r="E113" s="5" t="s">
        <v>1524</v>
      </c>
      <c r="F113" s="5" t="s">
        <v>1367</v>
      </c>
      <c r="G113" s="5" t="s">
        <v>132</v>
      </c>
      <c r="H113" s="45">
        <v>107.2</v>
      </c>
      <c r="I113" s="45">
        <v>1016.73</v>
      </c>
      <c r="J113" s="45">
        <v>108988.98</v>
      </c>
      <c r="K113" s="5" t="s">
        <v>1516</v>
      </c>
    </row>
    <row r="114" spans="1:11">
      <c r="A114" s="5" t="s">
        <v>1659</v>
      </c>
      <c r="B114" s="5" t="s">
        <v>1432</v>
      </c>
      <c r="C114" s="5" t="s">
        <v>1206</v>
      </c>
      <c r="D114" s="44" t="s">
        <v>1660</v>
      </c>
      <c r="E114" s="5" t="s">
        <v>1524</v>
      </c>
      <c r="F114" s="5" t="s">
        <v>1313</v>
      </c>
      <c r="G114" s="5" t="s">
        <v>145</v>
      </c>
      <c r="H114" s="45">
        <v>97.79</v>
      </c>
      <c r="I114" s="45">
        <v>951.41</v>
      </c>
      <c r="J114" s="45">
        <v>93042.17</v>
      </c>
      <c r="K114" s="5" t="s">
        <v>1533</v>
      </c>
    </row>
    <row r="115" spans="1:11">
      <c r="A115" s="5" t="s">
        <v>1661</v>
      </c>
      <c r="B115" s="5" t="s">
        <v>1433</v>
      </c>
      <c r="C115" s="5" t="s">
        <v>1206</v>
      </c>
      <c r="D115" s="44" t="s">
        <v>1655</v>
      </c>
      <c r="E115" s="5" t="s">
        <v>1524</v>
      </c>
      <c r="F115" s="5" t="s">
        <v>1297</v>
      </c>
      <c r="G115" s="5" t="s">
        <v>112</v>
      </c>
      <c r="H115" s="45">
        <v>108</v>
      </c>
      <c r="I115" s="45">
        <v>1309.8499999999999</v>
      </c>
      <c r="J115" s="45">
        <v>141458.63</v>
      </c>
      <c r="K115" s="5" t="s">
        <v>1536</v>
      </c>
    </row>
    <row r="116" spans="1:11">
      <c r="A116" s="5" t="s">
        <v>1662</v>
      </c>
      <c r="B116" s="5" t="s">
        <v>1434</v>
      </c>
      <c r="C116" s="5" t="s">
        <v>1169</v>
      </c>
      <c r="D116" s="44" t="s">
        <v>1535</v>
      </c>
      <c r="E116" s="5" t="s">
        <v>1266</v>
      </c>
      <c r="F116" s="5" t="s">
        <v>1351</v>
      </c>
      <c r="G116" s="5" t="s">
        <v>143</v>
      </c>
      <c r="H116" s="45">
        <v>96.6</v>
      </c>
      <c r="I116" s="45">
        <v>988.65</v>
      </c>
      <c r="J116" s="45">
        <v>95504.639999999999</v>
      </c>
      <c r="K116" s="5" t="s">
        <v>1516</v>
      </c>
    </row>
    <row r="117" spans="1:11">
      <c r="A117" s="5" t="s">
        <v>1663</v>
      </c>
      <c r="B117" s="5" t="s">
        <v>1435</v>
      </c>
      <c r="C117" s="5" t="s">
        <v>1218</v>
      </c>
      <c r="D117" s="44" t="s">
        <v>1332</v>
      </c>
      <c r="E117" s="5" t="s">
        <v>1524</v>
      </c>
      <c r="F117" s="5" t="s">
        <v>1391</v>
      </c>
      <c r="G117" s="5" t="s">
        <v>112</v>
      </c>
      <c r="H117" s="45">
        <v>90.26</v>
      </c>
      <c r="I117" s="45">
        <v>1398.21</v>
      </c>
      <c r="J117" s="45">
        <v>126204</v>
      </c>
      <c r="K117" s="5" t="s">
        <v>1664</v>
      </c>
    </row>
    <row r="118" spans="1:11">
      <c r="A118" s="5" t="s">
        <v>1665</v>
      </c>
      <c r="B118" s="5" t="s">
        <v>1436</v>
      </c>
      <c r="C118" s="5" t="s">
        <v>1169</v>
      </c>
      <c r="D118" s="44" t="s">
        <v>1302</v>
      </c>
      <c r="E118" s="5" t="s">
        <v>1524</v>
      </c>
      <c r="F118" s="5" t="s">
        <v>1343</v>
      </c>
      <c r="G118" s="5" t="s">
        <v>120</v>
      </c>
      <c r="H118" s="45">
        <v>92.01</v>
      </c>
      <c r="I118" s="45">
        <v>900.88</v>
      </c>
      <c r="J118" s="45">
        <v>82890.34</v>
      </c>
      <c r="K118" s="5" t="s">
        <v>1516</v>
      </c>
    </row>
    <row r="119" spans="1:11">
      <c r="A119" s="5" t="s">
        <v>1666</v>
      </c>
      <c r="B119" s="5" t="s">
        <v>1437</v>
      </c>
      <c r="C119" s="5" t="s">
        <v>1169</v>
      </c>
      <c r="D119" s="44" t="s">
        <v>1304</v>
      </c>
      <c r="E119" s="5" t="s">
        <v>1266</v>
      </c>
      <c r="F119" s="5" t="s">
        <v>1351</v>
      </c>
      <c r="G119" s="5" t="s">
        <v>123</v>
      </c>
      <c r="H119" s="45">
        <v>91.36</v>
      </c>
      <c r="I119" s="45">
        <v>922.14</v>
      </c>
      <c r="J119" s="45">
        <v>84248.6</v>
      </c>
      <c r="K119" s="5" t="s">
        <v>1516</v>
      </c>
    </row>
    <row r="120" spans="1:11">
      <c r="A120" s="5" t="s">
        <v>1667</v>
      </c>
      <c r="B120" s="5" t="s">
        <v>1438</v>
      </c>
      <c r="C120" s="5" t="s">
        <v>1169</v>
      </c>
      <c r="D120" s="44" t="s">
        <v>1304</v>
      </c>
      <c r="E120" s="5" t="s">
        <v>1515</v>
      </c>
      <c r="F120" s="5" t="s">
        <v>1343</v>
      </c>
      <c r="G120" s="5" t="s">
        <v>147</v>
      </c>
      <c r="H120" s="45">
        <v>88.78</v>
      </c>
      <c r="I120" s="45">
        <v>1596.72</v>
      </c>
      <c r="J120" s="45">
        <v>141761.82</v>
      </c>
      <c r="K120" s="5" t="s">
        <v>1565</v>
      </c>
    </row>
    <row r="121" spans="1:11">
      <c r="A121" s="5" t="s">
        <v>1668</v>
      </c>
      <c r="B121" s="5" t="s">
        <v>1439</v>
      </c>
      <c r="C121" s="5" t="s">
        <v>1227</v>
      </c>
      <c r="D121" s="44" t="s">
        <v>1340</v>
      </c>
      <c r="E121" s="5" t="s">
        <v>1515</v>
      </c>
      <c r="F121" s="5" t="s">
        <v>1375</v>
      </c>
      <c r="G121" s="5" t="s">
        <v>96</v>
      </c>
      <c r="H121" s="45">
        <v>117.04</v>
      </c>
      <c r="I121" s="45">
        <v>1208.49</v>
      </c>
      <c r="J121" s="45">
        <v>141446.75</v>
      </c>
      <c r="K121" s="5" t="s">
        <v>1522</v>
      </c>
    </row>
    <row r="122" spans="1:11">
      <c r="A122" s="5" t="s">
        <v>1669</v>
      </c>
      <c r="B122" s="5" t="s">
        <v>1440</v>
      </c>
      <c r="C122" s="5" t="s">
        <v>1195</v>
      </c>
      <c r="D122" s="44" t="s">
        <v>1317</v>
      </c>
      <c r="E122" s="5" t="s">
        <v>1515</v>
      </c>
      <c r="F122" s="5" t="s">
        <v>1343</v>
      </c>
      <c r="G122" s="5" t="s">
        <v>129</v>
      </c>
      <c r="H122" s="45">
        <v>108.31</v>
      </c>
      <c r="I122" s="45">
        <v>2185.89</v>
      </c>
      <c r="J122" s="45">
        <v>236745.04</v>
      </c>
      <c r="K122" s="5" t="s">
        <v>1531</v>
      </c>
    </row>
    <row r="123" spans="1:11">
      <c r="A123" s="5" t="s">
        <v>1670</v>
      </c>
      <c r="B123" s="5" t="s">
        <v>1441</v>
      </c>
      <c r="C123" s="5" t="s">
        <v>1169</v>
      </c>
      <c r="D123" s="44" t="s">
        <v>1310</v>
      </c>
      <c r="E123" s="5" t="s">
        <v>1515</v>
      </c>
      <c r="F123" s="5" t="s">
        <v>1359</v>
      </c>
      <c r="G123" s="5" t="s">
        <v>141</v>
      </c>
      <c r="H123" s="45">
        <v>100.11</v>
      </c>
      <c r="I123" s="45">
        <v>1141.8900000000001</v>
      </c>
      <c r="J123" s="45">
        <v>114318.07</v>
      </c>
      <c r="K123" s="5" t="s">
        <v>1516</v>
      </c>
    </row>
    <row r="124" spans="1:11">
      <c r="A124" s="5" t="s">
        <v>1671</v>
      </c>
      <c r="B124" s="5" t="s">
        <v>1442</v>
      </c>
      <c r="C124" s="5" t="s">
        <v>1248</v>
      </c>
      <c r="D124" s="44" t="s">
        <v>1529</v>
      </c>
      <c r="E124" s="5" t="s">
        <v>1524</v>
      </c>
      <c r="F124" s="5" t="s">
        <v>1375</v>
      </c>
      <c r="G124" s="5" t="s">
        <v>121</v>
      </c>
      <c r="H124" s="45">
        <v>78.88</v>
      </c>
      <c r="I124" s="45">
        <v>1274.07</v>
      </c>
      <c r="J124" s="45">
        <v>100498.57</v>
      </c>
      <c r="K124" s="5" t="s">
        <v>1549</v>
      </c>
    </row>
    <row r="125" spans="1:11">
      <c r="A125" s="5" t="s">
        <v>1672</v>
      </c>
      <c r="B125" s="5" t="s">
        <v>1443</v>
      </c>
      <c r="C125" s="5" t="s">
        <v>1169</v>
      </c>
      <c r="D125" s="44" t="s">
        <v>1317</v>
      </c>
      <c r="E125" s="5" t="s">
        <v>1524</v>
      </c>
      <c r="F125" s="5" t="s">
        <v>1351</v>
      </c>
      <c r="G125" s="5" t="s">
        <v>131</v>
      </c>
      <c r="H125" s="45">
        <v>94.77</v>
      </c>
      <c r="I125" s="45">
        <v>1227.95</v>
      </c>
      <c r="J125" s="45">
        <v>116376.9</v>
      </c>
      <c r="K125" s="5" t="s">
        <v>1516</v>
      </c>
    </row>
    <row r="126" spans="1:11">
      <c r="A126" s="5" t="s">
        <v>1673</v>
      </c>
      <c r="B126" s="5" t="s">
        <v>1444</v>
      </c>
      <c r="C126" s="5" t="s">
        <v>1206</v>
      </c>
      <c r="D126" s="44" t="s">
        <v>1521</v>
      </c>
      <c r="E126" s="5" t="s">
        <v>1524</v>
      </c>
      <c r="F126" s="5" t="s">
        <v>1297</v>
      </c>
      <c r="G126" s="5" t="s">
        <v>142</v>
      </c>
      <c r="H126" s="45">
        <v>102.38</v>
      </c>
      <c r="I126" s="45">
        <v>1080.94</v>
      </c>
      <c r="J126" s="45">
        <v>110671.19</v>
      </c>
      <c r="K126" s="5" t="s">
        <v>1533</v>
      </c>
    </row>
    <row r="127" spans="1:11">
      <c r="A127" s="5" t="s">
        <v>1674</v>
      </c>
      <c r="B127" s="5" t="s">
        <v>1445</v>
      </c>
      <c r="C127" s="5" t="s">
        <v>1169</v>
      </c>
      <c r="D127" s="44" t="s">
        <v>1321</v>
      </c>
      <c r="E127" s="5" t="s">
        <v>1266</v>
      </c>
      <c r="F127" s="5" t="s">
        <v>1343</v>
      </c>
      <c r="G127" s="5" t="s">
        <v>120</v>
      </c>
      <c r="H127" s="45">
        <v>104.22</v>
      </c>
      <c r="I127" s="45">
        <v>1120.75</v>
      </c>
      <c r="J127" s="45">
        <v>116809.26</v>
      </c>
      <c r="K127" s="5" t="s">
        <v>1516</v>
      </c>
    </row>
    <row r="128" spans="1:11">
      <c r="A128" s="5" t="s">
        <v>1675</v>
      </c>
      <c r="B128" s="5" t="s">
        <v>1446</v>
      </c>
      <c r="C128" s="5" t="s">
        <v>1195</v>
      </c>
      <c r="D128" s="44" t="s">
        <v>1332</v>
      </c>
      <c r="E128" s="5" t="s">
        <v>1515</v>
      </c>
      <c r="F128" s="5" t="s">
        <v>1367</v>
      </c>
      <c r="G128" s="5" t="s">
        <v>138</v>
      </c>
      <c r="H128" s="45">
        <v>114.31</v>
      </c>
      <c r="I128" s="45">
        <v>1604.07</v>
      </c>
      <c r="J128" s="45">
        <v>183361.93</v>
      </c>
      <c r="K128" s="5" t="s">
        <v>1587</v>
      </c>
    </row>
    <row r="129" spans="1:11">
      <c r="A129" s="5" t="s">
        <v>1676</v>
      </c>
      <c r="B129" s="5" t="s">
        <v>1447</v>
      </c>
      <c r="C129" s="5" t="s">
        <v>1169</v>
      </c>
      <c r="D129" s="44" t="s">
        <v>1327</v>
      </c>
      <c r="E129" s="5" t="s">
        <v>1515</v>
      </c>
      <c r="F129" s="5" t="s">
        <v>1367</v>
      </c>
      <c r="G129" s="5" t="s">
        <v>141</v>
      </c>
      <c r="H129" s="45">
        <v>105.13</v>
      </c>
      <c r="I129" s="45">
        <v>1102.0999999999999</v>
      </c>
      <c r="J129" s="45">
        <v>115868.59</v>
      </c>
      <c r="K129" s="5" t="s">
        <v>1516</v>
      </c>
    </row>
    <row r="130" spans="1:11">
      <c r="A130" s="5" t="s">
        <v>1677</v>
      </c>
      <c r="B130" s="5" t="s">
        <v>1448</v>
      </c>
      <c r="C130" s="5" t="s">
        <v>1169</v>
      </c>
      <c r="D130" s="44" t="s">
        <v>1325</v>
      </c>
      <c r="E130" s="5" t="s">
        <v>1524</v>
      </c>
      <c r="F130" s="5" t="s">
        <v>1367</v>
      </c>
      <c r="G130" s="5" t="s">
        <v>121</v>
      </c>
      <c r="H130" s="45">
        <v>122.08</v>
      </c>
      <c r="I130" s="45">
        <v>1021.99</v>
      </c>
      <c r="J130" s="45">
        <v>124767.33</v>
      </c>
      <c r="K130" s="5" t="s">
        <v>1516</v>
      </c>
    </row>
    <row r="131" spans="1:11">
      <c r="A131" s="5" t="s">
        <v>1678</v>
      </c>
      <c r="B131" s="5" t="s">
        <v>1449</v>
      </c>
      <c r="C131" s="5" t="s">
        <v>1206</v>
      </c>
      <c r="D131" s="44" t="s">
        <v>1581</v>
      </c>
      <c r="E131" s="5" t="s">
        <v>1524</v>
      </c>
      <c r="F131" s="5" t="s">
        <v>1313</v>
      </c>
      <c r="G131" s="5" t="s">
        <v>140</v>
      </c>
      <c r="H131" s="45">
        <v>116.62</v>
      </c>
      <c r="I131" s="45">
        <v>986.12</v>
      </c>
      <c r="J131" s="45">
        <v>115004.69</v>
      </c>
      <c r="K131" s="5" t="s">
        <v>1533</v>
      </c>
    </row>
    <row r="132" spans="1:11">
      <c r="A132" s="5" t="s">
        <v>1679</v>
      </c>
      <c r="B132" s="5" t="s">
        <v>1450</v>
      </c>
      <c r="C132" s="5" t="s">
        <v>1169</v>
      </c>
      <c r="D132" s="44" t="s">
        <v>1330</v>
      </c>
      <c r="E132" s="5" t="s">
        <v>1524</v>
      </c>
      <c r="F132" s="5" t="s">
        <v>1359</v>
      </c>
      <c r="G132" s="5" t="s">
        <v>133</v>
      </c>
      <c r="H132" s="45">
        <v>106.43</v>
      </c>
      <c r="I132" s="45">
        <v>979.77</v>
      </c>
      <c r="J132" s="45">
        <v>104275.13</v>
      </c>
      <c r="K132" s="5" t="s">
        <v>1516</v>
      </c>
    </row>
    <row r="133" spans="1:11">
      <c r="A133" s="5" t="s">
        <v>1680</v>
      </c>
      <c r="B133" s="5" t="s">
        <v>1451</v>
      </c>
      <c r="C133" s="5" t="s">
        <v>1184</v>
      </c>
      <c r="D133" s="44" t="s">
        <v>1332</v>
      </c>
      <c r="E133" s="5" t="s">
        <v>1524</v>
      </c>
      <c r="F133" s="5" t="s">
        <v>1359</v>
      </c>
      <c r="G133" s="5" t="s">
        <v>125</v>
      </c>
      <c r="H133" s="45">
        <v>104.05</v>
      </c>
      <c r="I133" s="45">
        <v>1131.43</v>
      </c>
      <c r="J133" s="45">
        <v>117720.71</v>
      </c>
      <c r="K133" s="5" t="s">
        <v>1516</v>
      </c>
    </row>
    <row r="134" spans="1:11">
      <c r="A134" s="5" t="s">
        <v>1681</v>
      </c>
      <c r="B134" s="5" t="s">
        <v>1452</v>
      </c>
      <c r="C134" s="5" t="s">
        <v>1169</v>
      </c>
      <c r="D134" s="44" t="s">
        <v>1334</v>
      </c>
      <c r="E134" s="5" t="s">
        <v>1266</v>
      </c>
      <c r="F134" s="5" t="s">
        <v>1367</v>
      </c>
      <c r="G134" s="5" t="s">
        <v>121</v>
      </c>
      <c r="H134" s="45">
        <v>105.34</v>
      </c>
      <c r="I134" s="45">
        <v>910.39</v>
      </c>
      <c r="J134" s="45">
        <v>95901.91</v>
      </c>
      <c r="K134" s="5" t="s">
        <v>1516</v>
      </c>
    </row>
    <row r="135" spans="1:11">
      <c r="A135" s="5" t="s">
        <v>1682</v>
      </c>
      <c r="B135" s="5" t="s">
        <v>1453</v>
      </c>
      <c r="C135" s="5" t="s">
        <v>1248</v>
      </c>
      <c r="D135" s="44" t="s">
        <v>1544</v>
      </c>
      <c r="E135" s="5" t="s">
        <v>1515</v>
      </c>
      <c r="F135" s="5" t="s">
        <v>1383</v>
      </c>
      <c r="G135" s="5" t="s">
        <v>99</v>
      </c>
      <c r="H135" s="45">
        <v>100.04</v>
      </c>
      <c r="I135" s="45">
        <v>920.29</v>
      </c>
      <c r="J135" s="45">
        <v>92066.06</v>
      </c>
      <c r="K135" s="5" t="s">
        <v>1518</v>
      </c>
    </row>
    <row r="136" spans="1:11">
      <c r="A136" s="5" t="s">
        <v>1683</v>
      </c>
      <c r="B136" s="5" t="s">
        <v>1454</v>
      </c>
      <c r="C136" s="5" t="s">
        <v>1218</v>
      </c>
      <c r="D136" s="44" t="s">
        <v>1652</v>
      </c>
      <c r="E136" s="5" t="s">
        <v>1515</v>
      </c>
      <c r="F136" s="5" t="s">
        <v>1391</v>
      </c>
      <c r="G136" s="5" t="s">
        <v>137</v>
      </c>
      <c r="H136" s="45">
        <v>102.07</v>
      </c>
      <c r="I136" s="45">
        <v>1594.27</v>
      </c>
      <c r="J136" s="45">
        <v>162726.60999999999</v>
      </c>
      <c r="K136" s="5" t="s">
        <v>1664</v>
      </c>
    </row>
    <row r="137" spans="1:11">
      <c r="A137" s="5" t="s">
        <v>1684</v>
      </c>
      <c r="B137" s="5" t="s">
        <v>1455</v>
      </c>
      <c r="C137" s="5" t="s">
        <v>1169</v>
      </c>
      <c r="D137" s="44" t="s">
        <v>1340</v>
      </c>
      <c r="E137" s="5" t="s">
        <v>1524</v>
      </c>
      <c r="F137" s="5" t="s">
        <v>1375</v>
      </c>
      <c r="G137" s="5" t="s">
        <v>137</v>
      </c>
      <c r="H137" s="45">
        <v>122.19</v>
      </c>
      <c r="I137" s="45">
        <v>1339.92</v>
      </c>
      <c r="J137" s="45">
        <v>163730.37</v>
      </c>
      <c r="K137" s="5" t="s">
        <v>1565</v>
      </c>
    </row>
    <row r="138" spans="1:11">
      <c r="A138" s="5" t="s">
        <v>1685</v>
      </c>
      <c r="B138" s="5" t="s">
        <v>1456</v>
      </c>
      <c r="C138" s="5" t="s">
        <v>1248</v>
      </c>
      <c r="D138" s="44" t="s">
        <v>1655</v>
      </c>
      <c r="E138" s="5" t="s">
        <v>1524</v>
      </c>
      <c r="F138" s="5" t="s">
        <v>1383</v>
      </c>
      <c r="G138" s="5" t="s">
        <v>102</v>
      </c>
      <c r="H138" s="45">
        <v>112.84</v>
      </c>
      <c r="I138" s="45">
        <v>1279.8</v>
      </c>
      <c r="J138" s="45">
        <v>144416.15</v>
      </c>
      <c r="K138" s="5" t="s">
        <v>1518</v>
      </c>
    </row>
    <row r="139" spans="1:11">
      <c r="A139" s="5" t="s">
        <v>1686</v>
      </c>
      <c r="B139" s="5" t="s">
        <v>1457</v>
      </c>
      <c r="C139" s="5" t="s">
        <v>1184</v>
      </c>
      <c r="D139" s="44" t="s">
        <v>1555</v>
      </c>
      <c r="E139" s="5" t="s">
        <v>1266</v>
      </c>
      <c r="F139" s="5" t="s">
        <v>1367</v>
      </c>
      <c r="G139" s="5" t="s">
        <v>124</v>
      </c>
      <c r="H139" s="45">
        <v>84.81</v>
      </c>
      <c r="I139" s="45">
        <v>1055.97</v>
      </c>
      <c r="J139" s="45">
        <v>89557.51</v>
      </c>
      <c r="K139" s="5" t="s">
        <v>1516</v>
      </c>
    </row>
    <row r="140" spans="1:11">
      <c r="A140" s="5" t="s">
        <v>1687</v>
      </c>
      <c r="B140" s="5" t="s">
        <v>1458</v>
      </c>
      <c r="C140" s="5" t="s">
        <v>1169</v>
      </c>
      <c r="D140" s="44" t="s">
        <v>1555</v>
      </c>
      <c r="E140" s="5" t="s">
        <v>1266</v>
      </c>
      <c r="F140" s="5" t="s">
        <v>1343</v>
      </c>
      <c r="G140" s="5" t="s">
        <v>126</v>
      </c>
      <c r="H140" s="45">
        <v>101.49</v>
      </c>
      <c r="I140" s="45">
        <v>1259.3499999999999</v>
      </c>
      <c r="J140" s="45">
        <v>127813.38</v>
      </c>
      <c r="K140" s="5" t="s">
        <v>1516</v>
      </c>
    </row>
    <row r="141" spans="1:11">
      <c r="A141" s="5" t="s">
        <v>1688</v>
      </c>
      <c r="B141" s="5" t="s">
        <v>1459</v>
      </c>
      <c r="C141" s="5" t="s">
        <v>1195</v>
      </c>
      <c r="D141" s="44" t="s">
        <v>1615</v>
      </c>
      <c r="E141" s="5" t="s">
        <v>1266</v>
      </c>
      <c r="F141" s="5" t="s">
        <v>1343</v>
      </c>
      <c r="G141" s="5" t="s">
        <v>117</v>
      </c>
      <c r="H141" s="45">
        <v>108.99</v>
      </c>
      <c r="I141" s="45">
        <v>1988.11</v>
      </c>
      <c r="J141" s="45">
        <v>216678.7</v>
      </c>
      <c r="K141" s="5" t="s">
        <v>1531</v>
      </c>
    </row>
    <row r="142" spans="1:11">
      <c r="A142" s="5" t="s">
        <v>1689</v>
      </c>
      <c r="B142" s="5" t="s">
        <v>1460</v>
      </c>
      <c r="C142" s="5" t="s">
        <v>1248</v>
      </c>
      <c r="D142" s="44" t="s">
        <v>1594</v>
      </c>
      <c r="E142" s="5" t="s">
        <v>1266</v>
      </c>
      <c r="F142" s="5" t="s">
        <v>1383</v>
      </c>
      <c r="G142" s="5" t="s">
        <v>102</v>
      </c>
      <c r="H142" s="45">
        <v>104.15</v>
      </c>
      <c r="I142" s="45">
        <v>1058.3399999999999</v>
      </c>
      <c r="J142" s="45">
        <v>110221.97</v>
      </c>
      <c r="K142" s="5" t="s">
        <v>1518</v>
      </c>
    </row>
    <row r="143" spans="1:11">
      <c r="A143" s="5" t="s">
        <v>1690</v>
      </c>
      <c r="B143" s="5" t="s">
        <v>1461</v>
      </c>
      <c r="C143" s="5" t="s">
        <v>1169</v>
      </c>
      <c r="D143" s="44" t="s">
        <v>1539</v>
      </c>
      <c r="E143" s="5" t="s">
        <v>1515</v>
      </c>
      <c r="F143" s="5" t="s">
        <v>1343</v>
      </c>
      <c r="G143" s="5" t="s">
        <v>126</v>
      </c>
      <c r="H143" s="45">
        <v>91.96</v>
      </c>
      <c r="I143" s="45">
        <v>1289.21</v>
      </c>
      <c r="J143" s="45">
        <v>118559.58</v>
      </c>
      <c r="K143" s="5" t="s">
        <v>1516</v>
      </c>
    </row>
    <row r="144" spans="1:11">
      <c r="A144" s="5" t="s">
        <v>1691</v>
      </c>
      <c r="B144" s="5" t="s">
        <v>1462</v>
      </c>
      <c r="C144" s="5" t="s">
        <v>1169</v>
      </c>
      <c r="D144" s="44" t="s">
        <v>1597</v>
      </c>
      <c r="E144" s="5" t="s">
        <v>1524</v>
      </c>
      <c r="F144" s="5" t="s">
        <v>1383</v>
      </c>
      <c r="G144" s="5" t="s">
        <v>147</v>
      </c>
      <c r="H144" s="45">
        <v>121</v>
      </c>
      <c r="I144" s="45">
        <v>1302.76</v>
      </c>
      <c r="J144" s="45">
        <v>157630.92000000001</v>
      </c>
      <c r="K144" s="5" t="s">
        <v>1565</v>
      </c>
    </row>
    <row r="145" spans="1:11">
      <c r="A145" s="5" t="s">
        <v>1692</v>
      </c>
      <c r="B145" s="5" t="s">
        <v>1463</v>
      </c>
      <c r="C145" s="5" t="s">
        <v>1218</v>
      </c>
      <c r="D145" s="44" t="s">
        <v>1336</v>
      </c>
      <c r="E145" s="5" t="s">
        <v>1515</v>
      </c>
      <c r="F145" s="5" t="s">
        <v>1375</v>
      </c>
      <c r="G145" s="5" t="s">
        <v>144</v>
      </c>
      <c r="H145" s="45">
        <v>106.04</v>
      </c>
      <c r="I145" s="45">
        <v>916.32</v>
      </c>
      <c r="J145" s="45">
        <v>97162.9</v>
      </c>
      <c r="K145" s="5" t="s">
        <v>1522</v>
      </c>
    </row>
    <row r="146" spans="1:11">
      <c r="A146" s="5" t="s">
        <v>1693</v>
      </c>
      <c r="B146" s="5" t="s">
        <v>1464</v>
      </c>
      <c r="C146" s="5" t="s">
        <v>1206</v>
      </c>
      <c r="D146" s="44" t="s">
        <v>1327</v>
      </c>
      <c r="E146" s="5" t="s">
        <v>1515</v>
      </c>
      <c r="F146" s="5" t="s">
        <v>1313</v>
      </c>
      <c r="G146" s="5" t="s">
        <v>124</v>
      </c>
      <c r="H146" s="45">
        <v>94.19</v>
      </c>
      <c r="I146" s="45">
        <v>1207.78</v>
      </c>
      <c r="J146" s="45">
        <v>113759.57</v>
      </c>
      <c r="K146" s="5" t="s">
        <v>1533</v>
      </c>
    </row>
    <row r="147" spans="1:11">
      <c r="A147" s="5" t="s">
        <v>1694</v>
      </c>
      <c r="B147" s="5" t="s">
        <v>1465</v>
      </c>
      <c r="C147" s="5" t="s">
        <v>1248</v>
      </c>
      <c r="D147" s="44" t="s">
        <v>1342</v>
      </c>
      <c r="E147" s="5" t="s">
        <v>1515</v>
      </c>
      <c r="F147" s="5" t="s">
        <v>1375</v>
      </c>
      <c r="G147" s="5" t="s">
        <v>140</v>
      </c>
      <c r="H147" s="45">
        <v>96.14</v>
      </c>
      <c r="I147" s="45">
        <v>1039.3399999999999</v>
      </c>
      <c r="J147" s="45">
        <v>99923.15</v>
      </c>
      <c r="K147" s="5" t="s">
        <v>1518</v>
      </c>
    </row>
    <row r="148" spans="1:11">
      <c r="A148" s="5" t="s">
        <v>1695</v>
      </c>
      <c r="B148" s="5" t="s">
        <v>1466</v>
      </c>
      <c r="C148" s="5" t="s">
        <v>1206</v>
      </c>
      <c r="D148" s="44" t="s">
        <v>1336</v>
      </c>
      <c r="E148" s="5" t="s">
        <v>1524</v>
      </c>
      <c r="F148" s="5" t="s">
        <v>1313</v>
      </c>
      <c r="G148" s="5" t="s">
        <v>144</v>
      </c>
      <c r="H148" s="45">
        <v>102.47</v>
      </c>
      <c r="I148" s="45">
        <v>1146.56</v>
      </c>
      <c r="J148" s="45">
        <v>117488.05</v>
      </c>
      <c r="K148" s="5" t="s">
        <v>1533</v>
      </c>
    </row>
    <row r="149" spans="1:11">
      <c r="A149" s="5" t="s">
        <v>1696</v>
      </c>
      <c r="B149" s="5" t="s">
        <v>1467</v>
      </c>
      <c r="C149" s="5" t="s">
        <v>1248</v>
      </c>
      <c r="D149" s="44" t="s">
        <v>1521</v>
      </c>
      <c r="E149" s="5" t="s">
        <v>1524</v>
      </c>
      <c r="F149" s="5" t="s">
        <v>1383</v>
      </c>
      <c r="G149" s="5" t="s">
        <v>133</v>
      </c>
      <c r="H149" s="45">
        <v>86.06</v>
      </c>
      <c r="I149" s="45">
        <v>1126.3800000000001</v>
      </c>
      <c r="J149" s="45">
        <v>96936.37</v>
      </c>
      <c r="K149" s="5" t="s">
        <v>1518</v>
      </c>
    </row>
    <row r="150" spans="1:11">
      <c r="A150" s="5" t="s">
        <v>1697</v>
      </c>
      <c r="B150" s="5" t="s">
        <v>1468</v>
      </c>
      <c r="C150" s="5" t="s">
        <v>1169</v>
      </c>
      <c r="D150" s="44" t="s">
        <v>1306</v>
      </c>
      <c r="E150" s="5" t="s">
        <v>1266</v>
      </c>
      <c r="F150" s="5" t="s">
        <v>1367</v>
      </c>
      <c r="G150" s="5" t="s">
        <v>123</v>
      </c>
      <c r="H150" s="45">
        <v>121.08</v>
      </c>
      <c r="I150" s="45">
        <v>974.57</v>
      </c>
      <c r="J150" s="45">
        <v>117997.98</v>
      </c>
      <c r="K150" s="5" t="s">
        <v>1516</v>
      </c>
    </row>
    <row r="151" spans="1:11">
      <c r="A151" s="5" t="s">
        <v>1698</v>
      </c>
      <c r="B151" s="5" t="s">
        <v>1469</v>
      </c>
      <c r="C151" s="5" t="s">
        <v>1169</v>
      </c>
      <c r="D151" s="44" t="s">
        <v>1310</v>
      </c>
      <c r="E151" s="5" t="s">
        <v>1515</v>
      </c>
      <c r="F151" s="5" t="s">
        <v>1391</v>
      </c>
      <c r="G151" s="5" t="s">
        <v>142</v>
      </c>
      <c r="H151" s="45">
        <v>105.63</v>
      </c>
      <c r="I151" s="45">
        <v>1130.3399999999999</v>
      </c>
      <c r="J151" s="45">
        <v>119400.56</v>
      </c>
      <c r="K151" s="5" t="s">
        <v>1516</v>
      </c>
    </row>
    <row r="152" spans="1:11">
      <c r="A152" s="5" t="s">
        <v>1699</v>
      </c>
      <c r="B152" s="5" t="s">
        <v>1470</v>
      </c>
      <c r="C152" s="5" t="s">
        <v>1206</v>
      </c>
      <c r="D152" s="44" t="s">
        <v>1342</v>
      </c>
      <c r="E152" s="5" t="s">
        <v>1515</v>
      </c>
      <c r="F152" s="5" t="s">
        <v>1297</v>
      </c>
      <c r="G152" s="5" t="s">
        <v>145</v>
      </c>
      <c r="H152" s="45">
        <v>95.44</v>
      </c>
      <c r="I152" s="45">
        <v>1064.08</v>
      </c>
      <c r="J152" s="45">
        <v>101555.11</v>
      </c>
      <c r="K152" s="5" t="s">
        <v>1533</v>
      </c>
    </row>
    <row r="153" spans="1:11">
      <c r="A153" s="5" t="s">
        <v>1700</v>
      </c>
      <c r="B153" s="5" t="s">
        <v>1471</v>
      </c>
      <c r="C153" s="5" t="s">
        <v>1248</v>
      </c>
      <c r="D153" s="44" t="s">
        <v>1557</v>
      </c>
      <c r="E153" s="5" t="s">
        <v>1515</v>
      </c>
      <c r="F153" s="5" t="s">
        <v>1383</v>
      </c>
      <c r="G153" s="5" t="s">
        <v>145</v>
      </c>
      <c r="H153" s="45">
        <v>82.59</v>
      </c>
      <c r="I153" s="45">
        <v>1209.07</v>
      </c>
      <c r="J153" s="45">
        <v>99854.18</v>
      </c>
      <c r="K153" s="5" t="s">
        <v>1518</v>
      </c>
    </row>
    <row r="154" spans="1:11">
      <c r="A154" s="5" t="s">
        <v>1701</v>
      </c>
      <c r="B154" s="5" t="s">
        <v>1472</v>
      </c>
      <c r="C154" s="5" t="s">
        <v>1206</v>
      </c>
      <c r="D154" s="44" t="s">
        <v>1521</v>
      </c>
      <c r="E154" s="5" t="s">
        <v>1515</v>
      </c>
      <c r="F154" s="5" t="s">
        <v>1328</v>
      </c>
      <c r="G154" s="5" t="s">
        <v>129</v>
      </c>
      <c r="H154" s="45">
        <v>113.73</v>
      </c>
      <c r="I154" s="45">
        <v>2466.1999999999998</v>
      </c>
      <c r="J154" s="45">
        <v>280480.64000000001</v>
      </c>
      <c r="K154" s="5" t="s">
        <v>1553</v>
      </c>
    </row>
    <row r="155" spans="1:11">
      <c r="A155" s="5" t="s">
        <v>1702</v>
      </c>
      <c r="B155" s="5" t="s">
        <v>1473</v>
      </c>
      <c r="C155" s="5" t="s">
        <v>1206</v>
      </c>
      <c r="D155" s="44" t="s">
        <v>1557</v>
      </c>
      <c r="E155" s="5" t="s">
        <v>1524</v>
      </c>
      <c r="F155" s="5" t="s">
        <v>1297</v>
      </c>
      <c r="G155" s="5" t="s">
        <v>137</v>
      </c>
      <c r="H155" s="45">
        <v>100.94</v>
      </c>
      <c r="I155" s="45">
        <v>1443.29</v>
      </c>
      <c r="J155" s="45">
        <v>145690.73000000001</v>
      </c>
      <c r="K155" s="5" t="s">
        <v>1536</v>
      </c>
    </row>
    <row r="156" spans="1:11">
      <c r="A156" s="5" t="s">
        <v>1703</v>
      </c>
      <c r="B156" s="5" t="s">
        <v>1474</v>
      </c>
      <c r="C156" s="5" t="s">
        <v>1248</v>
      </c>
      <c r="D156" s="44" t="s">
        <v>1539</v>
      </c>
      <c r="E156" s="5" t="s">
        <v>1524</v>
      </c>
      <c r="F156" s="5" t="s">
        <v>1375</v>
      </c>
      <c r="G156" s="5" t="s">
        <v>99</v>
      </c>
      <c r="H156" s="45">
        <v>108.78</v>
      </c>
      <c r="I156" s="45">
        <v>1065.29</v>
      </c>
      <c r="J156" s="45">
        <v>115877.89</v>
      </c>
      <c r="K156" s="5" t="s">
        <v>1549</v>
      </c>
    </row>
    <row r="157" spans="1:11">
      <c r="A157" s="5" t="s">
        <v>1704</v>
      </c>
      <c r="B157" s="5" t="s">
        <v>1475</v>
      </c>
      <c r="C157" s="5" t="s">
        <v>1184</v>
      </c>
      <c r="D157" s="44" t="s">
        <v>1327</v>
      </c>
      <c r="E157" s="5" t="s">
        <v>1266</v>
      </c>
      <c r="F157" s="5" t="s">
        <v>1343</v>
      </c>
      <c r="G157" s="5" t="s">
        <v>96</v>
      </c>
      <c r="H157" s="45">
        <v>91.71</v>
      </c>
      <c r="I157" s="45">
        <v>1035.81</v>
      </c>
      <c r="J157" s="45">
        <v>94994.02</v>
      </c>
      <c r="K157" s="5" t="s">
        <v>1516</v>
      </c>
    </row>
    <row r="158" spans="1:11">
      <c r="A158" s="5" t="s">
        <v>1705</v>
      </c>
      <c r="B158" s="5" t="s">
        <v>1476</v>
      </c>
      <c r="C158" s="5" t="s">
        <v>1169</v>
      </c>
      <c r="D158" s="44" t="s">
        <v>1323</v>
      </c>
      <c r="E158" s="5" t="s">
        <v>1515</v>
      </c>
      <c r="F158" s="5" t="s">
        <v>1399</v>
      </c>
      <c r="G158" s="5" t="s">
        <v>133</v>
      </c>
      <c r="H158" s="45">
        <v>98.72</v>
      </c>
      <c r="I158" s="45">
        <v>1253.18</v>
      </c>
      <c r="J158" s="45">
        <v>123711.72</v>
      </c>
      <c r="K158" s="5" t="s">
        <v>1516</v>
      </c>
    </row>
    <row r="159" spans="1:11">
      <c r="A159" s="5" t="s">
        <v>1706</v>
      </c>
      <c r="B159" s="5" t="s">
        <v>1477</v>
      </c>
      <c r="C159" s="5" t="s">
        <v>1227</v>
      </c>
      <c r="D159" s="44" t="s">
        <v>1707</v>
      </c>
      <c r="E159" s="5" t="s">
        <v>1515</v>
      </c>
      <c r="F159" s="5" t="s">
        <v>1399</v>
      </c>
      <c r="G159" s="5" t="s">
        <v>126</v>
      </c>
      <c r="H159" s="45">
        <v>88.75</v>
      </c>
      <c r="I159" s="45">
        <v>1080.71</v>
      </c>
      <c r="J159" s="45">
        <v>95916.15</v>
      </c>
      <c r="K159" s="5" t="s">
        <v>1522</v>
      </c>
    </row>
    <row r="160" spans="1:11">
      <c r="A160" s="5" t="s">
        <v>1708</v>
      </c>
      <c r="B160" s="5" t="s">
        <v>1478</v>
      </c>
      <c r="C160" s="5" t="s">
        <v>1195</v>
      </c>
      <c r="D160" s="44" t="s">
        <v>1342</v>
      </c>
      <c r="E160" s="5" t="s">
        <v>1515</v>
      </c>
      <c r="F160" s="5" t="s">
        <v>1359</v>
      </c>
      <c r="G160" s="5" t="s">
        <v>148</v>
      </c>
      <c r="H160" s="45">
        <v>104.13</v>
      </c>
      <c r="I160" s="45">
        <v>1667.94</v>
      </c>
      <c r="J160" s="45">
        <v>173691.04</v>
      </c>
      <c r="K160" s="5" t="s">
        <v>1587</v>
      </c>
    </row>
    <row r="161" spans="1:11">
      <c r="A161" s="5" t="s">
        <v>1709</v>
      </c>
      <c r="B161" s="5" t="s">
        <v>1479</v>
      </c>
      <c r="C161" s="5" t="s">
        <v>1218</v>
      </c>
      <c r="D161" s="44" t="s">
        <v>1585</v>
      </c>
      <c r="E161" s="5" t="s">
        <v>1524</v>
      </c>
      <c r="F161" s="5" t="s">
        <v>1399</v>
      </c>
      <c r="G161" s="5" t="s">
        <v>140</v>
      </c>
      <c r="H161" s="45">
        <v>94.77</v>
      </c>
      <c r="I161" s="45">
        <v>1133.99</v>
      </c>
      <c r="J161" s="45">
        <v>107462.83</v>
      </c>
      <c r="K161" s="5" t="s">
        <v>1522</v>
      </c>
    </row>
    <row r="162" spans="1:11">
      <c r="A162" s="5" t="s">
        <v>1710</v>
      </c>
      <c r="B162" s="5" t="s">
        <v>1480</v>
      </c>
      <c r="C162" s="5" t="s">
        <v>1248</v>
      </c>
      <c r="D162" s="44" t="s">
        <v>1544</v>
      </c>
      <c r="E162" s="5" t="s">
        <v>1524</v>
      </c>
      <c r="F162" s="5" t="s">
        <v>1383</v>
      </c>
      <c r="G162" s="5" t="s">
        <v>145</v>
      </c>
      <c r="H162" s="45">
        <v>92.11</v>
      </c>
      <c r="I162" s="45">
        <v>967.14</v>
      </c>
      <c r="J162" s="45">
        <v>89084.08</v>
      </c>
      <c r="K162" s="5" t="s">
        <v>1549</v>
      </c>
    </row>
    <row r="163" spans="1:11">
      <c r="A163" s="5" t="s">
        <v>1711</v>
      </c>
      <c r="B163" s="5" t="s">
        <v>1481</v>
      </c>
      <c r="C163" s="5" t="s">
        <v>1206</v>
      </c>
      <c r="D163" s="44" t="s">
        <v>1615</v>
      </c>
      <c r="E163" s="5" t="s">
        <v>1524</v>
      </c>
      <c r="F163" s="5" t="s">
        <v>1313</v>
      </c>
      <c r="G163" s="5" t="s">
        <v>132</v>
      </c>
      <c r="H163" s="45">
        <v>114.8</v>
      </c>
      <c r="I163" s="45">
        <v>923.13</v>
      </c>
      <c r="J163" s="45">
        <v>105978.06</v>
      </c>
      <c r="K163" s="5" t="s">
        <v>1533</v>
      </c>
    </row>
    <row r="164" spans="1:11">
      <c r="A164" s="5" t="s">
        <v>1712</v>
      </c>
      <c r="B164" s="5" t="s">
        <v>1482</v>
      </c>
      <c r="C164" s="5" t="s">
        <v>1248</v>
      </c>
      <c r="D164" s="44" t="s">
        <v>1589</v>
      </c>
      <c r="E164" s="5" t="s">
        <v>1266</v>
      </c>
      <c r="F164" s="5" t="s">
        <v>1383</v>
      </c>
      <c r="G164" s="5" t="s">
        <v>102</v>
      </c>
      <c r="H164" s="45">
        <v>125.31</v>
      </c>
      <c r="I164" s="45">
        <v>1182.01</v>
      </c>
      <c r="J164" s="45">
        <v>148114.07</v>
      </c>
      <c r="K164" s="5" t="s">
        <v>1549</v>
      </c>
    </row>
    <row r="165" spans="1:11">
      <c r="A165" s="5" t="s">
        <v>1713</v>
      </c>
      <c r="B165" s="5" t="s">
        <v>1483</v>
      </c>
      <c r="C165" s="5" t="s">
        <v>1169</v>
      </c>
      <c r="D165" s="44" t="s">
        <v>1521</v>
      </c>
      <c r="E165" s="5" t="s">
        <v>1266</v>
      </c>
      <c r="F165" s="5" t="s">
        <v>1297</v>
      </c>
      <c r="G165" s="5" t="s">
        <v>93</v>
      </c>
      <c r="H165" s="45">
        <v>92.77</v>
      </c>
      <c r="I165" s="45">
        <v>1075.9100000000001</v>
      </c>
      <c r="J165" s="45">
        <v>99817.24</v>
      </c>
      <c r="K165" s="5" t="s">
        <v>1516</v>
      </c>
    </row>
    <row r="166" spans="1:11">
      <c r="A166" s="5" t="s">
        <v>1714</v>
      </c>
      <c r="B166" s="5" t="s">
        <v>1484</v>
      </c>
      <c r="C166" s="5" t="s">
        <v>1206</v>
      </c>
      <c r="D166" s="44" t="s">
        <v>1552</v>
      </c>
      <c r="E166" s="5" t="s">
        <v>1515</v>
      </c>
      <c r="F166" s="5" t="s">
        <v>1297</v>
      </c>
      <c r="G166" s="5" t="s">
        <v>144</v>
      </c>
      <c r="H166" s="45">
        <v>95.83</v>
      </c>
      <c r="I166" s="45">
        <v>1185.69</v>
      </c>
      <c r="J166" s="45">
        <v>113627.78</v>
      </c>
      <c r="K166" s="5" t="s">
        <v>1533</v>
      </c>
    </row>
    <row r="167" spans="1:11">
      <c r="A167" s="5" t="s">
        <v>1715</v>
      </c>
      <c r="B167" s="5" t="s">
        <v>1485</v>
      </c>
      <c r="C167" s="5" t="s">
        <v>1218</v>
      </c>
      <c r="D167" s="44" t="s">
        <v>1655</v>
      </c>
      <c r="E167" s="5" t="s">
        <v>1524</v>
      </c>
      <c r="F167" s="5" t="s">
        <v>1391</v>
      </c>
      <c r="G167" s="5" t="s">
        <v>112</v>
      </c>
      <c r="H167" s="45">
        <v>95.89</v>
      </c>
      <c r="I167" s="45">
        <v>1418.04</v>
      </c>
      <c r="J167" s="45">
        <v>135980.70000000001</v>
      </c>
      <c r="K167" s="5" t="s">
        <v>1664</v>
      </c>
    </row>
    <row r="168" spans="1:11">
      <c r="A168" s="5" t="s">
        <v>1716</v>
      </c>
      <c r="B168" s="5" t="s">
        <v>1486</v>
      </c>
      <c r="C168" s="5" t="s">
        <v>1184</v>
      </c>
      <c r="D168" s="44" t="s">
        <v>1521</v>
      </c>
      <c r="E168" s="5" t="s">
        <v>1524</v>
      </c>
      <c r="F168" s="5" t="s">
        <v>1343</v>
      </c>
      <c r="G168" s="5" t="s">
        <v>105</v>
      </c>
      <c r="H168" s="45">
        <v>95.28</v>
      </c>
      <c r="I168" s="45">
        <v>1066.43</v>
      </c>
      <c r="J168" s="45">
        <v>101614.18</v>
      </c>
      <c r="K168" s="5" t="s">
        <v>1516</v>
      </c>
    </row>
    <row r="169" spans="1:11">
      <c r="A169" s="5" t="s">
        <v>1717</v>
      </c>
      <c r="B169" s="5" t="s">
        <v>1487</v>
      </c>
      <c r="C169" s="5" t="s">
        <v>1169</v>
      </c>
      <c r="D169" s="44" t="s">
        <v>1597</v>
      </c>
      <c r="E169" s="5" t="s">
        <v>1524</v>
      </c>
      <c r="F169" s="5" t="s">
        <v>1351</v>
      </c>
      <c r="G169" s="5" t="s">
        <v>147</v>
      </c>
      <c r="H169" s="45">
        <v>120.86</v>
      </c>
      <c r="I169" s="45">
        <v>1408.02</v>
      </c>
      <c r="J169" s="45">
        <v>170176.93</v>
      </c>
      <c r="K169" s="5" t="s">
        <v>1565</v>
      </c>
    </row>
    <row r="170" spans="1:11">
      <c r="A170" s="5" t="s">
        <v>1718</v>
      </c>
      <c r="B170" s="5" t="s">
        <v>1488</v>
      </c>
      <c r="C170" s="5" t="s">
        <v>1206</v>
      </c>
      <c r="D170" s="44" t="s">
        <v>1600</v>
      </c>
      <c r="E170" s="5" t="s">
        <v>1266</v>
      </c>
      <c r="F170" s="5" t="s">
        <v>1328</v>
      </c>
      <c r="G170" s="5" t="s">
        <v>137</v>
      </c>
      <c r="H170" s="45">
        <v>104.52</v>
      </c>
      <c r="I170" s="45">
        <v>1440.1</v>
      </c>
      <c r="J170" s="45">
        <v>150512.6</v>
      </c>
      <c r="K170" s="5" t="s">
        <v>1536</v>
      </c>
    </row>
    <row r="171" spans="1:11">
      <c r="A171" s="5" t="s">
        <v>1719</v>
      </c>
      <c r="B171" s="5" t="s">
        <v>1489</v>
      </c>
      <c r="C171" s="5" t="s">
        <v>1248</v>
      </c>
      <c r="D171" s="44" t="s">
        <v>1563</v>
      </c>
      <c r="E171" s="5" t="s">
        <v>1266</v>
      </c>
      <c r="F171" s="5" t="s">
        <v>1375</v>
      </c>
      <c r="G171" s="5" t="s">
        <v>142</v>
      </c>
      <c r="H171" s="45">
        <v>79.260000000000005</v>
      </c>
      <c r="I171" s="45">
        <v>985.89</v>
      </c>
      <c r="J171" s="45">
        <v>78143.649999999994</v>
      </c>
      <c r="K171" s="5" t="s">
        <v>1518</v>
      </c>
    </row>
    <row r="172" spans="1:11">
      <c r="A172" s="5" t="s">
        <v>1720</v>
      </c>
      <c r="B172" s="5" t="s">
        <v>1490</v>
      </c>
      <c r="C172" s="5" t="s">
        <v>1169</v>
      </c>
      <c r="D172" s="44" t="s">
        <v>1557</v>
      </c>
      <c r="E172" s="5" t="s">
        <v>1266</v>
      </c>
      <c r="F172" s="5" t="s">
        <v>1313</v>
      </c>
      <c r="G172" s="5" t="s">
        <v>137</v>
      </c>
      <c r="H172" s="45">
        <v>106.57</v>
      </c>
      <c r="I172" s="45">
        <v>1537.63</v>
      </c>
      <c r="J172" s="45">
        <v>163860.51999999999</v>
      </c>
      <c r="K172" s="5" t="s">
        <v>1565</v>
      </c>
    </row>
    <row r="173" spans="1:11">
      <c r="A173" s="5" t="s">
        <v>1721</v>
      </c>
      <c r="B173" s="5" t="s">
        <v>1491</v>
      </c>
      <c r="C173" s="5" t="s">
        <v>1218</v>
      </c>
      <c r="D173" s="44" t="s">
        <v>1338</v>
      </c>
      <c r="E173" s="5" t="s">
        <v>1266</v>
      </c>
      <c r="F173" s="5" t="s">
        <v>1399</v>
      </c>
      <c r="G173" s="5" t="s">
        <v>144</v>
      </c>
      <c r="H173" s="45">
        <v>96.3</v>
      </c>
      <c r="I173" s="45">
        <v>1080.0899999999999</v>
      </c>
      <c r="J173" s="45">
        <v>104014.87</v>
      </c>
      <c r="K173" s="5" t="s">
        <v>1522</v>
      </c>
    </row>
    <row r="174" spans="1:11">
      <c r="A174" s="5" t="s">
        <v>1722</v>
      </c>
      <c r="B174" s="5" t="s">
        <v>1492</v>
      </c>
      <c r="C174" s="5" t="s">
        <v>1169</v>
      </c>
      <c r="D174" s="44" t="s">
        <v>1296</v>
      </c>
      <c r="E174" s="5" t="s">
        <v>1515</v>
      </c>
      <c r="F174" s="5" t="s">
        <v>1359</v>
      </c>
      <c r="G174" s="5" t="s">
        <v>137</v>
      </c>
      <c r="H174" s="45">
        <v>81.12</v>
      </c>
      <c r="I174" s="45">
        <v>1438.77</v>
      </c>
      <c r="J174" s="45">
        <v>116715.76</v>
      </c>
      <c r="K174" s="5" t="s">
        <v>1565</v>
      </c>
    </row>
    <row r="175" spans="1:11">
      <c r="A175" s="5" t="s">
        <v>1723</v>
      </c>
      <c r="B175" s="5" t="s">
        <v>1493</v>
      </c>
      <c r="C175" s="5" t="s">
        <v>1206</v>
      </c>
      <c r="D175" s="44" t="s">
        <v>1330</v>
      </c>
      <c r="E175" s="5" t="s">
        <v>1515</v>
      </c>
      <c r="F175" s="5" t="s">
        <v>1297</v>
      </c>
      <c r="G175" s="5" t="s">
        <v>126</v>
      </c>
      <c r="H175" s="45">
        <v>100.06</v>
      </c>
      <c r="I175" s="45">
        <v>1076.08</v>
      </c>
      <c r="J175" s="45">
        <v>107677.37</v>
      </c>
      <c r="K175" s="5" t="s">
        <v>1533</v>
      </c>
    </row>
    <row r="176" spans="1:11">
      <c r="A176" s="5" t="s">
        <v>1724</v>
      </c>
      <c r="B176" s="5" t="s">
        <v>1494</v>
      </c>
      <c r="C176" s="5" t="s">
        <v>1184</v>
      </c>
      <c r="D176" s="44" t="s">
        <v>1306</v>
      </c>
      <c r="E176" s="5" t="s">
        <v>1515</v>
      </c>
      <c r="F176" s="5" t="s">
        <v>1351</v>
      </c>
      <c r="G176" s="5" t="s">
        <v>102</v>
      </c>
      <c r="H176" s="45">
        <v>113.41</v>
      </c>
      <c r="I176" s="45">
        <v>908.5</v>
      </c>
      <c r="J176" s="45">
        <v>103030.15</v>
      </c>
      <c r="K176" s="5" t="s">
        <v>1516</v>
      </c>
    </row>
    <row r="177" spans="1:11">
      <c r="A177" s="5" t="s">
        <v>1725</v>
      </c>
      <c r="B177" s="5" t="s">
        <v>1495</v>
      </c>
      <c r="C177" s="5" t="s">
        <v>1195</v>
      </c>
      <c r="D177" s="44" t="s">
        <v>1315</v>
      </c>
      <c r="E177" s="5" t="s">
        <v>1515</v>
      </c>
      <c r="F177" s="5" t="s">
        <v>1359</v>
      </c>
      <c r="G177" s="5" t="s">
        <v>138</v>
      </c>
      <c r="H177" s="45">
        <v>86.18</v>
      </c>
      <c r="I177" s="45">
        <v>1737.13</v>
      </c>
      <c r="J177" s="45">
        <v>149713.22</v>
      </c>
      <c r="K177" s="5" t="s">
        <v>1587</v>
      </c>
    </row>
    <row r="178" spans="1:11">
      <c r="A178" s="5" t="s">
        <v>1726</v>
      </c>
      <c r="B178" s="5" t="s">
        <v>1496</v>
      </c>
      <c r="C178" s="5" t="s">
        <v>1206</v>
      </c>
      <c r="D178" s="44" t="s">
        <v>1521</v>
      </c>
      <c r="E178" s="5" t="s">
        <v>1524</v>
      </c>
      <c r="F178" s="5" t="s">
        <v>1297</v>
      </c>
      <c r="G178" s="5" t="s">
        <v>149</v>
      </c>
      <c r="H178" s="45">
        <v>84.84</v>
      </c>
      <c r="I178" s="45">
        <v>2269.14</v>
      </c>
      <c r="J178" s="45">
        <v>192523.58</v>
      </c>
      <c r="K178" s="5" t="s">
        <v>1553</v>
      </c>
    </row>
    <row r="179" spans="1:11">
      <c r="A179" s="5" t="s">
        <v>1727</v>
      </c>
      <c r="B179" s="5" t="s">
        <v>1497</v>
      </c>
      <c r="C179" s="5" t="s">
        <v>1184</v>
      </c>
      <c r="D179" s="44" t="s">
        <v>1317</v>
      </c>
      <c r="E179" s="5" t="s">
        <v>1524</v>
      </c>
      <c r="F179" s="5" t="s">
        <v>1328</v>
      </c>
      <c r="G179" s="5" t="s">
        <v>130</v>
      </c>
      <c r="H179" s="45">
        <v>108.51</v>
      </c>
      <c r="I179" s="45">
        <v>1082.79</v>
      </c>
      <c r="J179" s="45">
        <v>117488.66</v>
      </c>
      <c r="K179" s="5" t="s">
        <v>1516</v>
      </c>
    </row>
    <row r="180" spans="1:11">
      <c r="A180" s="5" t="s">
        <v>1728</v>
      </c>
      <c r="B180" s="5" t="s">
        <v>1498</v>
      </c>
      <c r="C180" s="5" t="s">
        <v>1206</v>
      </c>
      <c r="D180" s="44" t="s">
        <v>1521</v>
      </c>
      <c r="E180" s="5" t="s">
        <v>1524</v>
      </c>
      <c r="F180" s="5" t="s">
        <v>1328</v>
      </c>
      <c r="G180" s="5" t="s">
        <v>123</v>
      </c>
      <c r="H180" s="45">
        <v>90.39</v>
      </c>
      <c r="I180" s="45">
        <v>933.4</v>
      </c>
      <c r="J180" s="45">
        <v>84370.72</v>
      </c>
      <c r="K180" s="5" t="s">
        <v>1533</v>
      </c>
    </row>
    <row r="181" spans="1:11">
      <c r="A181" s="5" t="s">
        <v>1729</v>
      </c>
      <c r="B181" s="5" t="s">
        <v>1499</v>
      </c>
      <c r="C181" s="5" t="s">
        <v>1206</v>
      </c>
      <c r="D181" s="44" t="s">
        <v>1557</v>
      </c>
      <c r="E181" s="5" t="s">
        <v>1515</v>
      </c>
      <c r="F181" s="5" t="s">
        <v>1313</v>
      </c>
      <c r="G181" s="5" t="s">
        <v>112</v>
      </c>
      <c r="H181" s="45">
        <v>104.64</v>
      </c>
      <c r="I181" s="45">
        <v>1511.7</v>
      </c>
      <c r="J181" s="45">
        <v>158181.12</v>
      </c>
      <c r="K181" s="5" t="s">
        <v>1536</v>
      </c>
    </row>
    <row r="182" spans="1:11">
      <c r="A182" s="5" t="s">
        <v>1730</v>
      </c>
      <c r="B182" s="5" t="s">
        <v>1500</v>
      </c>
      <c r="C182" s="5" t="s">
        <v>1184</v>
      </c>
      <c r="D182" s="44" t="s">
        <v>1323</v>
      </c>
      <c r="E182" s="5" t="s">
        <v>1515</v>
      </c>
      <c r="F182" s="5" t="s">
        <v>1367</v>
      </c>
      <c r="G182" s="5" t="s">
        <v>105</v>
      </c>
      <c r="H182" s="45">
        <v>113.44</v>
      </c>
      <c r="I182" s="45">
        <v>1261.06</v>
      </c>
      <c r="J182" s="45">
        <v>143059.54</v>
      </c>
      <c r="K182" s="5" t="s">
        <v>1516</v>
      </c>
    </row>
    <row r="183" spans="1:11">
      <c r="A183" s="5" t="s">
        <v>1731</v>
      </c>
      <c r="B183" s="5" t="s">
        <v>1501</v>
      </c>
      <c r="C183" s="5" t="s">
        <v>1169</v>
      </c>
      <c r="D183" s="44" t="s">
        <v>1323</v>
      </c>
      <c r="E183" s="5" t="s">
        <v>1515</v>
      </c>
      <c r="F183" s="5" t="s">
        <v>1343</v>
      </c>
      <c r="G183" s="5" t="s">
        <v>141</v>
      </c>
      <c r="H183" s="45">
        <v>84.81</v>
      </c>
      <c r="I183" s="45">
        <v>963.57</v>
      </c>
      <c r="J183" s="45">
        <v>81724.639999999999</v>
      </c>
      <c r="K183" s="5" t="s">
        <v>1516</v>
      </c>
    </row>
    <row r="184" spans="1:11">
      <c r="A184" s="5" t="s">
        <v>1732</v>
      </c>
      <c r="B184" s="5" t="s">
        <v>1502</v>
      </c>
      <c r="C184" s="5" t="s">
        <v>1169</v>
      </c>
      <c r="D184" s="44" t="s">
        <v>1319</v>
      </c>
      <c r="E184" s="5" t="s">
        <v>1524</v>
      </c>
      <c r="F184" s="5" t="s">
        <v>1351</v>
      </c>
      <c r="G184" s="5" t="s">
        <v>120</v>
      </c>
      <c r="H184" s="45">
        <v>91.42</v>
      </c>
      <c r="I184" s="45">
        <v>1049.07</v>
      </c>
      <c r="J184" s="45">
        <v>95904.04</v>
      </c>
      <c r="K184" s="5" t="s">
        <v>1516</v>
      </c>
    </row>
    <row r="185" spans="1:11">
      <c r="A185" s="5" t="s">
        <v>1733</v>
      </c>
      <c r="B185" s="5" t="s">
        <v>1493</v>
      </c>
      <c r="C185" s="5" t="s">
        <v>1206</v>
      </c>
      <c r="D185" s="44" t="s">
        <v>1340</v>
      </c>
      <c r="E185" s="5" t="s">
        <v>1515</v>
      </c>
      <c r="F185" s="5" t="s">
        <v>1313</v>
      </c>
      <c r="G185" s="5" t="s">
        <v>143</v>
      </c>
      <c r="H185" s="45">
        <v>104.14</v>
      </c>
      <c r="I185" s="45">
        <v>1043.1199999999999</v>
      </c>
      <c r="J185" s="45">
        <v>108632.89</v>
      </c>
      <c r="K185" s="5" t="s">
        <v>1533</v>
      </c>
    </row>
    <row r="186" spans="1:11">
      <c r="A186" s="5" t="s">
        <v>1734</v>
      </c>
      <c r="B186" s="5" t="s">
        <v>1486</v>
      </c>
      <c r="C186" s="5" t="s">
        <v>1169</v>
      </c>
      <c r="D186" s="44" t="s">
        <v>1529</v>
      </c>
      <c r="E186" s="5" t="s">
        <v>1524</v>
      </c>
      <c r="F186" s="5" t="s">
        <v>1359</v>
      </c>
      <c r="G186" s="5" t="s">
        <v>147</v>
      </c>
      <c r="H186" s="45">
        <v>101.96</v>
      </c>
      <c r="I186" s="45">
        <v>1408.11</v>
      </c>
      <c r="J186" s="45">
        <v>143576.17000000001</v>
      </c>
      <c r="K186" s="5" t="s">
        <v>1565</v>
      </c>
    </row>
    <row r="187" spans="1:11">
      <c r="A187" s="5" t="s">
        <v>1735</v>
      </c>
      <c r="B187" s="5" t="s">
        <v>1402</v>
      </c>
      <c r="C187" s="5" t="s">
        <v>1195</v>
      </c>
      <c r="D187" s="44" t="s">
        <v>1557</v>
      </c>
      <c r="E187" s="5" t="s">
        <v>1524</v>
      </c>
      <c r="F187" s="5" t="s">
        <v>1343</v>
      </c>
      <c r="G187" s="5" t="s">
        <v>148</v>
      </c>
      <c r="H187" s="45">
        <v>93.68</v>
      </c>
      <c r="I187" s="45">
        <v>1778.06</v>
      </c>
      <c r="J187" s="45">
        <v>166572.54</v>
      </c>
      <c r="K187" s="5" t="s">
        <v>1587</v>
      </c>
    </row>
    <row r="188" spans="1:11">
      <c r="A188" s="5" t="s">
        <v>1736</v>
      </c>
      <c r="B188" s="5" t="s">
        <v>1438</v>
      </c>
      <c r="C188" s="5" t="s">
        <v>1169</v>
      </c>
      <c r="D188" s="44" t="s">
        <v>1302</v>
      </c>
      <c r="E188" s="5" t="s">
        <v>1515</v>
      </c>
      <c r="F188" s="5" t="s">
        <v>1343</v>
      </c>
      <c r="G188" s="5" t="s">
        <v>137</v>
      </c>
      <c r="H188" s="45">
        <v>86.45</v>
      </c>
      <c r="I188" s="45">
        <v>1329.44</v>
      </c>
      <c r="J188" s="45">
        <v>114924.6</v>
      </c>
      <c r="K188" s="5" t="s">
        <v>1565</v>
      </c>
    </row>
    <row r="189" spans="1:11">
      <c r="A189" s="5" t="s">
        <v>1737</v>
      </c>
      <c r="B189" s="5" t="s">
        <v>1475</v>
      </c>
      <c r="C189" s="5" t="s">
        <v>1169</v>
      </c>
      <c r="D189" s="44" t="s">
        <v>1321</v>
      </c>
      <c r="E189" s="5" t="s">
        <v>1266</v>
      </c>
      <c r="F189" s="5" t="s">
        <v>1359</v>
      </c>
      <c r="G189" s="5" t="s">
        <v>140</v>
      </c>
      <c r="H189" s="45">
        <v>109.78</v>
      </c>
      <c r="I189" s="45">
        <v>961.07</v>
      </c>
      <c r="J189" s="45">
        <v>105504.27</v>
      </c>
      <c r="K189" s="5" t="s">
        <v>1516</v>
      </c>
    </row>
    <row r="190" spans="1:11">
      <c r="A190" s="5" t="s">
        <v>1738</v>
      </c>
      <c r="B190" s="5" t="s">
        <v>1337</v>
      </c>
      <c r="C190" s="5" t="s">
        <v>1248</v>
      </c>
      <c r="D190" s="44" t="s">
        <v>1561</v>
      </c>
      <c r="E190" s="5" t="s">
        <v>1524</v>
      </c>
      <c r="F190" s="5" t="s">
        <v>1375</v>
      </c>
      <c r="G190" s="5" t="s">
        <v>131</v>
      </c>
      <c r="H190" s="45">
        <v>110.74</v>
      </c>
      <c r="I190" s="45">
        <v>982.76</v>
      </c>
      <c r="J190" s="45">
        <v>108835.33</v>
      </c>
      <c r="K190" s="5" t="s">
        <v>1518</v>
      </c>
    </row>
    <row r="191" spans="1:11">
      <c r="A191" s="5" t="s">
        <v>1739</v>
      </c>
      <c r="B191" s="5" t="s">
        <v>1314</v>
      </c>
      <c r="C191" s="5" t="s">
        <v>1169</v>
      </c>
      <c r="D191" s="44" t="s">
        <v>1325</v>
      </c>
      <c r="E191" s="5" t="s">
        <v>1266</v>
      </c>
      <c r="F191" s="5" t="s">
        <v>1359</v>
      </c>
      <c r="G191" s="5" t="s">
        <v>137</v>
      </c>
      <c r="H191" s="45">
        <v>105.66</v>
      </c>
      <c r="I191" s="45">
        <v>1252.8699999999999</v>
      </c>
      <c r="J191" s="45">
        <v>132379.62</v>
      </c>
      <c r="K191" s="5" t="s">
        <v>1565</v>
      </c>
    </row>
    <row r="192" spans="1:11">
      <c r="A192" s="5" t="s">
        <v>1740</v>
      </c>
      <c r="B192" s="5" t="s">
        <v>1492</v>
      </c>
      <c r="C192" s="5" t="s">
        <v>1195</v>
      </c>
      <c r="D192" s="44" t="s">
        <v>1302</v>
      </c>
      <c r="E192" s="5" t="s">
        <v>1515</v>
      </c>
      <c r="F192" s="5" t="s">
        <v>1343</v>
      </c>
      <c r="G192" s="5" t="s">
        <v>138</v>
      </c>
      <c r="H192" s="45">
        <v>116.6</v>
      </c>
      <c r="I192" s="45">
        <v>1444.53</v>
      </c>
      <c r="J192" s="45">
        <v>168430.93</v>
      </c>
      <c r="K192" s="5" t="s">
        <v>1587</v>
      </c>
    </row>
    <row r="193" spans="1:11">
      <c r="A193" s="5" t="s">
        <v>1741</v>
      </c>
      <c r="B193" s="5" t="s">
        <v>1326</v>
      </c>
      <c r="C193" s="5" t="s">
        <v>1169</v>
      </c>
      <c r="D193" s="44" t="s">
        <v>1521</v>
      </c>
      <c r="E193" s="5" t="s">
        <v>1266</v>
      </c>
      <c r="F193" s="5" t="s">
        <v>1328</v>
      </c>
      <c r="G193" s="5" t="s">
        <v>137</v>
      </c>
      <c r="H193" s="45">
        <v>97.53</v>
      </c>
      <c r="I193" s="45">
        <v>1292.54</v>
      </c>
      <c r="J193" s="45">
        <v>126058.65</v>
      </c>
      <c r="K193" s="5" t="s">
        <v>1565</v>
      </c>
    </row>
    <row r="194" spans="1:11">
      <c r="A194" s="5" t="s">
        <v>1742</v>
      </c>
      <c r="B194" s="5" t="s">
        <v>1500</v>
      </c>
      <c r="C194" s="5" t="s">
        <v>1169</v>
      </c>
      <c r="D194" s="44" t="s">
        <v>1321</v>
      </c>
      <c r="E194" s="5" t="s">
        <v>1515</v>
      </c>
      <c r="F194" s="5" t="s">
        <v>1343</v>
      </c>
      <c r="G194" s="5" t="s">
        <v>93</v>
      </c>
      <c r="H194" s="45">
        <v>97.6</v>
      </c>
      <c r="I194" s="45">
        <v>1154.76</v>
      </c>
      <c r="J194" s="45">
        <v>112699.67</v>
      </c>
      <c r="K194" s="5" t="s">
        <v>1516</v>
      </c>
    </row>
    <row r="195" spans="1:11">
      <c r="A195" s="5" t="s">
        <v>1743</v>
      </c>
      <c r="B195" s="5" t="s">
        <v>1364</v>
      </c>
      <c r="C195" s="5" t="s">
        <v>1206</v>
      </c>
      <c r="D195" s="44" t="s">
        <v>1544</v>
      </c>
      <c r="E195" s="5" t="s">
        <v>1515</v>
      </c>
      <c r="F195" s="5" t="s">
        <v>1328</v>
      </c>
      <c r="G195" s="5" t="s">
        <v>107</v>
      </c>
      <c r="H195" s="45">
        <v>96.52</v>
      </c>
      <c r="I195" s="45">
        <v>1175.1600000000001</v>
      </c>
      <c r="J195" s="45">
        <v>113423.58</v>
      </c>
      <c r="K195" s="5" t="s">
        <v>1533</v>
      </c>
    </row>
    <row r="196" spans="1:11">
      <c r="A196" s="5" t="s">
        <v>1744</v>
      </c>
      <c r="B196" s="5" t="s">
        <v>1420</v>
      </c>
      <c r="C196" s="5" t="s">
        <v>1169</v>
      </c>
      <c r="D196" s="44" t="s">
        <v>1323</v>
      </c>
      <c r="E196" s="5" t="s">
        <v>1524</v>
      </c>
      <c r="F196" s="5" t="s">
        <v>1328</v>
      </c>
      <c r="G196" s="5" t="s">
        <v>143</v>
      </c>
      <c r="H196" s="45">
        <v>101.37</v>
      </c>
      <c r="I196" s="45">
        <v>941.06</v>
      </c>
      <c r="J196" s="45">
        <v>95393.71</v>
      </c>
      <c r="K196" s="5" t="s">
        <v>1516</v>
      </c>
    </row>
    <row r="197" spans="1:11">
      <c r="A197" s="5" t="s">
        <v>1745</v>
      </c>
      <c r="B197" s="5" t="s">
        <v>1476</v>
      </c>
      <c r="C197" s="5" t="s">
        <v>1169</v>
      </c>
      <c r="D197" s="44" t="s">
        <v>1325</v>
      </c>
      <c r="E197" s="5" t="s">
        <v>1515</v>
      </c>
      <c r="F197" s="5" t="s">
        <v>1399</v>
      </c>
      <c r="G197" s="5" t="s">
        <v>141</v>
      </c>
      <c r="H197" s="45">
        <v>96.23</v>
      </c>
      <c r="I197" s="45">
        <v>1295.82</v>
      </c>
      <c r="J197" s="45">
        <v>124694.08</v>
      </c>
      <c r="K197" s="5" t="s">
        <v>1516</v>
      </c>
    </row>
    <row r="198" spans="1:11">
      <c r="A198" s="5" t="s">
        <v>1746</v>
      </c>
      <c r="B198" s="5" t="s">
        <v>1361</v>
      </c>
      <c r="C198" s="5" t="s">
        <v>1206</v>
      </c>
      <c r="D198" s="44" t="s">
        <v>1615</v>
      </c>
      <c r="E198" s="5" t="s">
        <v>1524</v>
      </c>
      <c r="F198" s="5" t="s">
        <v>1328</v>
      </c>
      <c r="G198" s="5" t="s">
        <v>143</v>
      </c>
      <c r="H198" s="45">
        <v>104.24</v>
      </c>
      <c r="I198" s="45">
        <v>941.82</v>
      </c>
      <c r="J198" s="45">
        <v>98173.89</v>
      </c>
      <c r="K198" s="5" t="s">
        <v>1533</v>
      </c>
    </row>
    <row r="199" spans="1:11">
      <c r="A199" s="5" t="s">
        <v>1747</v>
      </c>
      <c r="B199" s="5" t="s">
        <v>1458</v>
      </c>
      <c r="C199" s="5" t="s">
        <v>1184</v>
      </c>
      <c r="D199" s="44" t="s">
        <v>1559</v>
      </c>
      <c r="E199" s="5" t="s">
        <v>1266</v>
      </c>
      <c r="F199" s="5" t="s">
        <v>1359</v>
      </c>
      <c r="G199" s="5" t="s">
        <v>125</v>
      </c>
      <c r="H199" s="45">
        <v>115.49</v>
      </c>
      <c r="I199" s="45">
        <v>1239.9000000000001</v>
      </c>
      <c r="J199" s="45">
        <v>143191.29</v>
      </c>
      <c r="K199" s="5" t="s">
        <v>1516</v>
      </c>
    </row>
    <row r="200" spans="1:11">
      <c r="A200" s="5" t="s">
        <v>1748</v>
      </c>
      <c r="B200" s="5" t="s">
        <v>1324</v>
      </c>
      <c r="C200" s="5" t="s">
        <v>1256</v>
      </c>
      <c r="D200" s="44" t="s">
        <v>1652</v>
      </c>
      <c r="E200" s="5" t="s">
        <v>1524</v>
      </c>
      <c r="F200" s="5" t="s">
        <v>1375</v>
      </c>
      <c r="G200" s="5" t="s">
        <v>114</v>
      </c>
      <c r="H200" s="45">
        <v>111.28</v>
      </c>
      <c r="I200" s="45">
        <v>1873.45</v>
      </c>
      <c r="J200" s="45">
        <v>208479.29</v>
      </c>
      <c r="K200" s="5" t="s">
        <v>1749</v>
      </c>
    </row>
    <row r="201" spans="1:11">
      <c r="A201" s="5" t="s">
        <v>1750</v>
      </c>
      <c r="B201" s="5" t="s">
        <v>1435</v>
      </c>
      <c r="C201" s="5" t="s">
        <v>1218</v>
      </c>
      <c r="D201" s="44" t="s">
        <v>1332</v>
      </c>
      <c r="E201" s="5" t="s">
        <v>1524</v>
      </c>
      <c r="F201" s="5" t="s">
        <v>1375</v>
      </c>
      <c r="G201" s="5" t="s">
        <v>145</v>
      </c>
      <c r="H201" s="45">
        <v>107.43</v>
      </c>
      <c r="I201" s="45">
        <v>913.92</v>
      </c>
      <c r="J201" s="45">
        <v>98182.57</v>
      </c>
      <c r="K201" s="5" t="s">
        <v>1522</v>
      </c>
    </row>
    <row r="202" spans="1:11">
      <c r="A202" s="5" t="s">
        <v>1751</v>
      </c>
      <c r="B202" s="5" t="s">
        <v>1419</v>
      </c>
      <c r="C202" s="5" t="s">
        <v>1184</v>
      </c>
      <c r="D202" s="44" t="s">
        <v>1323</v>
      </c>
      <c r="E202" s="5" t="s">
        <v>1524</v>
      </c>
      <c r="F202" s="5" t="s">
        <v>1351</v>
      </c>
      <c r="G202" s="5" t="s">
        <v>96</v>
      </c>
      <c r="H202" s="45">
        <v>99.86</v>
      </c>
      <c r="I202" s="45">
        <v>971.44</v>
      </c>
      <c r="J202" s="45">
        <v>97005.85</v>
      </c>
      <c r="K202" s="5" t="s">
        <v>1516</v>
      </c>
    </row>
    <row r="203" spans="1:11">
      <c r="A203" s="5" t="s">
        <v>1752</v>
      </c>
      <c r="B203" s="5" t="s">
        <v>1396</v>
      </c>
      <c r="C203" s="5" t="s">
        <v>1184</v>
      </c>
      <c r="D203" s="44" t="s">
        <v>1336</v>
      </c>
      <c r="E203" s="5" t="s">
        <v>1524</v>
      </c>
      <c r="F203" s="5" t="s">
        <v>1351</v>
      </c>
      <c r="G203" s="5" t="s">
        <v>107</v>
      </c>
      <c r="H203" s="45">
        <v>82.98</v>
      </c>
      <c r="I203" s="45">
        <v>1076.98</v>
      </c>
      <c r="J203" s="45">
        <v>89367.42</v>
      </c>
      <c r="K203" s="5" t="s">
        <v>1516</v>
      </c>
    </row>
    <row r="204" spans="1:11">
      <c r="A204" s="5" t="s">
        <v>1753</v>
      </c>
      <c r="B204" s="5" t="s">
        <v>1417</v>
      </c>
      <c r="C204" s="5" t="s">
        <v>1218</v>
      </c>
      <c r="D204" s="44" t="s">
        <v>1539</v>
      </c>
      <c r="E204" s="5" t="s">
        <v>1524</v>
      </c>
      <c r="F204" s="5" t="s">
        <v>1391</v>
      </c>
      <c r="G204" s="5" t="s">
        <v>102</v>
      </c>
      <c r="H204" s="45">
        <v>91.69</v>
      </c>
      <c r="I204" s="45">
        <v>1067.97</v>
      </c>
      <c r="J204" s="45">
        <v>97922.75</v>
      </c>
      <c r="K204" s="5" t="s">
        <v>1522</v>
      </c>
    </row>
    <row r="205" spans="1:11">
      <c r="A205" s="5" t="s">
        <v>1754</v>
      </c>
      <c r="B205" s="5" t="s">
        <v>1457</v>
      </c>
      <c r="C205" s="5" t="s">
        <v>1184</v>
      </c>
      <c r="D205" s="44" t="s">
        <v>1559</v>
      </c>
      <c r="E205" s="5" t="s">
        <v>1266</v>
      </c>
      <c r="F205" s="5" t="s">
        <v>1367</v>
      </c>
      <c r="G205" s="5" t="s">
        <v>105</v>
      </c>
      <c r="H205" s="45">
        <v>104.42</v>
      </c>
      <c r="I205" s="45">
        <v>1019.93</v>
      </c>
      <c r="J205" s="45">
        <v>106500.31</v>
      </c>
      <c r="K205" s="5" t="s">
        <v>1516</v>
      </c>
    </row>
    <row r="206" spans="1:11">
      <c r="A206" s="5" t="s">
        <v>1755</v>
      </c>
      <c r="B206" s="5" t="s">
        <v>1441</v>
      </c>
      <c r="C206" s="5" t="s">
        <v>1169</v>
      </c>
      <c r="D206" s="44" t="s">
        <v>1315</v>
      </c>
      <c r="E206" s="5" t="s">
        <v>1515</v>
      </c>
      <c r="F206" s="5" t="s">
        <v>1359</v>
      </c>
      <c r="G206" s="5" t="s">
        <v>123</v>
      </c>
      <c r="H206" s="45">
        <v>95.4</v>
      </c>
      <c r="I206" s="45">
        <v>957.35</v>
      </c>
      <c r="J206" s="45">
        <v>91333.81</v>
      </c>
      <c r="K206" s="5" t="s">
        <v>1516</v>
      </c>
    </row>
    <row r="207" spans="1:11">
      <c r="A207" s="5" t="s">
        <v>1756</v>
      </c>
      <c r="B207" s="5" t="s">
        <v>1396</v>
      </c>
      <c r="C207" s="5" t="s">
        <v>1169</v>
      </c>
      <c r="D207" s="44" t="s">
        <v>1340</v>
      </c>
      <c r="E207" s="5" t="s">
        <v>1524</v>
      </c>
      <c r="F207" s="5" t="s">
        <v>1359</v>
      </c>
      <c r="G207" s="5" t="s">
        <v>120</v>
      </c>
      <c r="H207" s="45">
        <v>107.55</v>
      </c>
      <c r="I207" s="45">
        <v>1019.19</v>
      </c>
      <c r="J207" s="45">
        <v>109614.71</v>
      </c>
      <c r="K207" s="5" t="s">
        <v>1516</v>
      </c>
    </row>
    <row r="208" spans="1:11">
      <c r="A208" s="5" t="s">
        <v>1757</v>
      </c>
      <c r="B208" s="5" t="s">
        <v>1457</v>
      </c>
      <c r="C208" s="5" t="s">
        <v>1169</v>
      </c>
      <c r="D208" s="44" t="s">
        <v>1555</v>
      </c>
      <c r="E208" s="5" t="s">
        <v>1266</v>
      </c>
      <c r="F208" s="5" t="s">
        <v>1343</v>
      </c>
      <c r="G208" s="5" t="s">
        <v>109</v>
      </c>
      <c r="H208" s="45">
        <v>98.63</v>
      </c>
      <c r="I208" s="45">
        <v>994.33</v>
      </c>
      <c r="J208" s="45">
        <v>98069.83</v>
      </c>
      <c r="K208" s="5" t="s">
        <v>1516</v>
      </c>
    </row>
    <row r="209" spans="1:11">
      <c r="A209" s="5" t="s">
        <v>1758</v>
      </c>
      <c r="B209" s="5" t="s">
        <v>1474</v>
      </c>
      <c r="C209" s="5" t="s">
        <v>1248</v>
      </c>
      <c r="D209" s="44" t="s">
        <v>1539</v>
      </c>
      <c r="E209" s="5" t="s">
        <v>1524</v>
      </c>
      <c r="F209" s="5" t="s">
        <v>1383</v>
      </c>
      <c r="G209" s="5" t="s">
        <v>132</v>
      </c>
      <c r="H209" s="45">
        <v>92.94</v>
      </c>
      <c r="I209" s="45">
        <v>1227</v>
      </c>
      <c r="J209" s="45">
        <v>114039.41</v>
      </c>
      <c r="K209" s="5" t="s">
        <v>1549</v>
      </c>
    </row>
    <row r="210" spans="1:11">
      <c r="A210" s="5" t="s">
        <v>1759</v>
      </c>
      <c r="B210" s="5" t="s">
        <v>1377</v>
      </c>
      <c r="C210" s="5" t="s">
        <v>1248</v>
      </c>
      <c r="D210" s="44" t="s">
        <v>1336</v>
      </c>
      <c r="E210" s="5" t="s">
        <v>1515</v>
      </c>
      <c r="F210" s="5" t="s">
        <v>1375</v>
      </c>
      <c r="G210" s="5" t="s">
        <v>126</v>
      </c>
      <c r="H210" s="45">
        <v>77.83</v>
      </c>
      <c r="I210" s="45">
        <v>1078.42</v>
      </c>
      <c r="J210" s="45">
        <v>83937.23</v>
      </c>
      <c r="K210" s="5" t="s">
        <v>1549</v>
      </c>
    </row>
    <row r="211" spans="1:11">
      <c r="A211" s="5" t="s">
        <v>1760</v>
      </c>
      <c r="B211" s="5" t="s">
        <v>1449</v>
      </c>
      <c r="C211" s="5" t="s">
        <v>1206</v>
      </c>
      <c r="D211" s="44" t="s">
        <v>1585</v>
      </c>
      <c r="E211" s="5" t="s">
        <v>1524</v>
      </c>
      <c r="F211" s="5" t="s">
        <v>1297</v>
      </c>
      <c r="G211" s="5" t="s">
        <v>131</v>
      </c>
      <c r="H211" s="45">
        <v>93.52</v>
      </c>
      <c r="I211" s="45">
        <v>1029.3800000000001</v>
      </c>
      <c r="J211" s="45">
        <v>96273.03</v>
      </c>
      <c r="K211" s="5" t="s">
        <v>1533</v>
      </c>
    </row>
    <row r="212" spans="1:11">
      <c r="A212" s="5" t="s">
        <v>1761</v>
      </c>
      <c r="B212" s="5" t="s">
        <v>1333</v>
      </c>
      <c r="C212" s="5" t="s">
        <v>1184</v>
      </c>
      <c r="D212" s="44" t="s">
        <v>1529</v>
      </c>
      <c r="E212" s="5" t="s">
        <v>1524</v>
      </c>
      <c r="F212" s="5" t="s">
        <v>1359</v>
      </c>
      <c r="G212" s="5" t="s">
        <v>136</v>
      </c>
      <c r="H212" s="45">
        <v>115.08</v>
      </c>
      <c r="I212" s="45">
        <v>1282.51</v>
      </c>
      <c r="J212" s="45">
        <v>147595.51</v>
      </c>
      <c r="K212" s="5" t="s">
        <v>1516</v>
      </c>
    </row>
    <row r="213" spans="1:11">
      <c r="A213" s="5" t="s">
        <v>1762</v>
      </c>
      <c r="B213" s="5" t="s">
        <v>1442</v>
      </c>
      <c r="C213" s="5" t="s">
        <v>1248</v>
      </c>
      <c r="D213" s="44" t="s">
        <v>1597</v>
      </c>
      <c r="E213" s="5" t="s">
        <v>1524</v>
      </c>
      <c r="F213" s="5" t="s">
        <v>1383</v>
      </c>
      <c r="G213" s="5" t="s">
        <v>126</v>
      </c>
      <c r="H213" s="45">
        <v>95.39</v>
      </c>
      <c r="I213" s="45">
        <v>1239.0999999999999</v>
      </c>
      <c r="J213" s="45">
        <v>118198.43</v>
      </c>
      <c r="K213" s="5" t="s">
        <v>1549</v>
      </c>
    </row>
    <row r="214" spans="1:11">
      <c r="A214" s="5" t="s">
        <v>1763</v>
      </c>
      <c r="B214" s="5" t="s">
        <v>1299</v>
      </c>
      <c r="C214" s="5" t="s">
        <v>1227</v>
      </c>
      <c r="D214" s="44" t="s">
        <v>1529</v>
      </c>
      <c r="E214" s="5" t="s">
        <v>1515</v>
      </c>
      <c r="F214" s="5" t="s">
        <v>1399</v>
      </c>
      <c r="G214" s="5" t="s">
        <v>141</v>
      </c>
      <c r="H214" s="45">
        <v>96</v>
      </c>
      <c r="I214" s="45">
        <v>1204.06</v>
      </c>
      <c r="J214" s="45">
        <v>115594.38</v>
      </c>
      <c r="K214" s="5" t="s">
        <v>1522</v>
      </c>
    </row>
    <row r="215" spans="1:11">
      <c r="A215" s="5" t="s">
        <v>1764</v>
      </c>
      <c r="B215" s="5" t="s">
        <v>1357</v>
      </c>
      <c r="C215" s="5" t="s">
        <v>1218</v>
      </c>
      <c r="D215" s="44" t="s">
        <v>1615</v>
      </c>
      <c r="E215" s="5" t="s">
        <v>1524</v>
      </c>
      <c r="F215" s="5" t="s">
        <v>1391</v>
      </c>
      <c r="G215" s="5" t="s">
        <v>134</v>
      </c>
      <c r="H215" s="45">
        <v>112.4</v>
      </c>
      <c r="I215" s="45">
        <v>965.09</v>
      </c>
      <c r="J215" s="45">
        <v>108474.13</v>
      </c>
      <c r="K215" s="5" t="s">
        <v>1522</v>
      </c>
    </row>
    <row r="216" spans="1:11">
      <c r="A216" s="5" t="s">
        <v>1765</v>
      </c>
      <c r="B216" s="5" t="s">
        <v>1479</v>
      </c>
      <c r="C216" s="5" t="s">
        <v>1227</v>
      </c>
      <c r="D216" s="44" t="s">
        <v>1581</v>
      </c>
      <c r="E216" s="5" t="s">
        <v>1524</v>
      </c>
      <c r="F216" s="5" t="s">
        <v>1399</v>
      </c>
      <c r="G216" s="5" t="s">
        <v>96</v>
      </c>
      <c r="H216" s="45">
        <v>90.74</v>
      </c>
      <c r="I216" s="45">
        <v>1259.1099999999999</v>
      </c>
      <c r="J216" s="45">
        <v>114256.92</v>
      </c>
      <c r="K216" s="5" t="s">
        <v>1522</v>
      </c>
    </row>
    <row r="217" spans="1:11">
      <c r="A217" s="5" t="s">
        <v>1766</v>
      </c>
      <c r="B217" s="5" t="s">
        <v>1370</v>
      </c>
      <c r="C217" s="5" t="s">
        <v>1248</v>
      </c>
      <c r="D217" s="44" t="s">
        <v>1561</v>
      </c>
      <c r="E217" s="5" t="s">
        <v>1266</v>
      </c>
      <c r="F217" s="5" t="s">
        <v>1383</v>
      </c>
      <c r="G217" s="5" t="s">
        <v>102</v>
      </c>
      <c r="H217" s="45">
        <v>119.41</v>
      </c>
      <c r="I217" s="45">
        <v>1043.4000000000001</v>
      </c>
      <c r="J217" s="45">
        <v>124588.52</v>
      </c>
      <c r="K217" s="5" t="s">
        <v>1549</v>
      </c>
    </row>
    <row r="218" spans="1:11">
      <c r="A218" s="5" t="s">
        <v>1767</v>
      </c>
      <c r="B218" s="5" t="s">
        <v>1377</v>
      </c>
      <c r="C218" s="5" t="s">
        <v>1248</v>
      </c>
      <c r="D218" s="44" t="s">
        <v>1340</v>
      </c>
      <c r="E218" s="5" t="s">
        <v>1515</v>
      </c>
      <c r="F218" s="5" t="s">
        <v>1375</v>
      </c>
      <c r="G218" s="5" t="s">
        <v>131</v>
      </c>
      <c r="H218" s="45">
        <v>94.35</v>
      </c>
      <c r="I218" s="45">
        <v>988.01</v>
      </c>
      <c r="J218" s="45">
        <v>93214.02</v>
      </c>
      <c r="K218" s="5" t="s">
        <v>1549</v>
      </c>
    </row>
    <row r="219" spans="1:11">
      <c r="A219" s="5" t="s">
        <v>1768</v>
      </c>
      <c r="B219" s="5" t="s">
        <v>1463</v>
      </c>
      <c r="C219" s="5" t="s">
        <v>1218</v>
      </c>
      <c r="D219" s="44" t="s">
        <v>1334</v>
      </c>
      <c r="E219" s="5" t="s">
        <v>1515</v>
      </c>
      <c r="F219" s="5" t="s">
        <v>1399</v>
      </c>
      <c r="G219" s="5" t="s">
        <v>105</v>
      </c>
      <c r="H219" s="45">
        <v>79.53</v>
      </c>
      <c r="I219" s="45">
        <v>1138.69</v>
      </c>
      <c r="J219" s="45">
        <v>90565.27</v>
      </c>
      <c r="K219" s="5" t="s">
        <v>1522</v>
      </c>
    </row>
    <row r="220" spans="1:11">
      <c r="A220" s="5" t="s">
        <v>1769</v>
      </c>
      <c r="B220" s="5" t="s">
        <v>1373</v>
      </c>
      <c r="C220" s="5" t="s">
        <v>1218</v>
      </c>
      <c r="D220" s="44" t="s">
        <v>1660</v>
      </c>
      <c r="E220" s="5" t="s">
        <v>1524</v>
      </c>
      <c r="F220" s="5" t="s">
        <v>1391</v>
      </c>
      <c r="G220" s="5" t="s">
        <v>93</v>
      </c>
      <c r="H220" s="45">
        <v>106.28</v>
      </c>
      <c r="I220" s="45">
        <v>1217.1199999999999</v>
      </c>
      <c r="J220" s="45">
        <v>129355.51</v>
      </c>
      <c r="K220" s="5" t="s">
        <v>1522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9365-F36A-7C40-82DA-0E842D5FC571}">
  <sheetPr codeName="Sheet10">
    <tabColor rgb="FF92D050"/>
  </sheetPr>
  <dimension ref="A1:J42"/>
  <sheetViews>
    <sheetView workbookViewId="0">
      <selection activeCell="C9" sqref="C9"/>
    </sheetView>
  </sheetViews>
  <sheetFormatPr defaultColWidth="11.5546875" defaultRowHeight="15.95"/>
  <cols>
    <col min="1" max="1" width="29.6640625" bestFit="1" customWidth="1"/>
    <col min="2" max="2" width="22.44140625" bestFit="1" customWidth="1"/>
    <col min="3" max="3" width="62" bestFit="1" customWidth="1"/>
    <col min="4" max="4" width="146" bestFit="1" customWidth="1"/>
    <col min="5" max="5" width="9.77734375" bestFit="1" customWidth="1"/>
    <col min="7" max="7" width="23.6640625" bestFit="1" customWidth="1"/>
    <col min="8" max="8" width="11.77734375" bestFit="1" customWidth="1"/>
    <col min="9" max="9" width="25" bestFit="1" customWidth="1"/>
    <col min="10" max="10" width="15.77734375" bestFit="1" customWidth="1"/>
  </cols>
  <sheetData>
    <row r="1" spans="1:10">
      <c r="A1" s="2" t="s">
        <v>1770</v>
      </c>
      <c r="B1" s="2"/>
      <c r="C1" s="2"/>
      <c r="D1" s="2"/>
      <c r="E1" s="2"/>
      <c r="F1" s="2"/>
      <c r="G1" s="2"/>
      <c r="H1" s="2"/>
      <c r="I1" s="2"/>
      <c r="J1" s="2"/>
    </row>
    <row r="2" spans="1:10" ht="33.950000000000003">
      <c r="A2" s="49" t="s">
        <v>1771</v>
      </c>
      <c r="B2" s="50" t="s">
        <v>1772</v>
      </c>
      <c r="C2" s="50" t="s">
        <v>1773</v>
      </c>
      <c r="D2" s="50" t="s">
        <v>1774</v>
      </c>
      <c r="E2" s="50" t="s">
        <v>1775</v>
      </c>
      <c r="F2" s="50" t="s">
        <v>1776</v>
      </c>
      <c r="G2" s="50" t="s">
        <v>1777</v>
      </c>
      <c r="H2" s="50" t="s">
        <v>1778</v>
      </c>
      <c r="I2" s="51" t="s">
        <v>1513</v>
      </c>
      <c r="J2" s="51" t="s">
        <v>1779</v>
      </c>
    </row>
    <row r="3" spans="1:10">
      <c r="A3" s="6" t="s">
        <v>1780</v>
      </c>
      <c r="B3" s="7" t="s">
        <v>1781</v>
      </c>
      <c r="C3" s="7" t="s">
        <v>1782</v>
      </c>
      <c r="D3" s="7" t="s">
        <v>1783</v>
      </c>
      <c r="E3" s="7">
        <v>0.18</v>
      </c>
      <c r="F3" s="7">
        <v>0.78</v>
      </c>
      <c r="G3" s="7" t="s">
        <v>1784</v>
      </c>
      <c r="H3" s="7" t="s">
        <v>1785</v>
      </c>
      <c r="I3" s="6" t="s">
        <v>1533</v>
      </c>
      <c r="J3" s="6"/>
    </row>
    <row r="4" spans="1:10">
      <c r="A4" s="6" t="s">
        <v>1786</v>
      </c>
      <c r="B4" s="7" t="s">
        <v>1787</v>
      </c>
      <c r="C4" s="7" t="s">
        <v>1788</v>
      </c>
      <c r="D4" s="7" t="s">
        <v>1789</v>
      </c>
      <c r="E4" s="7">
        <v>-0.12</v>
      </c>
      <c r="F4" s="7">
        <v>0.74</v>
      </c>
      <c r="G4" s="7" t="s">
        <v>1790</v>
      </c>
      <c r="H4" s="7" t="s">
        <v>1785</v>
      </c>
      <c r="I4" s="6" t="s">
        <v>1516</v>
      </c>
      <c r="J4" s="6"/>
    </row>
    <row r="5" spans="1:10">
      <c r="A5" s="6" t="s">
        <v>1791</v>
      </c>
      <c r="B5" s="7" t="s">
        <v>1792</v>
      </c>
      <c r="C5" s="7" t="s">
        <v>1793</v>
      </c>
      <c r="D5" s="7" t="s">
        <v>1794</v>
      </c>
      <c r="E5" s="7">
        <v>0.22</v>
      </c>
      <c r="F5" s="7">
        <v>0.83</v>
      </c>
      <c r="G5" s="7" t="s">
        <v>1795</v>
      </c>
      <c r="H5" s="7" t="s">
        <v>1785</v>
      </c>
      <c r="I5" s="6" t="s">
        <v>1516</v>
      </c>
      <c r="J5" s="6"/>
    </row>
    <row r="6" spans="1:10">
      <c r="A6" s="6" t="s">
        <v>1796</v>
      </c>
      <c r="B6" s="7" t="s">
        <v>1797</v>
      </c>
      <c r="C6" s="7" t="s">
        <v>1798</v>
      </c>
      <c r="D6" s="7" t="s">
        <v>1799</v>
      </c>
      <c r="E6" s="7">
        <v>-0.35</v>
      </c>
      <c r="F6" s="7">
        <v>0.86</v>
      </c>
      <c r="G6" s="7" t="s">
        <v>1800</v>
      </c>
      <c r="H6" s="7" t="s">
        <v>1801</v>
      </c>
      <c r="I6" s="6"/>
      <c r="J6" s="6" t="s">
        <v>1802</v>
      </c>
    </row>
    <row r="7" spans="1:10">
      <c r="A7" s="6" t="s">
        <v>1803</v>
      </c>
      <c r="B7" s="7" t="s">
        <v>1804</v>
      </c>
      <c r="C7" s="7" t="s">
        <v>1805</v>
      </c>
      <c r="D7" s="7" t="s">
        <v>1806</v>
      </c>
      <c r="E7" s="7">
        <v>0.09</v>
      </c>
      <c r="F7" s="7">
        <v>0.69</v>
      </c>
      <c r="G7" s="7" t="s">
        <v>1807</v>
      </c>
      <c r="H7" s="7" t="s">
        <v>1785</v>
      </c>
      <c r="I7" s="6" t="s">
        <v>1522</v>
      </c>
      <c r="J7" s="6"/>
    </row>
    <row r="8" spans="1:10">
      <c r="A8" s="6" t="s">
        <v>1808</v>
      </c>
      <c r="B8" s="7" t="s">
        <v>1809</v>
      </c>
      <c r="C8" s="7" t="s">
        <v>1810</v>
      </c>
      <c r="D8" s="7" t="s">
        <v>1811</v>
      </c>
      <c r="E8" s="7">
        <v>0.11</v>
      </c>
      <c r="F8" s="7">
        <v>0.77</v>
      </c>
      <c r="G8" s="7" t="s">
        <v>1812</v>
      </c>
      <c r="H8" s="7" t="s">
        <v>1785</v>
      </c>
      <c r="I8" s="6" t="s">
        <v>1518</v>
      </c>
      <c r="J8" s="6"/>
    </row>
    <row r="9" spans="1:10">
      <c r="A9" s="6" t="s">
        <v>1813</v>
      </c>
      <c r="B9" s="7" t="s">
        <v>1814</v>
      </c>
      <c r="C9" s="7" t="s">
        <v>1815</v>
      </c>
      <c r="D9" s="7" t="s">
        <v>1816</v>
      </c>
      <c r="E9" s="7">
        <v>-0.28000000000000003</v>
      </c>
      <c r="F9" s="7">
        <v>0.71</v>
      </c>
      <c r="G9" s="7" t="s">
        <v>1817</v>
      </c>
      <c r="H9" s="7" t="s">
        <v>1801</v>
      </c>
      <c r="I9" s="6"/>
      <c r="J9" s="6" t="s">
        <v>1818</v>
      </c>
    </row>
    <row r="10" spans="1:10">
      <c r="A10" s="6" t="s">
        <v>1819</v>
      </c>
      <c r="B10" s="7" t="s">
        <v>1781</v>
      </c>
      <c r="C10" s="7" t="s">
        <v>1820</v>
      </c>
      <c r="D10" s="7" t="s">
        <v>1821</v>
      </c>
      <c r="E10" s="7">
        <v>0.26</v>
      </c>
      <c r="F10" s="7">
        <v>0.84</v>
      </c>
      <c r="G10" s="7" t="s">
        <v>1822</v>
      </c>
      <c r="H10" s="7" t="s">
        <v>1785</v>
      </c>
      <c r="I10" s="6" t="s">
        <v>1516</v>
      </c>
      <c r="J10" s="6"/>
    </row>
    <row r="11" spans="1:10">
      <c r="A11" s="6" t="s">
        <v>1823</v>
      </c>
      <c r="B11" s="7" t="s">
        <v>1792</v>
      </c>
      <c r="C11" s="7" t="s">
        <v>1824</v>
      </c>
      <c r="D11" s="7" t="s">
        <v>1825</v>
      </c>
      <c r="E11" s="7">
        <v>-0.14000000000000001</v>
      </c>
      <c r="F11" s="7">
        <v>0.8</v>
      </c>
      <c r="G11" s="7" t="s">
        <v>1826</v>
      </c>
      <c r="H11" s="7" t="s">
        <v>1801</v>
      </c>
      <c r="I11" s="6"/>
      <c r="J11" s="6" t="s">
        <v>1827</v>
      </c>
    </row>
    <row r="12" spans="1:10">
      <c r="A12" s="6" t="s">
        <v>1828</v>
      </c>
      <c r="B12" s="7" t="s">
        <v>1804</v>
      </c>
      <c r="C12" s="7" t="s">
        <v>1829</v>
      </c>
      <c r="D12" s="7" t="s">
        <v>1830</v>
      </c>
      <c r="E12" s="7">
        <v>0.31</v>
      </c>
      <c r="F12" s="7">
        <v>0.76</v>
      </c>
      <c r="G12" s="7" t="s">
        <v>1831</v>
      </c>
      <c r="H12" s="7" t="s">
        <v>1785</v>
      </c>
      <c r="I12" s="6" t="s">
        <v>1832</v>
      </c>
      <c r="J12" s="6"/>
    </row>
    <row r="13" spans="1:10">
      <c r="A13" s="6" t="s">
        <v>1833</v>
      </c>
      <c r="B13" s="7" t="s">
        <v>1797</v>
      </c>
      <c r="C13" s="7" t="s">
        <v>1834</v>
      </c>
      <c r="D13" s="7" t="s">
        <v>1835</v>
      </c>
      <c r="E13" s="7">
        <v>-0.21</v>
      </c>
      <c r="F13" s="7">
        <v>0.82</v>
      </c>
      <c r="G13" s="7" t="s">
        <v>1836</v>
      </c>
      <c r="H13" s="7" t="s">
        <v>1801</v>
      </c>
      <c r="I13" s="6"/>
      <c r="J13" s="6" t="s">
        <v>1837</v>
      </c>
    </row>
    <row r="14" spans="1:10">
      <c r="A14" s="6" t="s">
        <v>1838</v>
      </c>
      <c r="B14" s="7" t="s">
        <v>1814</v>
      </c>
      <c r="C14" s="7" t="s">
        <v>1839</v>
      </c>
      <c r="D14" s="7" t="s">
        <v>1840</v>
      </c>
      <c r="E14" s="7">
        <v>0.12</v>
      </c>
      <c r="F14" s="7">
        <v>0.67</v>
      </c>
      <c r="G14" s="7" t="s">
        <v>1841</v>
      </c>
      <c r="H14" s="7" t="s">
        <v>1785</v>
      </c>
      <c r="I14" s="6" t="s">
        <v>1516</v>
      </c>
      <c r="J14" s="6"/>
    </row>
    <row r="15" spans="1:10">
      <c r="A15" s="6" t="s">
        <v>1842</v>
      </c>
      <c r="B15" s="7" t="s">
        <v>1809</v>
      </c>
      <c r="C15" s="7" t="s">
        <v>1843</v>
      </c>
      <c r="D15" s="7" t="s">
        <v>1844</v>
      </c>
      <c r="E15" s="7">
        <v>-0.19</v>
      </c>
      <c r="F15" s="7">
        <v>0.73</v>
      </c>
      <c r="G15" s="7" t="s">
        <v>1845</v>
      </c>
      <c r="H15" s="7" t="s">
        <v>1801</v>
      </c>
      <c r="I15" s="6"/>
      <c r="J15" s="6" t="s">
        <v>1846</v>
      </c>
    </row>
    <row r="16" spans="1:10">
      <c r="A16" s="6" t="s">
        <v>1847</v>
      </c>
      <c r="B16" s="7" t="s">
        <v>1787</v>
      </c>
      <c r="C16" s="7" t="s">
        <v>1848</v>
      </c>
      <c r="D16" s="7" t="s">
        <v>1849</v>
      </c>
      <c r="E16" s="7">
        <v>-0.33</v>
      </c>
      <c r="F16" s="7">
        <v>0.79</v>
      </c>
      <c r="G16" s="7" t="s">
        <v>1850</v>
      </c>
      <c r="H16" s="7" t="s">
        <v>1801</v>
      </c>
      <c r="I16" s="6"/>
      <c r="J16" s="6" t="s">
        <v>1851</v>
      </c>
    </row>
    <row r="17" spans="1:10">
      <c r="A17" s="6" t="s">
        <v>1852</v>
      </c>
      <c r="B17" s="7" t="s">
        <v>1781</v>
      </c>
      <c r="C17" s="7" t="s">
        <v>1853</v>
      </c>
      <c r="D17" s="7" t="s">
        <v>1854</v>
      </c>
      <c r="E17" s="7">
        <v>0.05</v>
      </c>
      <c r="F17" s="7">
        <v>0.7</v>
      </c>
      <c r="G17" s="7" t="s">
        <v>1855</v>
      </c>
      <c r="H17" s="7" t="s">
        <v>1785</v>
      </c>
      <c r="I17" s="6" t="s">
        <v>1516</v>
      </c>
      <c r="J17" s="6"/>
    </row>
    <row r="18" spans="1:10">
      <c r="A18" s="6" t="s">
        <v>1856</v>
      </c>
      <c r="B18" s="7" t="s">
        <v>1792</v>
      </c>
      <c r="C18" s="7" t="s">
        <v>1857</v>
      </c>
      <c r="D18" s="7" t="s">
        <v>1858</v>
      </c>
      <c r="E18" s="7">
        <v>0.27</v>
      </c>
      <c r="F18" s="7">
        <v>0.88</v>
      </c>
      <c r="G18" s="7" t="s">
        <v>1859</v>
      </c>
      <c r="H18" s="7" t="s">
        <v>1785</v>
      </c>
      <c r="I18" s="6" t="s">
        <v>1536</v>
      </c>
      <c r="J18" s="6"/>
    </row>
    <row r="19" spans="1:10">
      <c r="A19" s="6" t="s">
        <v>1860</v>
      </c>
      <c r="B19" s="7" t="s">
        <v>1797</v>
      </c>
      <c r="C19" s="7" t="s">
        <v>1861</v>
      </c>
      <c r="D19" s="7" t="s">
        <v>1862</v>
      </c>
      <c r="E19" s="7">
        <v>-0.16</v>
      </c>
      <c r="F19" s="7">
        <v>0.81</v>
      </c>
      <c r="G19" s="7" t="s">
        <v>1863</v>
      </c>
      <c r="H19" s="7" t="s">
        <v>1801</v>
      </c>
      <c r="I19" s="6"/>
      <c r="J19" s="6" t="s">
        <v>1864</v>
      </c>
    </row>
    <row r="20" spans="1:10">
      <c r="A20" s="6" t="s">
        <v>1865</v>
      </c>
      <c r="B20" s="7" t="s">
        <v>1814</v>
      </c>
      <c r="C20" s="7" t="s">
        <v>1866</v>
      </c>
      <c r="D20" s="7" t="s">
        <v>1867</v>
      </c>
      <c r="E20" s="7">
        <v>0.24</v>
      </c>
      <c r="F20" s="7">
        <v>0.72</v>
      </c>
      <c r="G20" s="7" t="s">
        <v>1868</v>
      </c>
      <c r="H20" s="7" t="s">
        <v>1785</v>
      </c>
      <c r="I20" s="6" t="s">
        <v>1518</v>
      </c>
      <c r="J20" s="6"/>
    </row>
    <row r="21" spans="1:10">
      <c r="A21" s="6" t="s">
        <v>1869</v>
      </c>
      <c r="B21" s="7" t="s">
        <v>1804</v>
      </c>
      <c r="C21" s="7" t="s">
        <v>1870</v>
      </c>
      <c r="D21" s="7" t="s">
        <v>1871</v>
      </c>
      <c r="E21" s="7">
        <v>0.08</v>
      </c>
      <c r="F21" s="7">
        <v>0.66</v>
      </c>
      <c r="G21" s="7" t="s">
        <v>1872</v>
      </c>
      <c r="H21" s="7" t="s">
        <v>1801</v>
      </c>
      <c r="I21" s="6"/>
      <c r="J21" s="6" t="s">
        <v>1873</v>
      </c>
    </row>
    <row r="22" spans="1:10">
      <c r="A22" s="6" t="s">
        <v>1874</v>
      </c>
      <c r="B22" s="7" t="s">
        <v>1781</v>
      </c>
      <c r="C22" s="7" t="s">
        <v>1875</v>
      </c>
      <c r="D22" s="7" t="s">
        <v>1876</v>
      </c>
      <c r="E22" s="7">
        <v>-0.08</v>
      </c>
      <c r="F22" s="7">
        <v>0.75</v>
      </c>
      <c r="G22" s="7" t="s">
        <v>1877</v>
      </c>
      <c r="H22" s="7" t="s">
        <v>1801</v>
      </c>
      <c r="I22" s="6"/>
      <c r="J22" s="6" t="s">
        <v>1878</v>
      </c>
    </row>
    <row r="23" spans="1:10">
      <c r="A23" s="6" t="s">
        <v>1879</v>
      </c>
      <c r="B23" s="7" t="s">
        <v>1792</v>
      </c>
      <c r="C23" s="7" t="s">
        <v>1880</v>
      </c>
      <c r="D23" s="7" t="s">
        <v>1881</v>
      </c>
      <c r="E23" s="7">
        <v>-0.1</v>
      </c>
      <c r="F23" s="7">
        <v>0.9</v>
      </c>
      <c r="G23" s="7" t="s">
        <v>1882</v>
      </c>
      <c r="H23" s="7" t="s">
        <v>1785</v>
      </c>
      <c r="I23" s="6" t="s">
        <v>1516</v>
      </c>
      <c r="J23" s="6"/>
    </row>
    <row r="24" spans="1:10">
      <c r="A24" s="6" t="s">
        <v>1883</v>
      </c>
      <c r="B24" s="7" t="s">
        <v>1787</v>
      </c>
      <c r="C24" s="7" t="s">
        <v>1884</v>
      </c>
      <c r="D24" s="7" t="s">
        <v>1885</v>
      </c>
      <c r="E24" s="7">
        <v>-0.06</v>
      </c>
      <c r="F24" s="7">
        <v>0.68</v>
      </c>
      <c r="G24" s="7" t="s">
        <v>1886</v>
      </c>
      <c r="H24" s="7" t="s">
        <v>1785</v>
      </c>
      <c r="I24" s="6" t="s">
        <v>1553</v>
      </c>
      <c r="J24" s="6"/>
    </row>
    <row r="25" spans="1:10">
      <c r="A25" s="6" t="s">
        <v>1887</v>
      </c>
      <c r="B25" s="7" t="s">
        <v>1797</v>
      </c>
      <c r="C25" s="7" t="s">
        <v>1888</v>
      </c>
      <c r="D25" s="7" t="s">
        <v>1889</v>
      </c>
      <c r="E25" s="7">
        <v>-0.15</v>
      </c>
      <c r="F25" s="7">
        <v>0.77</v>
      </c>
      <c r="G25" s="7" t="s">
        <v>1890</v>
      </c>
      <c r="H25" s="7" t="s">
        <v>1801</v>
      </c>
      <c r="I25" s="6"/>
      <c r="J25" s="6" t="s">
        <v>1891</v>
      </c>
    </row>
    <row r="26" spans="1:10">
      <c r="A26" s="6" t="s">
        <v>1892</v>
      </c>
      <c r="B26" s="7" t="s">
        <v>1814</v>
      </c>
      <c r="C26" s="7" t="s">
        <v>1893</v>
      </c>
      <c r="D26" s="7" t="s">
        <v>1894</v>
      </c>
      <c r="E26" s="7">
        <v>-0.22</v>
      </c>
      <c r="F26" s="7">
        <v>0.73</v>
      </c>
      <c r="G26" s="7" t="s">
        <v>1895</v>
      </c>
      <c r="H26" s="7" t="s">
        <v>1801</v>
      </c>
      <c r="I26" s="6"/>
      <c r="J26" s="6" t="s">
        <v>1896</v>
      </c>
    </row>
    <row r="27" spans="1:10">
      <c r="A27" s="6" t="s">
        <v>1897</v>
      </c>
      <c r="B27" s="7" t="s">
        <v>1809</v>
      </c>
      <c r="C27" s="7" t="s">
        <v>1898</v>
      </c>
      <c r="D27" s="7" t="s">
        <v>1899</v>
      </c>
      <c r="E27" s="7">
        <v>0.28999999999999998</v>
      </c>
      <c r="F27" s="7">
        <v>0.78</v>
      </c>
      <c r="G27" s="7" t="s">
        <v>1900</v>
      </c>
      <c r="H27" s="7" t="s">
        <v>1785</v>
      </c>
      <c r="I27" s="6" t="s">
        <v>1901</v>
      </c>
      <c r="J27" s="6"/>
    </row>
    <row r="28" spans="1:10">
      <c r="A28" s="6" t="s">
        <v>1902</v>
      </c>
      <c r="B28" s="7" t="s">
        <v>1804</v>
      </c>
      <c r="C28" s="7" t="s">
        <v>1903</v>
      </c>
      <c r="D28" s="7" t="s">
        <v>1904</v>
      </c>
      <c r="E28" s="7">
        <v>7.0000000000000007E-2</v>
      </c>
      <c r="F28" s="7">
        <v>0.62</v>
      </c>
      <c r="G28" s="7" t="s">
        <v>1905</v>
      </c>
      <c r="H28" s="7" t="s">
        <v>1801</v>
      </c>
      <c r="I28" s="6"/>
      <c r="J28" s="6" t="s">
        <v>1906</v>
      </c>
    </row>
    <row r="29" spans="1:10">
      <c r="A29" s="6" t="s">
        <v>1907</v>
      </c>
      <c r="B29" s="7" t="s">
        <v>1792</v>
      </c>
      <c r="C29" s="7" t="s">
        <v>1908</v>
      </c>
      <c r="D29" s="7" t="s">
        <v>1909</v>
      </c>
      <c r="E29" s="7">
        <v>0.2</v>
      </c>
      <c r="F29" s="7">
        <v>0.85</v>
      </c>
      <c r="G29" s="7" t="s">
        <v>1910</v>
      </c>
      <c r="H29" s="7" t="s">
        <v>1785</v>
      </c>
      <c r="I29" s="6" t="s">
        <v>1516</v>
      </c>
      <c r="J29" s="6"/>
    </row>
    <row r="30" spans="1:10">
      <c r="A30" s="6" t="s">
        <v>1911</v>
      </c>
      <c r="B30" s="7" t="s">
        <v>1781</v>
      </c>
      <c r="C30" s="7" t="s">
        <v>1912</v>
      </c>
      <c r="D30" s="7" t="s">
        <v>1913</v>
      </c>
      <c r="E30" s="7">
        <v>-0.18</v>
      </c>
      <c r="F30" s="7">
        <v>0.81</v>
      </c>
      <c r="G30" s="7" t="s">
        <v>1914</v>
      </c>
      <c r="H30" s="7" t="s">
        <v>1785</v>
      </c>
      <c r="I30" s="6" t="s">
        <v>1565</v>
      </c>
      <c r="J30" s="6"/>
    </row>
    <row r="31" spans="1:10">
      <c r="A31" s="6" t="s">
        <v>1915</v>
      </c>
      <c r="B31" s="7" t="s">
        <v>1797</v>
      </c>
      <c r="C31" s="7" t="s">
        <v>1916</v>
      </c>
      <c r="D31" s="7" t="s">
        <v>1917</v>
      </c>
      <c r="E31" s="7">
        <v>-0.17</v>
      </c>
      <c r="F31" s="7">
        <v>0.76</v>
      </c>
      <c r="G31" s="7" t="s">
        <v>1918</v>
      </c>
      <c r="H31" s="7" t="s">
        <v>1801</v>
      </c>
      <c r="I31" s="6"/>
      <c r="J31" s="6" t="s">
        <v>1919</v>
      </c>
    </row>
    <row r="32" spans="1:10">
      <c r="A32" s="6" t="s">
        <v>1920</v>
      </c>
      <c r="B32" s="7" t="s">
        <v>1814</v>
      </c>
      <c r="C32" s="7" t="s">
        <v>1921</v>
      </c>
      <c r="D32" s="7" t="s">
        <v>1922</v>
      </c>
      <c r="E32" s="7">
        <v>0.04</v>
      </c>
      <c r="F32" s="7">
        <v>0.7</v>
      </c>
      <c r="G32" s="7" t="s">
        <v>1923</v>
      </c>
      <c r="H32" s="7" t="s">
        <v>1785</v>
      </c>
      <c r="I32" s="6" t="s">
        <v>1533</v>
      </c>
      <c r="J32" s="6"/>
    </row>
    <row r="33" spans="1:10">
      <c r="A33" s="6" t="s">
        <v>1924</v>
      </c>
      <c r="B33" s="7" t="s">
        <v>1809</v>
      </c>
      <c r="C33" s="7" t="s">
        <v>1925</v>
      </c>
      <c r="D33" s="7" t="s">
        <v>1926</v>
      </c>
      <c r="E33" s="7">
        <v>-0.11</v>
      </c>
      <c r="F33" s="7">
        <v>0.69</v>
      </c>
      <c r="G33" s="7" t="s">
        <v>1927</v>
      </c>
      <c r="H33" s="7" t="s">
        <v>1785</v>
      </c>
      <c r="I33" s="6" t="s">
        <v>1549</v>
      </c>
      <c r="J33" s="6"/>
    </row>
    <row r="34" spans="1:10">
      <c r="A34" s="6" t="s">
        <v>1928</v>
      </c>
      <c r="B34" s="7" t="s">
        <v>1804</v>
      </c>
      <c r="C34" s="7" t="s">
        <v>1929</v>
      </c>
      <c r="D34" s="7" t="s">
        <v>1930</v>
      </c>
      <c r="E34" s="7">
        <v>0.06</v>
      </c>
      <c r="F34" s="7">
        <v>0.61</v>
      </c>
      <c r="G34" s="7" t="s">
        <v>1931</v>
      </c>
      <c r="H34" s="7" t="s">
        <v>1785</v>
      </c>
      <c r="I34" s="6" t="s">
        <v>1516</v>
      </c>
      <c r="J34" s="6"/>
    </row>
    <row r="35" spans="1:10">
      <c r="A35" s="6" t="s">
        <v>1932</v>
      </c>
      <c r="B35" s="7" t="s">
        <v>1792</v>
      </c>
      <c r="C35" s="7" t="s">
        <v>1933</v>
      </c>
      <c r="D35" s="7" t="s">
        <v>1934</v>
      </c>
      <c r="E35" s="7">
        <v>-0.2</v>
      </c>
      <c r="F35" s="7">
        <v>0.87</v>
      </c>
      <c r="G35" s="7" t="s">
        <v>1935</v>
      </c>
      <c r="H35" s="7" t="s">
        <v>1801</v>
      </c>
      <c r="I35" s="6"/>
      <c r="J35" s="6" t="s">
        <v>1936</v>
      </c>
    </row>
    <row r="36" spans="1:10">
      <c r="A36" s="6" t="s">
        <v>1937</v>
      </c>
      <c r="B36" s="7" t="s">
        <v>1787</v>
      </c>
      <c r="C36" s="7" t="s">
        <v>1938</v>
      </c>
      <c r="D36" s="7" t="s">
        <v>1939</v>
      </c>
      <c r="E36" s="7">
        <v>0.1</v>
      </c>
      <c r="F36" s="7">
        <v>0.65</v>
      </c>
      <c r="G36" s="7" t="s">
        <v>1940</v>
      </c>
      <c r="H36" s="7" t="s">
        <v>1785</v>
      </c>
      <c r="I36" s="6" t="s">
        <v>1516</v>
      </c>
      <c r="J36" s="6"/>
    </row>
    <row r="37" spans="1:10">
      <c r="A37" s="6" t="s">
        <v>1941</v>
      </c>
      <c r="B37" s="7" t="s">
        <v>1797</v>
      </c>
      <c r="C37" s="7" t="s">
        <v>1942</v>
      </c>
      <c r="D37" s="7" t="s">
        <v>1943</v>
      </c>
      <c r="E37" s="7">
        <v>-0.13</v>
      </c>
      <c r="F37" s="7">
        <v>0.8</v>
      </c>
      <c r="G37" s="7" t="s">
        <v>1944</v>
      </c>
      <c r="H37" s="7" t="s">
        <v>1801</v>
      </c>
      <c r="I37" s="6"/>
      <c r="J37" s="6" t="s">
        <v>1945</v>
      </c>
    </row>
    <row r="38" spans="1:10">
      <c r="A38" s="6" t="s">
        <v>1946</v>
      </c>
      <c r="B38" s="7" t="s">
        <v>1781</v>
      </c>
      <c r="C38" s="7" t="s">
        <v>1947</v>
      </c>
      <c r="D38" s="7" t="s">
        <v>1948</v>
      </c>
      <c r="E38" s="7">
        <v>-0.09</v>
      </c>
      <c r="F38" s="7">
        <v>0.73</v>
      </c>
      <c r="G38" s="7" t="s">
        <v>1949</v>
      </c>
      <c r="H38" s="7" t="s">
        <v>1801</v>
      </c>
      <c r="I38" s="6"/>
      <c r="J38" s="6" t="s">
        <v>1950</v>
      </c>
    </row>
    <row r="39" spans="1:10">
      <c r="A39" s="6" t="s">
        <v>1951</v>
      </c>
      <c r="B39" s="7" t="s">
        <v>1814</v>
      </c>
      <c r="C39" s="7" t="s">
        <v>1952</v>
      </c>
      <c r="D39" s="7" t="s">
        <v>1953</v>
      </c>
      <c r="E39" s="7">
        <v>0.23</v>
      </c>
      <c r="F39" s="7">
        <v>0.72</v>
      </c>
      <c r="G39" s="7" t="s">
        <v>1954</v>
      </c>
      <c r="H39" s="7" t="s">
        <v>1785</v>
      </c>
      <c r="I39" s="6" t="s">
        <v>1955</v>
      </c>
      <c r="J39" s="6"/>
    </row>
    <row r="40" spans="1:10">
      <c r="A40" s="6" t="s">
        <v>1956</v>
      </c>
      <c r="B40" s="7" t="s">
        <v>1804</v>
      </c>
      <c r="C40" s="7" t="s">
        <v>1957</v>
      </c>
      <c r="D40" s="7" t="s">
        <v>1958</v>
      </c>
      <c r="E40" s="7">
        <v>0.02</v>
      </c>
      <c r="F40" s="7">
        <v>0.6</v>
      </c>
      <c r="G40" s="7" t="s">
        <v>1959</v>
      </c>
      <c r="H40" s="7" t="s">
        <v>1801</v>
      </c>
      <c r="I40" s="6"/>
      <c r="J40" s="6" t="s">
        <v>1960</v>
      </c>
    </row>
    <row r="41" spans="1:10">
      <c r="A41" s="6" t="s">
        <v>1961</v>
      </c>
      <c r="B41" s="7" t="s">
        <v>1792</v>
      </c>
      <c r="C41" s="7" t="s">
        <v>1962</v>
      </c>
      <c r="D41" s="7" t="s">
        <v>1963</v>
      </c>
      <c r="E41" s="7">
        <v>-7.0000000000000007E-2</v>
      </c>
      <c r="F41" s="7">
        <v>0.84</v>
      </c>
      <c r="G41" s="7" t="s">
        <v>1964</v>
      </c>
      <c r="H41" s="7" t="s">
        <v>1785</v>
      </c>
      <c r="I41" s="6" t="s">
        <v>1516</v>
      </c>
      <c r="J41" s="6"/>
    </row>
    <row r="42" spans="1:10">
      <c r="A42" s="6" t="s">
        <v>1965</v>
      </c>
      <c r="B42" s="7" t="s">
        <v>1809</v>
      </c>
      <c r="C42" s="7" t="s">
        <v>1966</v>
      </c>
      <c r="D42" s="7" t="s">
        <v>1967</v>
      </c>
      <c r="E42" s="7">
        <v>0.25</v>
      </c>
      <c r="F42" s="7">
        <v>0.79</v>
      </c>
      <c r="G42" s="7" t="s">
        <v>1968</v>
      </c>
      <c r="H42" s="7" t="s">
        <v>1785</v>
      </c>
      <c r="I42" s="6" t="s">
        <v>1522</v>
      </c>
      <c r="J42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73A0-24CE-8A48-B918-AFE2FF768CBC}">
  <sheetPr codeName="Sheet12">
    <tabColor rgb="FF92D050"/>
  </sheetPr>
  <dimension ref="A1:G28"/>
  <sheetViews>
    <sheetView workbookViewId="0">
      <selection activeCell="B9" sqref="B9"/>
    </sheetView>
  </sheetViews>
  <sheetFormatPr defaultColWidth="11.5546875" defaultRowHeight="15.95"/>
  <cols>
    <col min="1" max="1" width="27.33203125" bestFit="1" customWidth="1"/>
    <col min="2" max="2" width="22.6640625" bestFit="1" customWidth="1"/>
    <col min="3" max="3" width="23.6640625" bestFit="1" customWidth="1"/>
    <col min="4" max="4" width="15.6640625" bestFit="1" customWidth="1"/>
    <col min="5" max="5" width="14.33203125" bestFit="1" customWidth="1"/>
    <col min="6" max="6" width="8.77734375" bestFit="1" customWidth="1"/>
    <col min="7" max="7" width="19.6640625" bestFit="1" customWidth="1"/>
  </cols>
  <sheetData>
    <row r="1" spans="1:7">
      <c r="A1" s="57" t="s">
        <v>1267</v>
      </c>
      <c r="B1" s="58">
        <f>AVERAGE(F5:F28)</f>
        <v>3201.875</v>
      </c>
      <c r="C1" s="39"/>
      <c r="D1" s="39"/>
      <c r="E1" s="39"/>
      <c r="F1" s="39"/>
      <c r="G1" s="39"/>
    </row>
    <row r="2" spans="1:7">
      <c r="A2" s="57" t="s">
        <v>1268</v>
      </c>
      <c r="B2" s="59">
        <v>0.05</v>
      </c>
      <c r="C2" s="39"/>
      <c r="D2" s="39"/>
      <c r="E2" s="39"/>
      <c r="F2" s="39"/>
      <c r="G2" s="39"/>
    </row>
    <row r="3" spans="1:7">
      <c r="A3" s="60" t="s">
        <v>1269</v>
      </c>
      <c r="B3" s="61">
        <v>24</v>
      </c>
      <c r="C3" s="39"/>
      <c r="D3" s="39"/>
      <c r="E3" s="39"/>
      <c r="F3" s="39"/>
      <c r="G3" s="39"/>
    </row>
    <row r="4" spans="1:7">
      <c r="A4" s="20" t="s">
        <v>1969</v>
      </c>
      <c r="B4" s="26" t="s">
        <v>1970</v>
      </c>
      <c r="C4" s="25" t="s">
        <v>1971</v>
      </c>
      <c r="D4" s="25" t="s">
        <v>1972</v>
      </c>
      <c r="E4" s="25" t="s">
        <v>1973</v>
      </c>
      <c r="F4" s="25" t="s">
        <v>1974</v>
      </c>
      <c r="G4" s="26" t="s">
        <v>1975</v>
      </c>
    </row>
    <row r="5" spans="1:7" ht="15">
      <c r="A5" t="s">
        <v>1976</v>
      </c>
      <c r="B5" t="s">
        <v>430</v>
      </c>
      <c r="C5" s="18">
        <v>46112</v>
      </c>
      <c r="D5" t="s">
        <v>1194</v>
      </c>
      <c r="E5" t="s">
        <v>216</v>
      </c>
      <c r="F5">
        <v>5700</v>
      </c>
      <c r="G5" t="s">
        <v>1977</v>
      </c>
    </row>
    <row r="6" spans="1:7" ht="15">
      <c r="A6" t="s">
        <v>1978</v>
      </c>
      <c r="B6" t="s">
        <v>224</v>
      </c>
      <c r="C6" s="18">
        <v>46112</v>
      </c>
      <c r="D6" t="s">
        <v>1194</v>
      </c>
      <c r="E6" t="s">
        <v>216</v>
      </c>
      <c r="F6">
        <v>5415</v>
      </c>
      <c r="G6" t="s">
        <v>1979</v>
      </c>
    </row>
    <row r="7" spans="1:7" ht="15">
      <c r="A7" t="s">
        <v>1980</v>
      </c>
      <c r="B7" t="s">
        <v>539</v>
      </c>
      <c r="C7" s="18">
        <v>46112</v>
      </c>
      <c r="D7" t="s">
        <v>1194</v>
      </c>
      <c r="E7" t="s">
        <v>216</v>
      </c>
      <c r="F7">
        <v>5130</v>
      </c>
      <c r="G7" t="s">
        <v>1981</v>
      </c>
    </row>
    <row r="8" spans="1:7" ht="15">
      <c r="A8" t="s">
        <v>1982</v>
      </c>
      <c r="B8" t="s">
        <v>227</v>
      </c>
      <c r="C8" s="18">
        <v>46112</v>
      </c>
      <c r="D8" t="s">
        <v>1194</v>
      </c>
      <c r="E8" t="s">
        <v>216</v>
      </c>
      <c r="F8">
        <v>4845</v>
      </c>
      <c r="G8" t="s">
        <v>1983</v>
      </c>
    </row>
    <row r="9" spans="1:7" ht="15">
      <c r="A9" t="s">
        <v>1984</v>
      </c>
      <c r="B9" t="s">
        <v>497</v>
      </c>
      <c r="C9" s="18">
        <v>46112</v>
      </c>
      <c r="D9" t="s">
        <v>1194</v>
      </c>
      <c r="E9" t="s">
        <v>216</v>
      </c>
      <c r="F9">
        <v>3420</v>
      </c>
      <c r="G9" t="s">
        <v>1985</v>
      </c>
    </row>
    <row r="10" spans="1:7" ht="15">
      <c r="A10" t="s">
        <v>1986</v>
      </c>
      <c r="B10" t="s">
        <v>547</v>
      </c>
      <c r="C10" s="18">
        <v>46112</v>
      </c>
      <c r="D10" t="s">
        <v>1194</v>
      </c>
      <c r="E10" t="s">
        <v>216</v>
      </c>
      <c r="F10">
        <v>2280</v>
      </c>
      <c r="G10" t="s">
        <v>1987</v>
      </c>
    </row>
    <row r="11" spans="1:7" ht="15">
      <c r="A11" t="s">
        <v>1988</v>
      </c>
      <c r="B11" t="s">
        <v>430</v>
      </c>
      <c r="C11" s="18">
        <v>46112</v>
      </c>
      <c r="D11" t="s">
        <v>1194</v>
      </c>
      <c r="E11" t="s">
        <v>274</v>
      </c>
      <c r="F11">
        <v>5650</v>
      </c>
      <c r="G11" t="s">
        <v>1977</v>
      </c>
    </row>
    <row r="12" spans="1:7" ht="15">
      <c r="A12" t="s">
        <v>1989</v>
      </c>
      <c r="B12" t="s">
        <v>224</v>
      </c>
      <c r="C12" s="18">
        <v>46112</v>
      </c>
      <c r="D12" t="s">
        <v>1194</v>
      </c>
      <c r="E12" t="s">
        <v>274</v>
      </c>
      <c r="F12">
        <v>5367.5</v>
      </c>
      <c r="G12" t="s">
        <v>1979</v>
      </c>
    </row>
    <row r="13" spans="1:7" ht="15">
      <c r="A13" t="s">
        <v>1990</v>
      </c>
      <c r="B13" t="s">
        <v>539</v>
      </c>
      <c r="C13" s="18">
        <v>46112</v>
      </c>
      <c r="D13" t="s">
        <v>1194</v>
      </c>
      <c r="E13" t="s">
        <v>274</v>
      </c>
      <c r="F13">
        <v>5085</v>
      </c>
      <c r="G13" t="s">
        <v>1981</v>
      </c>
    </row>
    <row r="14" spans="1:7" ht="15">
      <c r="A14" t="s">
        <v>1991</v>
      </c>
      <c r="B14" t="s">
        <v>227</v>
      </c>
      <c r="C14" s="18">
        <v>46112</v>
      </c>
      <c r="D14" t="s">
        <v>1194</v>
      </c>
      <c r="E14" t="s">
        <v>274</v>
      </c>
      <c r="F14">
        <v>4802.5</v>
      </c>
      <c r="G14" t="s">
        <v>1983</v>
      </c>
    </row>
    <row r="15" spans="1:7" ht="15">
      <c r="A15" t="s">
        <v>1992</v>
      </c>
      <c r="B15" t="s">
        <v>497</v>
      </c>
      <c r="C15" s="18">
        <v>46112</v>
      </c>
      <c r="D15" t="s">
        <v>1194</v>
      </c>
      <c r="E15" t="s">
        <v>274</v>
      </c>
      <c r="F15">
        <v>3390</v>
      </c>
      <c r="G15" t="s">
        <v>1985</v>
      </c>
    </row>
    <row r="16" spans="1:7" ht="15">
      <c r="A16" t="s">
        <v>1993</v>
      </c>
      <c r="B16" t="s">
        <v>547</v>
      </c>
      <c r="C16" s="18">
        <v>46112</v>
      </c>
      <c r="D16" t="s">
        <v>1194</v>
      </c>
      <c r="E16" t="s">
        <v>274</v>
      </c>
      <c r="F16">
        <v>2260</v>
      </c>
      <c r="G16" t="s">
        <v>1987</v>
      </c>
    </row>
    <row r="17" spans="1:7">
      <c r="A17" t="s">
        <v>1994</v>
      </c>
      <c r="B17" t="s">
        <v>430</v>
      </c>
      <c r="C17" s="18">
        <v>46112</v>
      </c>
      <c r="D17" t="s">
        <v>1194</v>
      </c>
      <c r="E17" t="s">
        <v>283</v>
      </c>
      <c r="F17">
        <v>3200</v>
      </c>
      <c r="G17" t="s">
        <v>1977</v>
      </c>
    </row>
    <row r="18" spans="1:7">
      <c r="A18" t="s">
        <v>1995</v>
      </c>
      <c r="B18" t="s">
        <v>224</v>
      </c>
      <c r="C18" s="18">
        <v>46112</v>
      </c>
      <c r="D18" t="s">
        <v>1194</v>
      </c>
      <c r="E18" t="s">
        <v>283</v>
      </c>
      <c r="F18">
        <v>3040</v>
      </c>
      <c r="G18" t="s">
        <v>1979</v>
      </c>
    </row>
    <row r="19" spans="1:7">
      <c r="A19" t="s">
        <v>1996</v>
      </c>
      <c r="B19" t="s">
        <v>539</v>
      </c>
      <c r="C19" s="18">
        <v>46112</v>
      </c>
      <c r="D19" t="s">
        <v>1194</v>
      </c>
      <c r="E19" t="s">
        <v>283</v>
      </c>
      <c r="F19">
        <v>2880</v>
      </c>
      <c r="G19" t="s">
        <v>1981</v>
      </c>
    </row>
    <row r="20" spans="1:7">
      <c r="A20" t="s">
        <v>1997</v>
      </c>
      <c r="B20" t="s">
        <v>227</v>
      </c>
      <c r="C20" s="18">
        <v>46112</v>
      </c>
      <c r="D20" t="s">
        <v>1194</v>
      </c>
      <c r="E20" t="s">
        <v>283</v>
      </c>
      <c r="F20">
        <v>2720</v>
      </c>
      <c r="G20" t="s">
        <v>1983</v>
      </c>
    </row>
    <row r="21" spans="1:7">
      <c r="A21" t="s">
        <v>1998</v>
      </c>
      <c r="B21" t="s">
        <v>497</v>
      </c>
      <c r="C21" s="18">
        <v>46112</v>
      </c>
      <c r="D21" t="s">
        <v>1194</v>
      </c>
      <c r="E21" t="s">
        <v>283</v>
      </c>
      <c r="F21">
        <v>1920</v>
      </c>
      <c r="G21" t="s">
        <v>1985</v>
      </c>
    </row>
    <row r="22" spans="1:7">
      <c r="A22" t="s">
        <v>1999</v>
      </c>
      <c r="B22" t="s">
        <v>547</v>
      </c>
      <c r="C22" s="18">
        <v>46112</v>
      </c>
      <c r="D22" t="s">
        <v>1194</v>
      </c>
      <c r="E22" t="s">
        <v>283</v>
      </c>
      <c r="F22">
        <v>1280</v>
      </c>
      <c r="G22" t="s">
        <v>1987</v>
      </c>
    </row>
    <row r="23" spans="1:7">
      <c r="A23" t="s">
        <v>2000</v>
      </c>
      <c r="B23" t="s">
        <v>430</v>
      </c>
      <c r="C23" s="18">
        <v>46112</v>
      </c>
      <c r="D23" t="s">
        <v>1194</v>
      </c>
      <c r="E23" t="s">
        <v>292</v>
      </c>
      <c r="F23">
        <v>1800</v>
      </c>
      <c r="G23" t="s">
        <v>1977</v>
      </c>
    </row>
    <row r="24" spans="1:7">
      <c r="A24" t="s">
        <v>2001</v>
      </c>
      <c r="B24" t="s">
        <v>224</v>
      </c>
      <c r="C24" s="18">
        <v>46112</v>
      </c>
      <c r="D24" t="s">
        <v>1194</v>
      </c>
      <c r="E24" t="s">
        <v>292</v>
      </c>
      <c r="F24">
        <v>1710</v>
      </c>
      <c r="G24" t="s">
        <v>1979</v>
      </c>
    </row>
    <row r="25" spans="1:7">
      <c r="A25" t="s">
        <v>2002</v>
      </c>
      <c r="B25" t="s">
        <v>539</v>
      </c>
      <c r="C25" s="18">
        <v>46112</v>
      </c>
      <c r="D25" t="s">
        <v>1194</v>
      </c>
      <c r="E25" t="s">
        <v>292</v>
      </c>
      <c r="F25">
        <v>1620</v>
      </c>
      <c r="G25" t="s">
        <v>1981</v>
      </c>
    </row>
    <row r="26" spans="1:7">
      <c r="A26" t="s">
        <v>2003</v>
      </c>
      <c r="B26" t="s">
        <v>227</v>
      </c>
      <c r="C26" s="18">
        <v>46112</v>
      </c>
      <c r="D26" t="s">
        <v>1194</v>
      </c>
      <c r="E26" t="s">
        <v>292</v>
      </c>
      <c r="F26">
        <v>1530</v>
      </c>
      <c r="G26" t="s">
        <v>1983</v>
      </c>
    </row>
    <row r="27" spans="1:7">
      <c r="A27" t="s">
        <v>2004</v>
      </c>
      <c r="B27" t="s">
        <v>497</v>
      </c>
      <c r="C27" s="18">
        <v>46112</v>
      </c>
      <c r="D27" t="s">
        <v>1194</v>
      </c>
      <c r="E27" t="s">
        <v>292</v>
      </c>
      <c r="F27">
        <v>1080</v>
      </c>
      <c r="G27" t="s">
        <v>1985</v>
      </c>
    </row>
    <row r="28" spans="1:7">
      <c r="A28" t="s">
        <v>2005</v>
      </c>
      <c r="B28" t="s">
        <v>547</v>
      </c>
      <c r="C28" s="18">
        <v>46112</v>
      </c>
      <c r="D28" t="s">
        <v>1194</v>
      </c>
      <c r="E28" t="s">
        <v>292</v>
      </c>
      <c r="F28">
        <v>720</v>
      </c>
      <c r="G28" t="s">
        <v>1987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65E4-36AD-5C49-A8B0-A4DEE0C9601E}">
  <sheetPr codeName="Sheet11">
    <tabColor rgb="FF92D050"/>
  </sheetPr>
  <dimension ref="A1:F13"/>
  <sheetViews>
    <sheetView workbookViewId="0">
      <selection activeCell="D11" sqref="D11"/>
    </sheetView>
  </sheetViews>
  <sheetFormatPr defaultColWidth="11.5546875" defaultRowHeight="15.95"/>
  <cols>
    <col min="1" max="1" width="28.109375" bestFit="1" customWidth="1"/>
    <col min="2" max="2" width="10.109375" bestFit="1" customWidth="1"/>
    <col min="3" max="3" width="8" bestFit="1" customWidth="1"/>
    <col min="4" max="4" width="27" bestFit="1" customWidth="1"/>
    <col min="5" max="5" width="23.6640625" bestFit="1" customWidth="1"/>
    <col min="6" max="6" width="30.44140625" bestFit="1" customWidth="1"/>
  </cols>
  <sheetData>
    <row r="1" spans="1:6">
      <c r="A1" s="54" t="s">
        <v>2006</v>
      </c>
      <c r="B1" s="55" t="s">
        <v>2007</v>
      </c>
      <c r="C1" s="55" t="s">
        <v>2008</v>
      </c>
      <c r="D1" s="56" t="s">
        <v>2009</v>
      </c>
      <c r="E1" s="55" t="s">
        <v>2010</v>
      </c>
      <c r="F1" s="55" t="s">
        <v>2011</v>
      </c>
    </row>
    <row r="2" spans="1:6">
      <c r="A2" s="52" t="s">
        <v>2012</v>
      </c>
      <c r="B2" s="53" t="s">
        <v>1194</v>
      </c>
      <c r="C2" s="53" t="s">
        <v>2013</v>
      </c>
      <c r="D2" s="52" t="s">
        <v>430</v>
      </c>
      <c r="E2" s="53" t="s">
        <v>2014</v>
      </c>
      <c r="F2" s="53" t="s">
        <v>2015</v>
      </c>
    </row>
    <row r="3" spans="1:6">
      <c r="A3" s="52" t="s">
        <v>2016</v>
      </c>
      <c r="B3" s="53" t="s">
        <v>1194</v>
      </c>
      <c r="C3" s="53" t="s">
        <v>2013</v>
      </c>
      <c r="D3" s="52" t="s">
        <v>224</v>
      </c>
      <c r="E3" s="53" t="s">
        <v>2017</v>
      </c>
      <c r="F3" s="53" t="s">
        <v>2018</v>
      </c>
    </row>
    <row r="4" spans="1:6">
      <c r="A4" s="52" t="s">
        <v>2019</v>
      </c>
      <c r="B4" s="53" t="s">
        <v>1194</v>
      </c>
      <c r="C4" s="53" t="s">
        <v>2013</v>
      </c>
      <c r="D4" s="52" t="s">
        <v>539</v>
      </c>
      <c r="E4" s="53" t="s">
        <v>2020</v>
      </c>
      <c r="F4" s="53" t="s">
        <v>2021</v>
      </c>
    </row>
    <row r="5" spans="1:6">
      <c r="A5" s="52" t="s">
        <v>2022</v>
      </c>
      <c r="B5" s="53" t="s">
        <v>1194</v>
      </c>
      <c r="C5" s="53" t="s">
        <v>2013</v>
      </c>
      <c r="D5" s="52" t="s">
        <v>227</v>
      </c>
      <c r="E5" s="53" t="s">
        <v>2023</v>
      </c>
      <c r="F5" s="53" t="s">
        <v>2024</v>
      </c>
    </row>
    <row r="6" spans="1:6">
      <c r="A6" s="52" t="s">
        <v>2025</v>
      </c>
      <c r="B6" s="53" t="s">
        <v>1194</v>
      </c>
      <c r="C6" s="53" t="s">
        <v>2013</v>
      </c>
      <c r="D6" s="52" t="s">
        <v>430</v>
      </c>
      <c r="E6" s="53" t="s">
        <v>2026</v>
      </c>
      <c r="F6" s="53" t="s">
        <v>2015</v>
      </c>
    </row>
    <row r="7" spans="1:6">
      <c r="A7" s="52" t="s">
        <v>2027</v>
      </c>
      <c r="B7" s="53" t="s">
        <v>1194</v>
      </c>
      <c r="C7" s="53" t="s">
        <v>2013</v>
      </c>
      <c r="D7" s="52" t="s">
        <v>224</v>
      </c>
      <c r="E7" s="53" t="s">
        <v>2028</v>
      </c>
      <c r="F7" s="53" t="s">
        <v>2018</v>
      </c>
    </row>
    <row r="8" spans="1:6">
      <c r="A8" s="52" t="s">
        <v>2029</v>
      </c>
      <c r="B8" s="53" t="s">
        <v>1194</v>
      </c>
      <c r="C8" s="53" t="s">
        <v>2013</v>
      </c>
      <c r="D8" s="52" t="s">
        <v>539</v>
      </c>
      <c r="E8" s="53" t="s">
        <v>2030</v>
      </c>
      <c r="F8" s="53" t="s">
        <v>2021</v>
      </c>
    </row>
    <row r="9" spans="1:6">
      <c r="A9" s="52" t="s">
        <v>2031</v>
      </c>
      <c r="B9" s="53" t="s">
        <v>1194</v>
      </c>
      <c r="C9" s="53" t="s">
        <v>2013</v>
      </c>
      <c r="D9" s="52" t="s">
        <v>227</v>
      </c>
      <c r="E9" s="53" t="s">
        <v>2032</v>
      </c>
      <c r="F9" s="53" t="s">
        <v>2024</v>
      </c>
    </row>
    <row r="10" spans="1:6">
      <c r="A10" s="52" t="s">
        <v>1977</v>
      </c>
      <c r="B10" s="53" t="s">
        <v>1194</v>
      </c>
      <c r="C10" s="53" t="s">
        <v>2013</v>
      </c>
      <c r="D10" s="52" t="s">
        <v>430</v>
      </c>
      <c r="E10" s="53" t="s">
        <v>2033</v>
      </c>
      <c r="F10" s="53" t="s">
        <v>2015</v>
      </c>
    </row>
    <row r="11" spans="1:6">
      <c r="A11" s="52" t="s">
        <v>1979</v>
      </c>
      <c r="B11" s="53" t="s">
        <v>1194</v>
      </c>
      <c r="C11" s="53" t="s">
        <v>2013</v>
      </c>
      <c r="D11" s="52" t="s">
        <v>224</v>
      </c>
      <c r="E11" s="53" t="s">
        <v>2034</v>
      </c>
      <c r="F11" s="53" t="s">
        <v>2018</v>
      </c>
    </row>
    <row r="12" spans="1:6">
      <c r="A12" s="52" t="s">
        <v>1981</v>
      </c>
      <c r="B12" s="53" t="s">
        <v>1194</v>
      </c>
      <c r="C12" s="53" t="s">
        <v>2013</v>
      </c>
      <c r="D12" s="52" t="s">
        <v>539</v>
      </c>
      <c r="E12" s="53" t="s">
        <v>2035</v>
      </c>
      <c r="F12" s="53" t="s">
        <v>2021</v>
      </c>
    </row>
    <row r="13" spans="1:6">
      <c r="A13" s="52" t="s">
        <v>1983</v>
      </c>
      <c r="B13" s="53" t="s">
        <v>1194</v>
      </c>
      <c r="C13" s="53" t="s">
        <v>2013</v>
      </c>
      <c r="D13" s="52" t="s">
        <v>227</v>
      </c>
      <c r="E13" s="53" t="s">
        <v>2036</v>
      </c>
      <c r="F13" s="53" t="s">
        <v>2024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2398-2F55-9C4E-BC01-4BA4AA7C06B9}">
  <sheetPr codeName="Sheet13">
    <tabColor rgb="FF92D050"/>
  </sheetPr>
  <dimension ref="A1:H64"/>
  <sheetViews>
    <sheetView topLeftCell="A55" workbookViewId="0">
      <selection activeCell="D11" sqref="D11"/>
    </sheetView>
  </sheetViews>
  <sheetFormatPr defaultColWidth="11.5546875" defaultRowHeight="15.95"/>
  <cols>
    <col min="1" max="1" width="26.33203125" bestFit="1" customWidth="1"/>
    <col min="2" max="2" width="17.6640625" bestFit="1" customWidth="1"/>
    <col min="3" max="3" width="9" bestFit="1" customWidth="1"/>
    <col min="4" max="4" width="26" bestFit="1" customWidth="1"/>
    <col min="5" max="5" width="11.6640625" customWidth="1"/>
    <col min="6" max="7" width="10.44140625" bestFit="1" customWidth="1"/>
    <col min="8" max="8" width="9.109375" bestFit="1" customWidth="1"/>
  </cols>
  <sheetData>
    <row r="1" spans="1:8">
      <c r="A1" s="33" t="s">
        <v>1267</v>
      </c>
      <c r="B1" s="63">
        <v>378.87</v>
      </c>
    </row>
    <row r="2" spans="1:8">
      <c r="A2" s="33" t="s">
        <v>1268</v>
      </c>
      <c r="B2" s="64">
        <v>0.05</v>
      </c>
    </row>
    <row r="3" spans="1:8">
      <c r="A3" s="33" t="s">
        <v>1269</v>
      </c>
      <c r="B3" s="65">
        <v>60</v>
      </c>
    </row>
    <row r="4" spans="1:8" ht="53.25">
      <c r="A4" s="29" t="s">
        <v>2037</v>
      </c>
      <c r="B4" s="31" t="s">
        <v>1975</v>
      </c>
      <c r="C4" s="62" t="s">
        <v>1973</v>
      </c>
      <c r="D4" s="31" t="s">
        <v>2038</v>
      </c>
      <c r="E4" s="62" t="s">
        <v>2039</v>
      </c>
      <c r="F4" s="62" t="s">
        <v>2040</v>
      </c>
      <c r="G4" s="62" t="s">
        <v>2041</v>
      </c>
      <c r="H4" s="62" t="s">
        <v>2042</v>
      </c>
    </row>
    <row r="5" spans="1:8">
      <c r="A5" s="11" t="s">
        <v>2043</v>
      </c>
      <c r="B5" s="11" t="s">
        <v>1977</v>
      </c>
      <c r="C5" s="5" t="s">
        <v>216</v>
      </c>
      <c r="D5" s="11" t="s">
        <v>2044</v>
      </c>
      <c r="E5" s="45">
        <v>397.12</v>
      </c>
      <c r="F5" s="28">
        <v>46082</v>
      </c>
      <c r="G5" s="28">
        <v>46085</v>
      </c>
      <c r="H5" s="5" t="s">
        <v>2045</v>
      </c>
    </row>
    <row r="6" spans="1:8">
      <c r="A6" s="11" t="s">
        <v>2046</v>
      </c>
      <c r="B6" s="11" t="s">
        <v>1979</v>
      </c>
      <c r="C6" s="5" t="s">
        <v>216</v>
      </c>
      <c r="D6" s="11" t="s">
        <v>2047</v>
      </c>
      <c r="E6" s="45">
        <v>388.64</v>
      </c>
      <c r="F6" s="28">
        <v>46084</v>
      </c>
      <c r="G6" s="28">
        <v>46088</v>
      </c>
      <c r="H6" s="5" t="s">
        <v>2045</v>
      </c>
    </row>
    <row r="7" spans="1:8">
      <c r="A7" s="11" t="s">
        <v>2048</v>
      </c>
      <c r="B7" s="11" t="s">
        <v>1981</v>
      </c>
      <c r="C7" s="5" t="s">
        <v>216</v>
      </c>
      <c r="D7" s="11" t="s">
        <v>2049</v>
      </c>
      <c r="E7" s="45">
        <v>365.84</v>
      </c>
      <c r="F7" s="28">
        <v>46086</v>
      </c>
      <c r="G7" s="28">
        <v>46091</v>
      </c>
      <c r="H7" s="5" t="s">
        <v>2045</v>
      </c>
    </row>
    <row r="8" spans="1:8">
      <c r="A8" s="11" t="s">
        <v>2050</v>
      </c>
      <c r="B8" s="11" t="s">
        <v>2025</v>
      </c>
      <c r="C8" s="5" t="s">
        <v>216</v>
      </c>
      <c r="D8" s="11" t="s">
        <v>2044</v>
      </c>
      <c r="E8" s="45">
        <v>362.13</v>
      </c>
      <c r="F8" s="28">
        <v>46088</v>
      </c>
      <c r="G8" s="28">
        <v>46094</v>
      </c>
      <c r="H8" s="5" t="s">
        <v>2045</v>
      </c>
    </row>
    <row r="9" spans="1:8">
      <c r="A9" s="11" t="s">
        <v>2051</v>
      </c>
      <c r="B9" s="11" t="s">
        <v>2027</v>
      </c>
      <c r="C9" s="5" t="s">
        <v>216</v>
      </c>
      <c r="D9" s="11" t="s">
        <v>2047</v>
      </c>
      <c r="E9" s="45">
        <v>382.95</v>
      </c>
      <c r="F9" s="28">
        <v>46090</v>
      </c>
      <c r="G9" s="28">
        <v>46097</v>
      </c>
      <c r="H9" s="5" t="s">
        <v>2045</v>
      </c>
    </row>
    <row r="10" spans="1:8">
      <c r="A10" s="11" t="s">
        <v>2052</v>
      </c>
      <c r="B10" s="11" t="s">
        <v>2029</v>
      </c>
      <c r="C10" s="5" t="s">
        <v>216</v>
      </c>
      <c r="D10" s="11" t="s">
        <v>2049</v>
      </c>
      <c r="E10" s="45">
        <v>397.79</v>
      </c>
      <c r="F10" s="28">
        <v>46092</v>
      </c>
      <c r="G10" s="28">
        <v>46095</v>
      </c>
      <c r="H10" s="5" t="s">
        <v>2045</v>
      </c>
    </row>
    <row r="11" spans="1:8">
      <c r="A11" s="11" t="s">
        <v>2053</v>
      </c>
      <c r="B11" s="11" t="s">
        <v>1977</v>
      </c>
      <c r="C11" s="5" t="s">
        <v>216</v>
      </c>
      <c r="D11" s="11" t="s">
        <v>2044</v>
      </c>
      <c r="E11" s="45">
        <v>384.91</v>
      </c>
      <c r="F11" s="28">
        <v>46094</v>
      </c>
      <c r="G11" s="28">
        <v>46098</v>
      </c>
      <c r="H11" s="5" t="s">
        <v>2045</v>
      </c>
    </row>
    <row r="12" spans="1:8">
      <c r="A12" s="11" t="s">
        <v>2054</v>
      </c>
      <c r="B12" s="11" t="s">
        <v>1979</v>
      </c>
      <c r="C12" s="5" t="s">
        <v>216</v>
      </c>
      <c r="D12" s="11" t="s">
        <v>2047</v>
      </c>
      <c r="E12" s="45">
        <v>363.19</v>
      </c>
      <c r="F12" s="28">
        <v>46096</v>
      </c>
      <c r="G12" s="28">
        <v>46101</v>
      </c>
      <c r="H12" s="5" t="s">
        <v>2045</v>
      </c>
    </row>
    <row r="13" spans="1:8">
      <c r="A13" s="11" t="s">
        <v>2055</v>
      </c>
      <c r="B13" s="11" t="s">
        <v>1981</v>
      </c>
      <c r="C13" s="5" t="s">
        <v>216</v>
      </c>
      <c r="D13" s="11" t="s">
        <v>2049</v>
      </c>
      <c r="E13" s="45">
        <v>364.44</v>
      </c>
      <c r="F13" s="28">
        <v>46098</v>
      </c>
      <c r="G13" s="28">
        <v>46104</v>
      </c>
      <c r="H13" s="5" t="s">
        <v>2045</v>
      </c>
    </row>
    <row r="14" spans="1:8">
      <c r="A14" s="11" t="s">
        <v>2056</v>
      </c>
      <c r="B14" s="11" t="s">
        <v>2025</v>
      </c>
      <c r="C14" s="5" t="s">
        <v>216</v>
      </c>
      <c r="D14" s="11" t="s">
        <v>2044</v>
      </c>
      <c r="E14" s="45">
        <v>386.83</v>
      </c>
      <c r="F14" s="28">
        <v>46100</v>
      </c>
      <c r="G14" s="28">
        <v>46107</v>
      </c>
      <c r="H14" s="5" t="s">
        <v>2045</v>
      </c>
    </row>
    <row r="15" spans="1:8">
      <c r="A15" s="11" t="s">
        <v>2057</v>
      </c>
      <c r="B15" s="11" t="s">
        <v>2027</v>
      </c>
      <c r="C15" s="5" t="s">
        <v>216</v>
      </c>
      <c r="D15" s="11" t="s">
        <v>2047</v>
      </c>
      <c r="E15" s="45">
        <v>397.56</v>
      </c>
      <c r="F15" s="28">
        <v>46102</v>
      </c>
      <c r="G15" s="28">
        <v>46105</v>
      </c>
      <c r="H15" s="5" t="s">
        <v>2045</v>
      </c>
    </row>
    <row r="16" spans="1:8">
      <c r="A16" s="11" t="s">
        <v>2058</v>
      </c>
      <c r="B16" s="11" t="s">
        <v>2029</v>
      </c>
      <c r="C16" s="5" t="s">
        <v>216</v>
      </c>
      <c r="D16" s="11" t="s">
        <v>2049</v>
      </c>
      <c r="E16" s="45">
        <v>380.91</v>
      </c>
      <c r="F16" s="28">
        <v>46104</v>
      </c>
      <c r="G16" s="28">
        <v>46108</v>
      </c>
      <c r="H16" s="5" t="s">
        <v>2045</v>
      </c>
    </row>
    <row r="17" spans="1:8">
      <c r="A17" s="11" t="s">
        <v>2059</v>
      </c>
      <c r="B17" s="11" t="s">
        <v>1977</v>
      </c>
      <c r="C17" s="5" t="s">
        <v>216</v>
      </c>
      <c r="D17" s="11" t="s">
        <v>2044</v>
      </c>
      <c r="E17" s="45">
        <v>361.27</v>
      </c>
      <c r="F17" s="28">
        <v>46106</v>
      </c>
      <c r="G17" s="28">
        <v>46111</v>
      </c>
      <c r="H17" s="5" t="s">
        <v>2045</v>
      </c>
    </row>
    <row r="18" spans="1:8">
      <c r="A18" s="11" t="s">
        <v>2060</v>
      </c>
      <c r="B18" s="11" t="s">
        <v>1979</v>
      </c>
      <c r="C18" s="5" t="s">
        <v>216</v>
      </c>
      <c r="D18" s="11" t="s">
        <v>2047</v>
      </c>
      <c r="E18" s="45">
        <v>367.41</v>
      </c>
      <c r="F18" s="28">
        <v>46108</v>
      </c>
      <c r="G18" s="28">
        <v>46112</v>
      </c>
      <c r="H18" s="5" t="s">
        <v>2045</v>
      </c>
    </row>
    <row r="19" spans="1:8">
      <c r="A19" s="11" t="s">
        <v>2061</v>
      </c>
      <c r="B19" s="11" t="s">
        <v>1981</v>
      </c>
      <c r="C19" s="5" t="s">
        <v>216</v>
      </c>
      <c r="D19" s="11" t="s">
        <v>2049</v>
      </c>
      <c r="E19" s="45">
        <v>390.34</v>
      </c>
      <c r="F19" s="28">
        <v>46082</v>
      </c>
      <c r="G19" s="28">
        <v>46089</v>
      </c>
      <c r="H19" s="5" t="s">
        <v>2045</v>
      </c>
    </row>
    <row r="20" spans="1:8">
      <c r="A20" s="11" t="s">
        <v>2062</v>
      </c>
      <c r="B20" s="11" t="s">
        <v>2025</v>
      </c>
      <c r="C20" s="5" t="s">
        <v>216</v>
      </c>
      <c r="D20" s="11" t="s">
        <v>2044</v>
      </c>
      <c r="E20" s="45">
        <v>396.46</v>
      </c>
      <c r="F20" s="28">
        <v>46084</v>
      </c>
      <c r="G20" s="28">
        <v>46087</v>
      </c>
      <c r="H20" s="5" t="s">
        <v>2063</v>
      </c>
    </row>
    <row r="21" spans="1:8">
      <c r="A21" s="11" t="s">
        <v>2064</v>
      </c>
      <c r="B21" s="11" t="s">
        <v>2027</v>
      </c>
      <c r="C21" s="5" t="s">
        <v>216</v>
      </c>
      <c r="D21" s="11" t="s">
        <v>2047</v>
      </c>
      <c r="E21" s="45">
        <v>376.81</v>
      </c>
      <c r="F21" s="28">
        <v>46086</v>
      </c>
      <c r="G21" s="28">
        <v>46090</v>
      </c>
      <c r="H21" s="5" t="s">
        <v>2063</v>
      </c>
    </row>
    <row r="22" spans="1:8">
      <c r="A22" s="11" t="s">
        <v>2065</v>
      </c>
      <c r="B22" s="11" t="s">
        <v>2029</v>
      </c>
      <c r="C22" s="5" t="s">
        <v>216</v>
      </c>
      <c r="D22" s="11" t="s">
        <v>2049</v>
      </c>
      <c r="E22" s="45">
        <v>360.17</v>
      </c>
      <c r="F22" s="28">
        <v>46088</v>
      </c>
      <c r="G22" s="28">
        <v>46093</v>
      </c>
      <c r="H22" s="5" t="s">
        <v>2063</v>
      </c>
    </row>
    <row r="23" spans="1:8">
      <c r="A23" s="11" t="s">
        <v>2066</v>
      </c>
      <c r="B23" s="11" t="s">
        <v>1977</v>
      </c>
      <c r="C23" s="5" t="s">
        <v>216</v>
      </c>
      <c r="D23" s="11" t="s">
        <v>2044</v>
      </c>
      <c r="E23" s="45">
        <v>370.93</v>
      </c>
      <c r="F23" s="28">
        <v>46090</v>
      </c>
      <c r="G23" s="28">
        <v>46096</v>
      </c>
      <c r="H23" s="5" t="s">
        <v>2063</v>
      </c>
    </row>
    <row r="24" spans="1:8">
      <c r="A24" s="11" t="s">
        <v>2067</v>
      </c>
      <c r="B24" s="11" t="s">
        <v>1979</v>
      </c>
      <c r="C24" s="5" t="s">
        <v>216</v>
      </c>
      <c r="D24" s="11" t="s">
        <v>2047</v>
      </c>
      <c r="E24" s="45">
        <v>393.32</v>
      </c>
      <c r="F24" s="28">
        <v>46092</v>
      </c>
      <c r="G24" s="28">
        <v>46099</v>
      </c>
      <c r="H24" s="5" t="s">
        <v>2063</v>
      </c>
    </row>
    <row r="25" spans="1:8">
      <c r="A25" s="11" t="s">
        <v>2068</v>
      </c>
      <c r="B25" s="11" t="s">
        <v>1981</v>
      </c>
      <c r="C25" s="5" t="s">
        <v>216</v>
      </c>
      <c r="D25" s="11" t="s">
        <v>2049</v>
      </c>
      <c r="E25" s="45">
        <v>394.54</v>
      </c>
      <c r="F25" s="28">
        <v>46094</v>
      </c>
      <c r="G25" s="28">
        <v>46097</v>
      </c>
      <c r="H25" s="5" t="s">
        <v>2063</v>
      </c>
    </row>
    <row r="26" spans="1:8">
      <c r="A26" s="11" t="s">
        <v>2069</v>
      </c>
      <c r="B26" s="11" t="s">
        <v>2025</v>
      </c>
      <c r="C26" s="5" t="s">
        <v>216</v>
      </c>
      <c r="D26" s="11" t="s">
        <v>2044</v>
      </c>
      <c r="E26" s="45">
        <v>372.81</v>
      </c>
      <c r="F26" s="28">
        <v>46096</v>
      </c>
      <c r="G26" s="28">
        <v>46100</v>
      </c>
      <c r="H26" s="5" t="s">
        <v>2063</v>
      </c>
    </row>
    <row r="27" spans="1:8">
      <c r="A27" s="11" t="s">
        <v>2070</v>
      </c>
      <c r="B27" s="11" t="s">
        <v>2027</v>
      </c>
      <c r="C27" s="5" t="s">
        <v>216</v>
      </c>
      <c r="D27" s="11" t="s">
        <v>2047</v>
      </c>
      <c r="E27" s="45">
        <v>359.96</v>
      </c>
      <c r="F27" s="28">
        <v>46098</v>
      </c>
      <c r="G27" s="28">
        <v>46103</v>
      </c>
      <c r="H27" s="5" t="s">
        <v>2063</v>
      </c>
    </row>
    <row r="28" spans="1:8">
      <c r="A28" s="11" t="s">
        <v>2071</v>
      </c>
      <c r="B28" s="11" t="s">
        <v>2029</v>
      </c>
      <c r="C28" s="5" t="s">
        <v>216</v>
      </c>
      <c r="D28" s="11" t="s">
        <v>2049</v>
      </c>
      <c r="E28" s="45">
        <v>374.81</v>
      </c>
      <c r="F28" s="28">
        <v>46100</v>
      </c>
      <c r="G28" s="28">
        <v>46106</v>
      </c>
      <c r="H28" s="5" t="s">
        <v>2063</v>
      </c>
    </row>
    <row r="29" spans="1:8">
      <c r="A29" s="11" t="s">
        <v>2072</v>
      </c>
      <c r="B29" s="11" t="s">
        <v>1977</v>
      </c>
      <c r="C29" s="5" t="s">
        <v>216</v>
      </c>
      <c r="D29" s="11" t="s">
        <v>2044</v>
      </c>
      <c r="E29" s="45">
        <v>395.61</v>
      </c>
      <c r="F29" s="28">
        <v>46102</v>
      </c>
      <c r="G29" s="28">
        <v>46109</v>
      </c>
      <c r="H29" s="5" t="s">
        <v>2063</v>
      </c>
    </row>
    <row r="30" spans="1:8">
      <c r="A30" s="11" t="s">
        <v>2073</v>
      </c>
      <c r="B30" s="11" t="s">
        <v>1979</v>
      </c>
      <c r="C30" s="5" t="s">
        <v>216</v>
      </c>
      <c r="D30" s="11" t="s">
        <v>2047</v>
      </c>
      <c r="E30" s="45">
        <v>391.89</v>
      </c>
      <c r="F30" s="28">
        <v>46104</v>
      </c>
      <c r="G30" s="28">
        <v>46107</v>
      </c>
      <c r="H30" s="5" t="s">
        <v>2063</v>
      </c>
    </row>
    <row r="31" spans="1:8">
      <c r="A31" s="11" t="s">
        <v>2074</v>
      </c>
      <c r="B31" s="11" t="s">
        <v>1981</v>
      </c>
      <c r="C31" s="5" t="s">
        <v>216</v>
      </c>
      <c r="D31" s="11" t="s">
        <v>2049</v>
      </c>
      <c r="E31" s="45">
        <v>369.09</v>
      </c>
      <c r="F31" s="28">
        <v>46106</v>
      </c>
      <c r="G31" s="28">
        <v>46110</v>
      </c>
      <c r="H31" s="5" t="s">
        <v>2063</v>
      </c>
    </row>
    <row r="32" spans="1:8">
      <c r="A32" s="11" t="s">
        <v>2075</v>
      </c>
      <c r="B32" s="11" t="s">
        <v>2025</v>
      </c>
      <c r="C32" s="5" t="s">
        <v>216</v>
      </c>
      <c r="D32" s="11" t="s">
        <v>2044</v>
      </c>
      <c r="E32" s="45">
        <v>360.62</v>
      </c>
      <c r="F32" s="28">
        <v>46108</v>
      </c>
      <c r="G32" s="28">
        <v>46112</v>
      </c>
      <c r="H32" s="5" t="s">
        <v>2063</v>
      </c>
    </row>
    <row r="33" spans="1:8">
      <c r="A33" s="11" t="s">
        <v>2076</v>
      </c>
      <c r="B33" s="11" t="s">
        <v>2027</v>
      </c>
      <c r="C33" s="5" t="s">
        <v>216</v>
      </c>
      <c r="D33" s="11" t="s">
        <v>2047</v>
      </c>
      <c r="E33" s="45">
        <v>378.89</v>
      </c>
      <c r="F33" s="28">
        <v>46082</v>
      </c>
      <c r="G33" s="28">
        <v>46088</v>
      </c>
      <c r="H33" s="5" t="s">
        <v>2063</v>
      </c>
    </row>
    <row r="34" spans="1:8">
      <c r="A34" s="11" t="s">
        <v>2077</v>
      </c>
      <c r="B34" s="11" t="s">
        <v>2029</v>
      </c>
      <c r="C34" s="5" t="s">
        <v>216</v>
      </c>
      <c r="D34" s="11" t="s">
        <v>2049</v>
      </c>
      <c r="E34" s="45">
        <v>397.13</v>
      </c>
      <c r="F34" s="28">
        <v>46084</v>
      </c>
      <c r="G34" s="28">
        <v>46091</v>
      </c>
      <c r="H34" s="5" t="s">
        <v>2063</v>
      </c>
    </row>
    <row r="35" spans="1:8">
      <c r="A35" s="11" t="s">
        <v>2078</v>
      </c>
      <c r="B35" s="11" t="s">
        <v>1977</v>
      </c>
      <c r="C35" s="5" t="s">
        <v>216</v>
      </c>
      <c r="D35" s="11" t="s">
        <v>2044</v>
      </c>
      <c r="E35" s="45">
        <v>388.62</v>
      </c>
      <c r="F35" s="28">
        <v>46086</v>
      </c>
      <c r="G35" s="28">
        <v>46089</v>
      </c>
      <c r="H35" s="5" t="s">
        <v>2063</v>
      </c>
    </row>
    <row r="36" spans="1:8">
      <c r="A36" s="11" t="s">
        <v>2079</v>
      </c>
      <c r="B36" s="11" t="s">
        <v>1979</v>
      </c>
      <c r="C36" s="5" t="s">
        <v>216</v>
      </c>
      <c r="D36" s="11" t="s">
        <v>2047</v>
      </c>
      <c r="E36" s="45">
        <v>365.83</v>
      </c>
      <c r="F36" s="28">
        <v>46088</v>
      </c>
      <c r="G36" s="28">
        <v>46092</v>
      </c>
      <c r="H36" s="5" t="s">
        <v>2063</v>
      </c>
    </row>
    <row r="37" spans="1:8">
      <c r="A37" s="11" t="s">
        <v>2080</v>
      </c>
      <c r="B37" s="11" t="s">
        <v>1981</v>
      </c>
      <c r="C37" s="5" t="s">
        <v>216</v>
      </c>
      <c r="D37" s="11" t="s">
        <v>2049</v>
      </c>
      <c r="E37" s="45">
        <v>362.14</v>
      </c>
      <c r="F37" s="28">
        <v>46090</v>
      </c>
      <c r="G37" s="28">
        <v>46095</v>
      </c>
      <c r="H37" s="5" t="s">
        <v>2063</v>
      </c>
    </row>
    <row r="38" spans="1:8">
      <c r="A38" s="11" t="s">
        <v>2081</v>
      </c>
      <c r="B38" s="11" t="s">
        <v>2025</v>
      </c>
      <c r="C38" s="5" t="s">
        <v>216</v>
      </c>
      <c r="D38" s="11" t="s">
        <v>2044</v>
      </c>
      <c r="E38" s="45">
        <v>382.96</v>
      </c>
      <c r="F38" s="28">
        <v>46092</v>
      </c>
      <c r="G38" s="28">
        <v>46098</v>
      </c>
      <c r="H38" s="5" t="s">
        <v>2063</v>
      </c>
    </row>
    <row r="39" spans="1:8">
      <c r="A39" s="11" t="s">
        <v>2082</v>
      </c>
      <c r="B39" s="11" t="s">
        <v>2027</v>
      </c>
      <c r="C39" s="5" t="s">
        <v>216</v>
      </c>
      <c r="D39" s="11" t="s">
        <v>2047</v>
      </c>
      <c r="E39" s="45">
        <v>397.79</v>
      </c>
      <c r="F39" s="28">
        <v>46094</v>
      </c>
      <c r="G39" s="28">
        <v>46101</v>
      </c>
      <c r="H39" s="5" t="s">
        <v>2063</v>
      </c>
    </row>
    <row r="40" spans="1:8">
      <c r="A40" s="11" t="s">
        <v>2083</v>
      </c>
      <c r="B40" s="11" t="s">
        <v>2029</v>
      </c>
      <c r="C40" s="5" t="s">
        <v>216</v>
      </c>
      <c r="D40" s="11" t="s">
        <v>2049</v>
      </c>
      <c r="E40" s="45">
        <v>384.9</v>
      </c>
      <c r="F40" s="28">
        <v>46096</v>
      </c>
      <c r="G40" s="28">
        <v>46099</v>
      </c>
      <c r="H40" s="5" t="s">
        <v>2084</v>
      </c>
    </row>
    <row r="41" spans="1:8">
      <c r="A41" s="11" t="s">
        <v>2085</v>
      </c>
      <c r="B41" s="11" t="s">
        <v>1977</v>
      </c>
      <c r="C41" s="5" t="s">
        <v>216</v>
      </c>
      <c r="D41" s="11" t="s">
        <v>2044</v>
      </c>
      <c r="E41" s="45">
        <v>363.18</v>
      </c>
      <c r="F41" s="28">
        <v>46098</v>
      </c>
      <c r="G41" s="28">
        <v>46102</v>
      </c>
      <c r="H41" s="5" t="s">
        <v>2084</v>
      </c>
    </row>
    <row r="42" spans="1:8">
      <c r="A42" s="11" t="s">
        <v>2086</v>
      </c>
      <c r="B42" s="11" t="s">
        <v>1979</v>
      </c>
      <c r="C42" s="5" t="s">
        <v>216</v>
      </c>
      <c r="D42" s="11" t="s">
        <v>2047</v>
      </c>
      <c r="E42" s="45">
        <v>364.45</v>
      </c>
      <c r="F42" s="28">
        <v>46100</v>
      </c>
      <c r="G42" s="28">
        <v>46105</v>
      </c>
      <c r="H42" s="5" t="s">
        <v>2084</v>
      </c>
    </row>
    <row r="43" spans="1:8">
      <c r="A43" s="11" t="s">
        <v>2087</v>
      </c>
      <c r="B43" s="11" t="s">
        <v>1981</v>
      </c>
      <c r="C43" s="5" t="s">
        <v>216</v>
      </c>
      <c r="D43" s="11" t="s">
        <v>2049</v>
      </c>
      <c r="E43" s="45">
        <v>386.84</v>
      </c>
      <c r="F43" s="28">
        <v>46102</v>
      </c>
      <c r="G43" s="28">
        <v>46108</v>
      </c>
      <c r="H43" s="5" t="s">
        <v>2084</v>
      </c>
    </row>
    <row r="44" spans="1:8">
      <c r="A44" s="11" t="s">
        <v>2088</v>
      </c>
      <c r="B44" s="11" t="s">
        <v>2025</v>
      </c>
      <c r="C44" s="5" t="s">
        <v>216</v>
      </c>
      <c r="D44" s="11" t="s">
        <v>2044</v>
      </c>
      <c r="E44" s="45">
        <v>397.56</v>
      </c>
      <c r="F44" s="28">
        <v>46104</v>
      </c>
      <c r="G44" s="28">
        <v>46111</v>
      </c>
      <c r="H44" s="5" t="s">
        <v>2084</v>
      </c>
    </row>
    <row r="45" spans="1:8">
      <c r="A45" s="11" t="s">
        <v>2089</v>
      </c>
      <c r="B45" s="11" t="s">
        <v>2027</v>
      </c>
      <c r="C45" s="5" t="s">
        <v>216</v>
      </c>
      <c r="D45" s="11" t="s">
        <v>2047</v>
      </c>
      <c r="E45" s="45">
        <v>380.89</v>
      </c>
      <c r="F45" s="28">
        <v>46106</v>
      </c>
      <c r="G45" s="28">
        <v>46109</v>
      </c>
      <c r="H45" s="5" t="s">
        <v>2084</v>
      </c>
    </row>
    <row r="46" spans="1:8">
      <c r="A46" s="11" t="s">
        <v>2090</v>
      </c>
      <c r="B46" s="11" t="s">
        <v>2029</v>
      </c>
      <c r="C46" s="5" t="s">
        <v>216</v>
      </c>
      <c r="D46" s="11" t="s">
        <v>2049</v>
      </c>
      <c r="E46" s="45">
        <v>361.26</v>
      </c>
      <c r="F46" s="28">
        <v>46108</v>
      </c>
      <c r="G46" s="28">
        <v>46112</v>
      </c>
      <c r="H46" s="5" t="s">
        <v>2084</v>
      </c>
    </row>
    <row r="47" spans="1:8">
      <c r="A47" s="11" t="s">
        <v>2091</v>
      </c>
      <c r="B47" s="11" t="s">
        <v>1983</v>
      </c>
      <c r="C47" s="5" t="s">
        <v>274</v>
      </c>
      <c r="D47" s="11" t="s">
        <v>2092</v>
      </c>
      <c r="E47" s="45">
        <v>367.43</v>
      </c>
      <c r="F47" s="28">
        <v>46082</v>
      </c>
      <c r="G47" s="28">
        <v>46087</v>
      </c>
      <c r="H47" s="5" t="s">
        <v>2084</v>
      </c>
    </row>
    <row r="48" spans="1:8">
      <c r="A48" s="11" t="s">
        <v>2093</v>
      </c>
      <c r="B48" s="11" t="s">
        <v>2031</v>
      </c>
      <c r="C48" s="5" t="s">
        <v>274</v>
      </c>
      <c r="D48" s="11" t="s">
        <v>2094</v>
      </c>
      <c r="E48" s="45">
        <v>390.35</v>
      </c>
      <c r="F48" s="28">
        <v>46084</v>
      </c>
      <c r="G48" s="28">
        <v>46090</v>
      </c>
      <c r="H48" s="5" t="s">
        <v>2084</v>
      </c>
    </row>
    <row r="49" spans="1:8">
      <c r="A49" s="11" t="s">
        <v>2095</v>
      </c>
      <c r="B49" s="11" t="s">
        <v>1983</v>
      </c>
      <c r="C49" s="5" t="s">
        <v>274</v>
      </c>
      <c r="D49" s="11" t="s">
        <v>2096</v>
      </c>
      <c r="E49" s="45">
        <v>396.46</v>
      </c>
      <c r="F49" s="28">
        <v>46086</v>
      </c>
      <c r="G49" s="28">
        <v>46093</v>
      </c>
      <c r="H49" s="5" t="s">
        <v>2084</v>
      </c>
    </row>
    <row r="50" spans="1:8">
      <c r="A50" s="11" t="s">
        <v>2097</v>
      </c>
      <c r="B50" s="11" t="s">
        <v>2031</v>
      </c>
      <c r="C50" s="5" t="s">
        <v>274</v>
      </c>
      <c r="D50" s="11" t="s">
        <v>2098</v>
      </c>
      <c r="E50" s="45">
        <v>376.8</v>
      </c>
      <c r="F50" s="28">
        <v>46088</v>
      </c>
      <c r="G50" s="28">
        <v>46091</v>
      </c>
      <c r="H50" s="5" t="s">
        <v>2084</v>
      </c>
    </row>
    <row r="51" spans="1:8">
      <c r="A51" s="11" t="s">
        <v>2099</v>
      </c>
      <c r="B51" s="11" t="s">
        <v>1983</v>
      </c>
      <c r="C51" s="5" t="s">
        <v>274</v>
      </c>
      <c r="D51" s="11" t="s">
        <v>2092</v>
      </c>
      <c r="E51" s="45">
        <v>360.17</v>
      </c>
      <c r="F51" s="28">
        <v>46090</v>
      </c>
      <c r="G51" s="28">
        <v>46094</v>
      </c>
      <c r="H51" s="5" t="s">
        <v>2084</v>
      </c>
    </row>
    <row r="52" spans="1:8">
      <c r="A52" s="11" t="s">
        <v>2100</v>
      </c>
      <c r="B52" s="11" t="s">
        <v>2031</v>
      </c>
      <c r="C52" s="5" t="s">
        <v>274</v>
      </c>
      <c r="D52" s="11" t="s">
        <v>2094</v>
      </c>
      <c r="E52" s="45">
        <v>370.94</v>
      </c>
      <c r="F52" s="28">
        <v>46092</v>
      </c>
      <c r="G52" s="28">
        <v>46097</v>
      </c>
      <c r="H52" s="5" t="s">
        <v>2084</v>
      </c>
    </row>
    <row r="53" spans="1:8">
      <c r="A53" s="11" t="s">
        <v>2101</v>
      </c>
      <c r="B53" s="11" t="s">
        <v>1983</v>
      </c>
      <c r="C53" s="5" t="s">
        <v>274</v>
      </c>
      <c r="D53" s="11" t="s">
        <v>2096</v>
      </c>
      <c r="E53" s="45">
        <v>393.33</v>
      </c>
      <c r="F53" s="28">
        <v>46094</v>
      </c>
      <c r="G53" s="28">
        <v>46100</v>
      </c>
      <c r="H53" s="5" t="s">
        <v>2084</v>
      </c>
    </row>
    <row r="54" spans="1:8">
      <c r="A54" s="11" t="s">
        <v>2102</v>
      </c>
      <c r="B54" s="11" t="s">
        <v>2031</v>
      </c>
      <c r="C54" s="5" t="s">
        <v>274</v>
      </c>
      <c r="D54" s="11" t="s">
        <v>2098</v>
      </c>
      <c r="E54" s="45">
        <v>394.53</v>
      </c>
      <c r="F54" s="28">
        <v>46096</v>
      </c>
      <c r="G54" s="28">
        <v>46103</v>
      </c>
      <c r="H54" s="5" t="s">
        <v>2084</v>
      </c>
    </row>
    <row r="55" spans="1:8">
      <c r="A55" s="11" t="s">
        <v>2103</v>
      </c>
      <c r="B55" s="11" t="s">
        <v>1983</v>
      </c>
      <c r="C55" s="5" t="s">
        <v>274</v>
      </c>
      <c r="D55" s="11" t="s">
        <v>2092</v>
      </c>
      <c r="E55" s="45">
        <v>372.79</v>
      </c>
      <c r="F55" s="28">
        <v>46098</v>
      </c>
      <c r="G55" s="28">
        <v>46101</v>
      </c>
      <c r="H55" s="5" t="s">
        <v>2084</v>
      </c>
    </row>
    <row r="56" spans="1:8">
      <c r="A56" s="11" t="s">
        <v>2104</v>
      </c>
      <c r="B56" s="11" t="s">
        <v>2031</v>
      </c>
      <c r="C56" s="5" t="s">
        <v>274</v>
      </c>
      <c r="D56" s="11" t="s">
        <v>2094</v>
      </c>
      <c r="E56" s="45">
        <v>359.96</v>
      </c>
      <c r="F56" s="28">
        <v>46100</v>
      </c>
      <c r="G56" s="28">
        <v>46104</v>
      </c>
      <c r="H56" s="5" t="s">
        <v>2084</v>
      </c>
    </row>
    <row r="57" spans="1:8">
      <c r="A57" s="11" t="s">
        <v>2105</v>
      </c>
      <c r="B57" s="11" t="s">
        <v>1983</v>
      </c>
      <c r="C57" s="5" t="s">
        <v>274</v>
      </c>
      <c r="D57" s="11" t="s">
        <v>2096</v>
      </c>
      <c r="E57" s="45">
        <v>374.83</v>
      </c>
      <c r="F57" s="28">
        <v>46102</v>
      </c>
      <c r="G57" s="28">
        <v>46107</v>
      </c>
      <c r="H57" s="5" t="s">
        <v>2084</v>
      </c>
    </row>
    <row r="58" spans="1:8">
      <c r="A58" s="11" t="s">
        <v>2106</v>
      </c>
      <c r="B58" s="11" t="s">
        <v>2031</v>
      </c>
      <c r="C58" s="5" t="s">
        <v>274</v>
      </c>
      <c r="D58" s="11" t="s">
        <v>2098</v>
      </c>
      <c r="E58" s="45">
        <v>395.62</v>
      </c>
      <c r="F58" s="28">
        <v>46104</v>
      </c>
      <c r="G58" s="28">
        <v>46110</v>
      </c>
      <c r="H58" s="5" t="s">
        <v>2084</v>
      </c>
    </row>
    <row r="59" spans="1:8">
      <c r="A59" s="11" t="s">
        <v>2107</v>
      </c>
      <c r="B59" s="11" t="s">
        <v>1983</v>
      </c>
      <c r="C59" s="5" t="s">
        <v>274</v>
      </c>
      <c r="D59" s="11" t="s">
        <v>2092</v>
      </c>
      <c r="E59" s="45">
        <v>391.87</v>
      </c>
      <c r="F59" s="28">
        <v>46106</v>
      </c>
      <c r="G59" s="28">
        <v>46112</v>
      </c>
      <c r="H59" s="5" t="s">
        <v>2084</v>
      </c>
    </row>
    <row r="60" spans="1:8">
      <c r="A60" s="11" t="s">
        <v>2108</v>
      </c>
      <c r="B60" s="11" t="s">
        <v>2031</v>
      </c>
      <c r="C60" s="5" t="s">
        <v>274</v>
      </c>
      <c r="D60" s="11" t="s">
        <v>2094</v>
      </c>
      <c r="E60" s="45">
        <v>369.08</v>
      </c>
      <c r="F60" s="28">
        <v>46108</v>
      </c>
      <c r="G60" s="28">
        <v>46111</v>
      </c>
      <c r="H60" s="5" t="s">
        <v>2084</v>
      </c>
    </row>
    <row r="61" spans="1:8">
      <c r="A61" s="11" t="s">
        <v>2109</v>
      </c>
      <c r="B61" s="11" t="s">
        <v>1983</v>
      </c>
      <c r="C61" s="5" t="s">
        <v>274</v>
      </c>
      <c r="D61" s="11" t="s">
        <v>2096</v>
      </c>
      <c r="E61" s="45">
        <v>360.63</v>
      </c>
      <c r="F61" s="28">
        <v>46082</v>
      </c>
      <c r="G61" s="28">
        <v>46086</v>
      </c>
      <c r="H61" s="5" t="s">
        <v>2084</v>
      </c>
    </row>
    <row r="62" spans="1:8">
      <c r="A62" s="11" t="s">
        <v>2110</v>
      </c>
      <c r="B62" s="11" t="s">
        <v>2031</v>
      </c>
      <c r="C62" s="5" t="s">
        <v>274</v>
      </c>
      <c r="D62" s="11" t="s">
        <v>2098</v>
      </c>
      <c r="E62" s="45">
        <v>378.9</v>
      </c>
      <c r="F62" s="28">
        <v>46084</v>
      </c>
      <c r="G62" s="28">
        <v>46089</v>
      </c>
      <c r="H62" s="5" t="s">
        <v>2084</v>
      </c>
    </row>
    <row r="63" spans="1:8">
      <c r="A63" s="11" t="s">
        <v>2111</v>
      </c>
      <c r="B63" s="11" t="s">
        <v>1983</v>
      </c>
      <c r="C63" s="5" t="s">
        <v>274</v>
      </c>
      <c r="D63" s="11" t="s">
        <v>2092</v>
      </c>
      <c r="E63" s="45">
        <v>397.13</v>
      </c>
      <c r="F63" s="28">
        <v>46086</v>
      </c>
      <c r="G63" s="28">
        <v>46092</v>
      </c>
      <c r="H63" s="5" t="s">
        <v>2084</v>
      </c>
    </row>
    <row r="64" spans="1:8">
      <c r="A64" s="11" t="s">
        <v>2112</v>
      </c>
      <c r="B64" s="11" t="s">
        <v>2031</v>
      </c>
      <c r="C64" s="5" t="s">
        <v>274</v>
      </c>
      <c r="D64" s="11" t="s">
        <v>2094</v>
      </c>
      <c r="E64" s="45">
        <v>360.45</v>
      </c>
      <c r="F64" s="28">
        <v>46088</v>
      </c>
      <c r="G64" s="28">
        <v>46095</v>
      </c>
      <c r="H64" s="5" t="s">
        <v>2084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0E48-609D-194C-8ADB-118B15D76ECD}">
  <sheetPr codeName="Sheet14">
    <tabColor rgb="FF92D050"/>
  </sheetPr>
  <dimension ref="A1:M154"/>
  <sheetViews>
    <sheetView workbookViewId="0">
      <selection activeCell="E30" sqref="E30"/>
    </sheetView>
  </sheetViews>
  <sheetFormatPr defaultColWidth="11.5546875" defaultRowHeight="15.95"/>
  <cols>
    <col min="1" max="1" width="26.33203125" bestFit="1" customWidth="1"/>
    <col min="2" max="2" width="27.33203125" bestFit="1" customWidth="1"/>
    <col min="3" max="3" width="14.33203125" bestFit="1" customWidth="1"/>
    <col min="4" max="4" width="20.44140625" bestFit="1" customWidth="1"/>
    <col min="5" max="5" width="21.109375" bestFit="1" customWidth="1"/>
    <col min="6" max="6" width="11.6640625" bestFit="1" customWidth="1"/>
    <col min="7" max="7" width="21.109375" bestFit="1" customWidth="1"/>
    <col min="8" max="8" width="19.33203125" bestFit="1" customWidth="1"/>
    <col min="9" max="9" width="5" bestFit="1" customWidth="1"/>
    <col min="10" max="10" width="18.109375" bestFit="1" customWidth="1"/>
    <col min="11" max="11" width="30.6640625" bestFit="1" customWidth="1"/>
    <col min="12" max="12" width="7.77734375" bestFit="1" customWidth="1"/>
    <col min="13" max="13" width="72.33203125" bestFit="1" customWidth="1"/>
  </cols>
  <sheetData>
    <row r="1" spans="1:13">
      <c r="A1" s="33" t="s">
        <v>1267</v>
      </c>
      <c r="B1" s="63">
        <v>159.12</v>
      </c>
    </row>
    <row r="2" spans="1:13">
      <c r="A2" s="33" t="s">
        <v>1268</v>
      </c>
      <c r="B2" s="64">
        <v>0.1</v>
      </c>
    </row>
    <row r="3" spans="1:13">
      <c r="A3" s="33" t="s">
        <v>1269</v>
      </c>
      <c r="B3" s="33">
        <v>150</v>
      </c>
    </row>
    <row r="4" spans="1:13">
      <c r="A4" s="20" t="s">
        <v>2113</v>
      </c>
      <c r="B4" s="26" t="s">
        <v>2114</v>
      </c>
      <c r="C4" s="25" t="s">
        <v>2115</v>
      </c>
      <c r="D4" s="26" t="s">
        <v>201</v>
      </c>
      <c r="E4" s="25" t="s">
        <v>2116</v>
      </c>
      <c r="F4" s="25" t="s">
        <v>2117</v>
      </c>
      <c r="G4" s="25" t="s">
        <v>2118</v>
      </c>
      <c r="H4" s="25" t="s">
        <v>2119</v>
      </c>
      <c r="I4" s="25" t="s">
        <v>414</v>
      </c>
      <c r="J4" s="25" t="s">
        <v>2120</v>
      </c>
      <c r="K4" s="25" t="s">
        <v>2121</v>
      </c>
      <c r="L4" s="25" t="s">
        <v>2122</v>
      </c>
      <c r="M4" s="25" t="s">
        <v>421</v>
      </c>
    </row>
    <row r="5" spans="1:13">
      <c r="A5" s="11" t="s">
        <v>2123</v>
      </c>
      <c r="B5" s="11" t="s">
        <v>2043</v>
      </c>
      <c r="C5" s="5" t="s">
        <v>216</v>
      </c>
      <c r="D5" s="11" t="s">
        <v>2124</v>
      </c>
      <c r="E5" s="45">
        <v>213.18</v>
      </c>
      <c r="F5" s="45">
        <v>38.18</v>
      </c>
      <c r="G5" s="45">
        <v>7.91</v>
      </c>
      <c r="H5" s="45">
        <f>MAX(0,E5-F5-G5)</f>
        <v>167.09</v>
      </c>
      <c r="I5" s="5" t="s">
        <v>425</v>
      </c>
      <c r="J5" s="5">
        <v>8</v>
      </c>
      <c r="K5" s="28">
        <v>46074</v>
      </c>
      <c r="L5" s="5" t="s">
        <v>2125</v>
      </c>
      <c r="M5" s="5" t="s">
        <v>2126</v>
      </c>
    </row>
    <row r="6" spans="1:13">
      <c r="A6" s="11" t="s">
        <v>2127</v>
      </c>
      <c r="B6" s="11" t="s">
        <v>2046</v>
      </c>
      <c r="C6" s="5" t="s">
        <v>216</v>
      </c>
      <c r="D6" s="11" t="s">
        <v>2128</v>
      </c>
      <c r="E6" s="45">
        <v>241.01</v>
      </c>
      <c r="F6" s="45">
        <v>38.74</v>
      </c>
      <c r="G6" s="45">
        <v>46.34</v>
      </c>
      <c r="H6" s="45">
        <f>MAX(0,E6-F6-G6)</f>
        <v>155.92999999999998</v>
      </c>
      <c r="I6" s="5" t="s">
        <v>425</v>
      </c>
      <c r="J6" s="5">
        <v>9</v>
      </c>
      <c r="K6" s="28">
        <v>46074</v>
      </c>
      <c r="L6" s="5" t="s">
        <v>2125</v>
      </c>
      <c r="M6" s="5" t="s">
        <v>2129</v>
      </c>
    </row>
    <row r="7" spans="1:13">
      <c r="A7" s="11" t="s">
        <v>2130</v>
      </c>
      <c r="B7" s="11" t="s">
        <v>2048</v>
      </c>
      <c r="C7" s="5" t="s">
        <v>216</v>
      </c>
      <c r="D7" s="11" t="s">
        <v>176</v>
      </c>
      <c r="E7" s="45">
        <v>242.45</v>
      </c>
      <c r="F7" s="45">
        <v>18.47</v>
      </c>
      <c r="G7" s="45">
        <v>47.59</v>
      </c>
      <c r="H7" s="45">
        <f>MAX(0,E7-F7-G7)</f>
        <v>176.39</v>
      </c>
      <c r="I7" s="5" t="s">
        <v>425</v>
      </c>
      <c r="J7" s="5">
        <v>5</v>
      </c>
      <c r="K7" s="28">
        <v>46079</v>
      </c>
      <c r="L7" s="5" t="s">
        <v>2125</v>
      </c>
      <c r="M7" s="5" t="s">
        <v>2131</v>
      </c>
    </row>
    <row r="8" spans="1:13">
      <c r="A8" s="11" t="s">
        <v>2132</v>
      </c>
      <c r="B8" s="11" t="s">
        <v>2050</v>
      </c>
      <c r="C8" s="5" t="s">
        <v>216</v>
      </c>
      <c r="D8" s="11" t="s">
        <v>150</v>
      </c>
      <c r="E8" s="45">
        <v>185.4</v>
      </c>
      <c r="F8" s="45">
        <v>7.56</v>
      </c>
      <c r="G8" s="45">
        <v>6.47</v>
      </c>
      <c r="H8" s="45">
        <f>MAX(0,E8-F8-G8)</f>
        <v>171.37</v>
      </c>
      <c r="I8" s="5" t="s">
        <v>425</v>
      </c>
      <c r="J8" s="5">
        <v>7</v>
      </c>
      <c r="K8" s="28">
        <v>46078</v>
      </c>
      <c r="L8" s="5" t="s">
        <v>2125</v>
      </c>
      <c r="M8" s="5" t="s">
        <v>2133</v>
      </c>
    </row>
    <row r="9" spans="1:13">
      <c r="A9" s="11" t="s">
        <v>2134</v>
      </c>
      <c r="B9" s="11" t="s">
        <v>2051</v>
      </c>
      <c r="C9" s="5" t="s">
        <v>216</v>
      </c>
      <c r="D9" s="11" t="s">
        <v>2124</v>
      </c>
      <c r="E9" s="45">
        <v>235.34</v>
      </c>
      <c r="F9" s="45">
        <v>63.83</v>
      </c>
      <c r="G9" s="45">
        <v>6.98</v>
      </c>
      <c r="H9" s="45">
        <f>MAX(0,E9-F9-G9)</f>
        <v>164.53</v>
      </c>
      <c r="I9" s="5" t="s">
        <v>425</v>
      </c>
      <c r="J9" s="5">
        <v>8</v>
      </c>
      <c r="K9" s="28">
        <v>46078</v>
      </c>
      <c r="L9" s="5" t="s">
        <v>2125</v>
      </c>
      <c r="M9" s="5" t="s">
        <v>2126</v>
      </c>
    </row>
    <row r="10" spans="1:13">
      <c r="A10" s="11" t="s">
        <v>2135</v>
      </c>
      <c r="B10" s="11" t="s">
        <v>2052</v>
      </c>
      <c r="C10" s="5" t="s">
        <v>216</v>
      </c>
      <c r="D10" s="11" t="s">
        <v>2124</v>
      </c>
      <c r="E10" s="45">
        <v>183.23</v>
      </c>
      <c r="F10" s="45">
        <v>10.029999999999999</v>
      </c>
      <c r="G10" s="45">
        <v>14.36</v>
      </c>
      <c r="H10" s="45">
        <f>MAX(0,E10-F10-G10)</f>
        <v>158.83999999999997</v>
      </c>
      <c r="I10" s="5" t="s">
        <v>425</v>
      </c>
      <c r="J10" s="5">
        <v>8</v>
      </c>
      <c r="K10" s="28">
        <v>46079</v>
      </c>
      <c r="L10" s="5" t="s">
        <v>2125</v>
      </c>
      <c r="M10" s="5" t="s">
        <v>2126</v>
      </c>
    </row>
    <row r="11" spans="1:13">
      <c r="A11" s="11" t="s">
        <v>2136</v>
      </c>
      <c r="B11" s="11" t="s">
        <v>2053</v>
      </c>
      <c r="C11" s="5" t="s">
        <v>216</v>
      </c>
      <c r="D11" s="11" t="s">
        <v>152</v>
      </c>
      <c r="E11" s="45">
        <v>226.02</v>
      </c>
      <c r="F11" s="45">
        <v>40.36</v>
      </c>
      <c r="G11" s="45">
        <v>11.3</v>
      </c>
      <c r="H11" s="45">
        <f>MAX(0,E11-F11-G11)</f>
        <v>174.36</v>
      </c>
      <c r="I11" s="5" t="s">
        <v>425</v>
      </c>
      <c r="J11" s="5">
        <v>10</v>
      </c>
      <c r="K11" s="28">
        <v>46078</v>
      </c>
      <c r="L11" s="5" t="s">
        <v>2125</v>
      </c>
      <c r="M11" s="5" t="s">
        <v>2137</v>
      </c>
    </row>
    <row r="12" spans="1:13">
      <c r="A12" s="11" t="s">
        <v>2138</v>
      </c>
      <c r="B12" s="11" t="s">
        <v>2054</v>
      </c>
      <c r="C12" s="5" t="s">
        <v>274</v>
      </c>
      <c r="D12" s="11" t="s">
        <v>2139</v>
      </c>
      <c r="E12" s="45">
        <v>252.93</v>
      </c>
      <c r="F12" s="45">
        <v>52.28</v>
      </c>
      <c r="G12" s="45">
        <v>36.729999999999997</v>
      </c>
      <c r="H12" s="45">
        <f>MAX(0,E12-F12-G12)</f>
        <v>163.92000000000002</v>
      </c>
      <c r="I12" s="5" t="s">
        <v>425</v>
      </c>
      <c r="J12" s="5">
        <v>0</v>
      </c>
      <c r="K12" s="28">
        <v>46089</v>
      </c>
      <c r="L12" s="5" t="s">
        <v>2125</v>
      </c>
      <c r="M12" s="5" t="s">
        <v>2140</v>
      </c>
    </row>
    <row r="13" spans="1:13">
      <c r="A13" s="11" t="s">
        <v>2141</v>
      </c>
      <c r="B13" s="11" t="s">
        <v>2055</v>
      </c>
      <c r="C13" s="5" t="s">
        <v>216</v>
      </c>
      <c r="D13" s="11" t="s">
        <v>155</v>
      </c>
      <c r="E13" s="45">
        <v>245.79</v>
      </c>
      <c r="F13" s="45">
        <v>60.01</v>
      </c>
      <c r="G13" s="45">
        <v>0.52</v>
      </c>
      <c r="H13" s="45">
        <f>MAX(0,E13-F13-G13)</f>
        <v>185.26</v>
      </c>
      <c r="I13" s="5" t="s">
        <v>425</v>
      </c>
      <c r="J13" s="5">
        <v>14</v>
      </c>
      <c r="K13" s="28">
        <v>46076</v>
      </c>
      <c r="L13" s="5" t="s">
        <v>2125</v>
      </c>
      <c r="M13" s="5" t="s">
        <v>2142</v>
      </c>
    </row>
    <row r="14" spans="1:13">
      <c r="A14" s="11" t="s">
        <v>2143</v>
      </c>
      <c r="B14" s="11" t="s">
        <v>2056</v>
      </c>
      <c r="C14" s="5" t="s">
        <v>216</v>
      </c>
      <c r="D14" s="11" t="s">
        <v>2124</v>
      </c>
      <c r="E14" s="45">
        <v>245.63</v>
      </c>
      <c r="F14" s="45">
        <v>65.97</v>
      </c>
      <c r="G14" s="45">
        <v>2.73</v>
      </c>
      <c r="H14" s="45">
        <f>MAX(0,E14-F14-G14)</f>
        <v>176.93</v>
      </c>
      <c r="I14" s="5" t="s">
        <v>425</v>
      </c>
      <c r="J14" s="5">
        <v>8</v>
      </c>
      <c r="K14" s="28">
        <v>46083</v>
      </c>
      <c r="L14" s="5" t="s">
        <v>2125</v>
      </c>
      <c r="M14" s="5" t="s">
        <v>2126</v>
      </c>
    </row>
    <row r="15" spans="1:13">
      <c r="A15" s="11" t="s">
        <v>2144</v>
      </c>
      <c r="B15" s="11" t="s">
        <v>2057</v>
      </c>
      <c r="C15" s="5" t="s">
        <v>274</v>
      </c>
      <c r="D15" s="11" t="s">
        <v>2139</v>
      </c>
      <c r="E15" s="45">
        <v>220.07</v>
      </c>
      <c r="F15" s="45">
        <v>26.28</v>
      </c>
      <c r="G15" s="45">
        <v>40.67</v>
      </c>
      <c r="H15" s="45">
        <f>MAX(0,E15-F15-G15)</f>
        <v>153.12</v>
      </c>
      <c r="I15" s="5" t="s">
        <v>425</v>
      </c>
      <c r="J15" s="5">
        <v>0</v>
      </c>
      <c r="K15" s="28">
        <v>46092</v>
      </c>
      <c r="L15" s="5" t="s">
        <v>2125</v>
      </c>
      <c r="M15" s="5" t="s">
        <v>2140</v>
      </c>
    </row>
    <row r="16" spans="1:13">
      <c r="A16" s="11" t="s">
        <v>2145</v>
      </c>
      <c r="B16" s="11" t="s">
        <v>2058</v>
      </c>
      <c r="C16" s="5" t="s">
        <v>216</v>
      </c>
      <c r="D16" s="11" t="s">
        <v>180</v>
      </c>
      <c r="E16" s="45">
        <v>212.33</v>
      </c>
      <c r="F16" s="45">
        <v>6.66</v>
      </c>
      <c r="G16" s="45">
        <v>42.23</v>
      </c>
      <c r="H16" s="45">
        <f>MAX(0,E16-F16-G16)</f>
        <v>163.44000000000003</v>
      </c>
      <c r="I16" s="5" t="s">
        <v>425</v>
      </c>
      <c r="J16" s="5">
        <v>8</v>
      </c>
      <c r="K16" s="28">
        <v>46085</v>
      </c>
      <c r="L16" s="5" t="s">
        <v>2125</v>
      </c>
      <c r="M16" s="5" t="s">
        <v>2146</v>
      </c>
    </row>
    <row r="17" spans="1:13">
      <c r="A17" s="11" t="s">
        <v>2147</v>
      </c>
      <c r="B17" s="11" t="s">
        <v>2059</v>
      </c>
      <c r="C17" s="5" t="s">
        <v>283</v>
      </c>
      <c r="D17" s="11" t="s">
        <v>160</v>
      </c>
      <c r="E17" s="45">
        <v>191.82</v>
      </c>
      <c r="F17" s="45">
        <v>52.05</v>
      </c>
      <c r="G17" s="45">
        <v>11.86</v>
      </c>
      <c r="H17" s="45">
        <f>MAX(0,E17-F17-G17)</f>
        <v>127.90999999999998</v>
      </c>
      <c r="I17" s="5" t="s">
        <v>425</v>
      </c>
      <c r="J17" s="5">
        <v>30</v>
      </c>
      <c r="K17" s="28">
        <v>46064</v>
      </c>
      <c r="L17" s="5" t="s">
        <v>2148</v>
      </c>
      <c r="M17" s="5" t="s">
        <v>2149</v>
      </c>
    </row>
    <row r="18" spans="1:13">
      <c r="A18" s="11" t="s">
        <v>2150</v>
      </c>
      <c r="B18" s="11" t="s">
        <v>2060</v>
      </c>
      <c r="C18" s="5" t="s">
        <v>216</v>
      </c>
      <c r="D18" s="11" t="s">
        <v>158</v>
      </c>
      <c r="E18" s="45">
        <v>181.7</v>
      </c>
      <c r="F18" s="45">
        <v>10.32</v>
      </c>
      <c r="G18" s="45">
        <v>23.81</v>
      </c>
      <c r="H18" s="45">
        <f>MAX(0,E18-F18-G18)</f>
        <v>147.57</v>
      </c>
      <c r="I18" s="5" t="s">
        <v>425</v>
      </c>
      <c r="J18" s="5">
        <v>28</v>
      </c>
      <c r="K18" s="28">
        <v>46067</v>
      </c>
      <c r="L18" s="5" t="s">
        <v>2125</v>
      </c>
      <c r="M18" s="5" t="s">
        <v>2151</v>
      </c>
    </row>
    <row r="19" spans="1:13">
      <c r="A19" s="11" t="s">
        <v>2152</v>
      </c>
      <c r="B19" s="11" t="s">
        <v>2061</v>
      </c>
      <c r="C19" s="5" t="s">
        <v>216</v>
      </c>
      <c r="D19" s="11" t="s">
        <v>158</v>
      </c>
      <c r="E19" s="45">
        <v>156.44</v>
      </c>
      <c r="F19" s="45">
        <v>3.95</v>
      </c>
      <c r="G19" s="45">
        <v>24.42</v>
      </c>
      <c r="H19" s="45">
        <f>MAX(0,E19-F19-G19)</f>
        <v>128.07</v>
      </c>
      <c r="I19" s="5" t="s">
        <v>425</v>
      </c>
      <c r="J19" s="5">
        <v>28</v>
      </c>
      <c r="K19" s="28">
        <v>46068</v>
      </c>
      <c r="L19" s="5" t="s">
        <v>2148</v>
      </c>
      <c r="M19" s="5" t="s">
        <v>2151</v>
      </c>
    </row>
    <row r="20" spans="1:13">
      <c r="A20" s="11" t="s">
        <v>2153</v>
      </c>
      <c r="B20" s="11" t="s">
        <v>2062</v>
      </c>
      <c r="C20" s="5" t="s">
        <v>274</v>
      </c>
      <c r="D20" s="11" t="s">
        <v>2139</v>
      </c>
      <c r="E20" s="45">
        <v>187.09</v>
      </c>
      <c r="F20" s="45">
        <v>26.97</v>
      </c>
      <c r="G20" s="45">
        <v>2.69</v>
      </c>
      <c r="H20" s="45">
        <f>MAX(0,E20-F20-G20)</f>
        <v>157.43</v>
      </c>
      <c r="I20" s="5" t="s">
        <v>425</v>
      </c>
      <c r="J20" s="5">
        <v>0</v>
      </c>
      <c r="K20" s="28">
        <v>46097</v>
      </c>
      <c r="L20" s="5" t="s">
        <v>2125</v>
      </c>
      <c r="M20" s="5" t="s">
        <v>2140</v>
      </c>
    </row>
    <row r="21" spans="1:13">
      <c r="A21" s="11" t="s">
        <v>2154</v>
      </c>
      <c r="B21" s="11" t="s">
        <v>2064</v>
      </c>
      <c r="C21" s="5" t="s">
        <v>216</v>
      </c>
      <c r="D21" s="11" t="s">
        <v>2155</v>
      </c>
      <c r="E21" s="45">
        <v>204.39</v>
      </c>
      <c r="F21" s="45">
        <v>3.33</v>
      </c>
      <c r="G21" s="45">
        <v>49.94</v>
      </c>
      <c r="H21" s="45">
        <f>MAX(0,E21-F21-G21)</f>
        <v>151.11999999999998</v>
      </c>
      <c r="I21" s="5" t="s">
        <v>425</v>
      </c>
      <c r="J21" s="5">
        <v>10</v>
      </c>
      <c r="K21" s="28">
        <v>46088</v>
      </c>
      <c r="L21" s="5" t="s">
        <v>2125</v>
      </c>
      <c r="M21" s="5" t="s">
        <v>2156</v>
      </c>
    </row>
    <row r="22" spans="1:13">
      <c r="A22" s="11" t="s">
        <v>2157</v>
      </c>
      <c r="B22" s="11" t="s">
        <v>2065</v>
      </c>
      <c r="C22" s="5" t="s">
        <v>216</v>
      </c>
      <c r="D22" s="11" t="s">
        <v>176</v>
      </c>
      <c r="E22" s="45">
        <v>228.75</v>
      </c>
      <c r="F22" s="45">
        <v>78.06</v>
      </c>
      <c r="G22" s="45">
        <v>9.8000000000000007</v>
      </c>
      <c r="H22" s="45">
        <f>MAX(0,E22-F22-G22)</f>
        <v>140.88999999999999</v>
      </c>
      <c r="I22" s="5" t="s">
        <v>425</v>
      </c>
      <c r="J22" s="5">
        <v>5</v>
      </c>
      <c r="K22" s="28">
        <v>46094</v>
      </c>
      <c r="L22" s="5" t="s">
        <v>2125</v>
      </c>
      <c r="M22" s="5" t="s">
        <v>2131</v>
      </c>
    </row>
    <row r="23" spans="1:13">
      <c r="A23" s="11" t="s">
        <v>2158</v>
      </c>
      <c r="B23" s="11" t="s">
        <v>2066</v>
      </c>
      <c r="C23" s="5" t="s">
        <v>216</v>
      </c>
      <c r="D23" s="11" t="s">
        <v>180</v>
      </c>
      <c r="E23" s="45">
        <v>265.57</v>
      </c>
      <c r="F23" s="45">
        <v>22.34</v>
      </c>
      <c r="G23" s="45">
        <v>58.02</v>
      </c>
      <c r="H23" s="45">
        <f>MAX(0,E23-F23-G23)</f>
        <v>185.20999999999998</v>
      </c>
      <c r="I23" s="5" t="s">
        <v>425</v>
      </c>
      <c r="J23" s="5">
        <v>8</v>
      </c>
      <c r="K23" s="28">
        <v>46092</v>
      </c>
      <c r="L23" s="5" t="s">
        <v>2125</v>
      </c>
      <c r="M23" s="5" t="s">
        <v>2146</v>
      </c>
    </row>
    <row r="24" spans="1:13">
      <c r="A24" s="11" t="s">
        <v>2159</v>
      </c>
      <c r="B24" s="11" t="s">
        <v>2067</v>
      </c>
      <c r="C24" s="5" t="s">
        <v>274</v>
      </c>
      <c r="D24" s="11" t="s">
        <v>2160</v>
      </c>
      <c r="E24" s="45">
        <v>212.83</v>
      </c>
      <c r="F24" s="45">
        <v>43.62</v>
      </c>
      <c r="G24" s="45">
        <v>11.81</v>
      </c>
      <c r="H24" s="45">
        <f>MAX(0,E24-F24-G24)</f>
        <v>157.4</v>
      </c>
      <c r="I24" s="5" t="s">
        <v>425</v>
      </c>
      <c r="J24" s="5">
        <v>0</v>
      </c>
      <c r="K24" s="28">
        <v>46101</v>
      </c>
      <c r="L24" s="5" t="s">
        <v>2125</v>
      </c>
      <c r="M24" s="5" t="s">
        <v>2161</v>
      </c>
    </row>
    <row r="25" spans="1:13">
      <c r="A25" s="11" t="s">
        <v>2162</v>
      </c>
      <c r="B25" s="11" t="s">
        <v>2068</v>
      </c>
      <c r="C25" s="5" t="s">
        <v>216</v>
      </c>
      <c r="D25" s="11" t="s">
        <v>176</v>
      </c>
      <c r="E25" s="45">
        <v>207.6</v>
      </c>
      <c r="F25" s="45">
        <v>32.049999999999997</v>
      </c>
      <c r="G25" s="45">
        <v>43.3</v>
      </c>
      <c r="H25" s="45">
        <f>MAX(0,E25-F25-G25)</f>
        <v>132.25</v>
      </c>
      <c r="I25" s="5" t="s">
        <v>425</v>
      </c>
      <c r="J25" s="5">
        <v>5</v>
      </c>
      <c r="K25" s="28">
        <v>46097</v>
      </c>
      <c r="L25" s="5" t="s">
        <v>2125</v>
      </c>
      <c r="M25" s="5" t="s">
        <v>2131</v>
      </c>
    </row>
    <row r="26" spans="1:13">
      <c r="A26" s="11" t="s">
        <v>2163</v>
      </c>
      <c r="B26" s="11" t="s">
        <v>2069</v>
      </c>
      <c r="C26" s="5" t="s">
        <v>274</v>
      </c>
      <c r="D26" s="11" t="s">
        <v>2139</v>
      </c>
      <c r="E26" s="45">
        <v>227.5</v>
      </c>
      <c r="F26" s="45">
        <v>54.54</v>
      </c>
      <c r="G26" s="45">
        <v>26.97</v>
      </c>
      <c r="H26" s="45">
        <f>MAX(0,E26-F26-G26)</f>
        <v>145.99</v>
      </c>
      <c r="I26" s="5" t="s">
        <v>425</v>
      </c>
      <c r="J26" s="5">
        <v>0</v>
      </c>
      <c r="K26" s="28">
        <v>46103</v>
      </c>
      <c r="L26" s="5" t="s">
        <v>2125</v>
      </c>
      <c r="M26" s="5" t="s">
        <v>2140</v>
      </c>
    </row>
    <row r="27" spans="1:13">
      <c r="A27" s="11" t="s">
        <v>2164</v>
      </c>
      <c r="B27" s="11" t="s">
        <v>2070</v>
      </c>
      <c r="C27" s="5" t="s">
        <v>216</v>
      </c>
      <c r="D27" s="11" t="s">
        <v>155</v>
      </c>
      <c r="E27" s="45">
        <v>236.77</v>
      </c>
      <c r="F27" s="45">
        <v>47.59</v>
      </c>
      <c r="G27" s="45">
        <v>45.66</v>
      </c>
      <c r="H27" s="45">
        <f>MAX(0,E27-F27-G27)</f>
        <v>143.52000000000001</v>
      </c>
      <c r="I27" s="5" t="s">
        <v>425</v>
      </c>
      <c r="J27" s="5">
        <v>14</v>
      </c>
      <c r="K27" s="28">
        <v>46090</v>
      </c>
      <c r="L27" s="5" t="s">
        <v>2125</v>
      </c>
      <c r="M27" s="5" t="s">
        <v>2142</v>
      </c>
    </row>
    <row r="28" spans="1:13">
      <c r="A28" s="11" t="s">
        <v>2165</v>
      </c>
      <c r="B28" s="11" t="s">
        <v>2071</v>
      </c>
      <c r="C28" s="5" t="s">
        <v>274</v>
      </c>
      <c r="D28" s="11" t="s">
        <v>172</v>
      </c>
      <c r="E28" s="45">
        <v>251.67</v>
      </c>
      <c r="F28" s="45">
        <v>40.24</v>
      </c>
      <c r="G28" s="45">
        <v>34.729999999999997</v>
      </c>
      <c r="H28" s="45">
        <f>MAX(0,E28-F28-G28)</f>
        <v>176.7</v>
      </c>
      <c r="I28" s="5" t="s">
        <v>425</v>
      </c>
      <c r="J28" s="5">
        <v>3</v>
      </c>
      <c r="K28" s="28">
        <v>46102</v>
      </c>
      <c r="L28" s="5" t="s">
        <v>2125</v>
      </c>
      <c r="M28" s="5" t="s">
        <v>2166</v>
      </c>
    </row>
    <row r="29" spans="1:13">
      <c r="A29" s="11" t="s">
        <v>2167</v>
      </c>
      <c r="B29" s="11" t="s">
        <v>2072</v>
      </c>
      <c r="C29" s="5" t="s">
        <v>274</v>
      </c>
      <c r="D29" s="11" t="s">
        <v>172</v>
      </c>
      <c r="E29" s="45">
        <v>214.44</v>
      </c>
      <c r="F29" s="45">
        <v>18.32</v>
      </c>
      <c r="G29" s="45">
        <v>39.31</v>
      </c>
      <c r="H29" s="45">
        <f>MAX(0,E29-F29-G29)</f>
        <v>156.81</v>
      </c>
      <c r="I29" s="5" t="s">
        <v>425</v>
      </c>
      <c r="J29" s="5">
        <v>3</v>
      </c>
      <c r="K29" s="28">
        <v>46103</v>
      </c>
      <c r="L29" s="5" t="s">
        <v>2125</v>
      </c>
      <c r="M29" s="5" t="s">
        <v>2166</v>
      </c>
    </row>
    <row r="30" spans="1:13">
      <c r="A30" s="11" t="s">
        <v>2168</v>
      </c>
      <c r="B30" s="11" t="s">
        <v>2073</v>
      </c>
      <c r="C30" s="5" t="s">
        <v>274</v>
      </c>
      <c r="D30" s="11" t="s">
        <v>2139</v>
      </c>
      <c r="E30" s="45">
        <v>203.84</v>
      </c>
      <c r="F30" s="45">
        <v>1.3</v>
      </c>
      <c r="G30" s="45">
        <v>54.11</v>
      </c>
      <c r="H30" s="45">
        <f>MAX(0,E30-F30-G30)</f>
        <v>148.43</v>
      </c>
      <c r="I30" s="5" t="s">
        <v>425</v>
      </c>
      <c r="J30" s="5">
        <v>0</v>
      </c>
      <c r="K30" s="28">
        <v>46107</v>
      </c>
      <c r="L30" s="5" t="s">
        <v>2125</v>
      </c>
      <c r="M30" s="5" t="s">
        <v>2140</v>
      </c>
    </row>
    <row r="31" spans="1:13">
      <c r="A31" s="11" t="s">
        <v>2169</v>
      </c>
      <c r="B31" s="11" t="s">
        <v>2074</v>
      </c>
      <c r="C31" s="5" t="s">
        <v>216</v>
      </c>
      <c r="D31" s="11" t="s">
        <v>180</v>
      </c>
      <c r="E31" s="45">
        <v>217.84</v>
      </c>
      <c r="F31" s="45">
        <v>42.96</v>
      </c>
      <c r="G31" s="45">
        <v>50.54</v>
      </c>
      <c r="H31" s="45">
        <f>MAX(0,E31-F31-G31)</f>
        <v>124.34</v>
      </c>
      <c r="I31" s="5" t="s">
        <v>425</v>
      </c>
      <c r="J31" s="5">
        <v>8</v>
      </c>
      <c r="K31" s="28">
        <v>46100</v>
      </c>
      <c r="L31" s="5" t="s">
        <v>2148</v>
      </c>
      <c r="M31" s="5" t="s">
        <v>2146</v>
      </c>
    </row>
    <row r="32" spans="1:13">
      <c r="A32" s="11" t="s">
        <v>2170</v>
      </c>
      <c r="B32" s="11" t="s">
        <v>2075</v>
      </c>
      <c r="C32" s="5" t="s">
        <v>216</v>
      </c>
      <c r="D32" s="11" t="s">
        <v>2128</v>
      </c>
      <c r="E32" s="45">
        <v>279.89999999999998</v>
      </c>
      <c r="F32" s="45">
        <v>47.14</v>
      </c>
      <c r="G32" s="45">
        <v>30.9</v>
      </c>
      <c r="H32" s="45">
        <f>MAX(0,E32-F32-G32)</f>
        <v>201.85999999999999</v>
      </c>
      <c r="I32" s="5" t="s">
        <v>425</v>
      </c>
      <c r="J32" s="5">
        <v>9</v>
      </c>
      <c r="K32" s="28">
        <v>46100</v>
      </c>
      <c r="L32" s="5" t="s">
        <v>2171</v>
      </c>
      <c r="M32" s="5" t="s">
        <v>2129</v>
      </c>
    </row>
    <row r="33" spans="1:13">
      <c r="A33" s="11" t="s">
        <v>2172</v>
      </c>
      <c r="B33" s="11" t="s">
        <v>2076</v>
      </c>
      <c r="C33" s="5" t="s">
        <v>216</v>
      </c>
      <c r="D33" s="11" t="s">
        <v>2124</v>
      </c>
      <c r="E33" s="45">
        <v>214.5</v>
      </c>
      <c r="F33" s="45">
        <v>29.8</v>
      </c>
      <c r="G33" s="45">
        <v>24.23</v>
      </c>
      <c r="H33" s="45">
        <f>MAX(0,E33-F33-G33)</f>
        <v>160.47</v>
      </c>
      <c r="I33" s="5" t="s">
        <v>425</v>
      </c>
      <c r="J33" s="5">
        <v>8</v>
      </c>
      <c r="K33" s="28">
        <v>46074</v>
      </c>
      <c r="L33" s="5" t="s">
        <v>2125</v>
      </c>
      <c r="M33" s="5" t="s">
        <v>2126</v>
      </c>
    </row>
    <row r="34" spans="1:13">
      <c r="A34" s="11" t="s">
        <v>2173</v>
      </c>
      <c r="B34" s="11" t="s">
        <v>2077</v>
      </c>
      <c r="C34" s="5" t="s">
        <v>216</v>
      </c>
      <c r="D34" s="11" t="s">
        <v>158</v>
      </c>
      <c r="E34" s="45">
        <v>226.53</v>
      </c>
      <c r="F34" s="45">
        <v>38.68</v>
      </c>
      <c r="G34" s="45">
        <v>13.54</v>
      </c>
      <c r="H34" s="45">
        <f>MAX(0,E34-F34-G34)</f>
        <v>174.31</v>
      </c>
      <c r="I34" s="5" t="s">
        <v>425</v>
      </c>
      <c r="J34" s="5">
        <v>28</v>
      </c>
      <c r="K34" s="28">
        <v>46055</v>
      </c>
      <c r="L34" s="5" t="s">
        <v>2125</v>
      </c>
      <c r="M34" s="5" t="s">
        <v>2151</v>
      </c>
    </row>
    <row r="35" spans="1:13">
      <c r="A35" s="11" t="s">
        <v>2174</v>
      </c>
      <c r="B35" s="11" t="s">
        <v>2078</v>
      </c>
      <c r="C35" s="5" t="s">
        <v>216</v>
      </c>
      <c r="D35" s="11" t="s">
        <v>155</v>
      </c>
      <c r="E35" s="45">
        <v>215.36</v>
      </c>
      <c r="F35" s="45">
        <v>1.8</v>
      </c>
      <c r="G35" s="45">
        <v>39.15</v>
      </c>
      <c r="H35" s="45">
        <f>MAX(0,E35-F35-G35)</f>
        <v>174.41</v>
      </c>
      <c r="I35" s="5" t="s">
        <v>425</v>
      </c>
      <c r="J35" s="5">
        <v>14</v>
      </c>
      <c r="K35" s="28">
        <v>46070</v>
      </c>
      <c r="L35" s="5" t="s">
        <v>2125</v>
      </c>
      <c r="M35" s="5" t="s">
        <v>2142</v>
      </c>
    </row>
    <row r="36" spans="1:13">
      <c r="A36" s="11" t="s">
        <v>2175</v>
      </c>
      <c r="B36" s="11" t="s">
        <v>2079</v>
      </c>
      <c r="C36" s="5" t="s">
        <v>216</v>
      </c>
      <c r="D36" s="11" t="s">
        <v>180</v>
      </c>
      <c r="E36" s="45">
        <v>232.37</v>
      </c>
      <c r="F36" s="45">
        <v>35.97</v>
      </c>
      <c r="G36" s="45">
        <v>17.75</v>
      </c>
      <c r="H36" s="45">
        <f>MAX(0,E36-F36-G36)</f>
        <v>178.65</v>
      </c>
      <c r="I36" s="5" t="s">
        <v>425</v>
      </c>
      <c r="J36" s="5">
        <v>8</v>
      </c>
      <c r="K36" s="28">
        <v>46077</v>
      </c>
      <c r="L36" s="5" t="s">
        <v>2125</v>
      </c>
      <c r="M36" s="5" t="s">
        <v>2146</v>
      </c>
    </row>
    <row r="37" spans="1:13">
      <c r="A37" s="11" t="s">
        <v>2176</v>
      </c>
      <c r="B37" s="11" t="s">
        <v>2080</v>
      </c>
      <c r="C37" s="5" t="s">
        <v>216</v>
      </c>
      <c r="D37" s="11" t="s">
        <v>2124</v>
      </c>
      <c r="E37" s="45">
        <v>192.83</v>
      </c>
      <c r="F37" s="45">
        <v>6.76</v>
      </c>
      <c r="G37" s="45">
        <v>31.96</v>
      </c>
      <c r="H37" s="45">
        <f>MAX(0,E37-F37-G37)</f>
        <v>154.11000000000001</v>
      </c>
      <c r="I37" s="5" t="s">
        <v>425</v>
      </c>
      <c r="J37" s="5">
        <v>8</v>
      </c>
      <c r="K37" s="28">
        <v>46078</v>
      </c>
      <c r="L37" s="5" t="s">
        <v>2125</v>
      </c>
      <c r="M37" s="5" t="s">
        <v>2126</v>
      </c>
    </row>
    <row r="38" spans="1:13">
      <c r="A38" s="11" t="s">
        <v>2177</v>
      </c>
      <c r="B38" s="11" t="s">
        <v>2081</v>
      </c>
      <c r="C38" s="5" t="s">
        <v>274</v>
      </c>
      <c r="D38" s="11" t="s">
        <v>172</v>
      </c>
      <c r="E38" s="45">
        <v>239.22</v>
      </c>
      <c r="F38" s="45">
        <v>30.87</v>
      </c>
      <c r="G38" s="45">
        <v>59.95</v>
      </c>
      <c r="H38" s="45">
        <f>MAX(0,E38-F38-G38)</f>
        <v>148.39999999999998</v>
      </c>
      <c r="I38" s="5" t="s">
        <v>425</v>
      </c>
      <c r="J38" s="5">
        <v>3</v>
      </c>
      <c r="K38" s="28">
        <v>46084</v>
      </c>
      <c r="L38" s="5" t="s">
        <v>2125</v>
      </c>
      <c r="M38" s="5" t="s">
        <v>2166</v>
      </c>
    </row>
    <row r="39" spans="1:13">
      <c r="A39" s="11" t="s">
        <v>2178</v>
      </c>
      <c r="B39" s="11" t="s">
        <v>2082</v>
      </c>
      <c r="C39" s="5" t="s">
        <v>283</v>
      </c>
      <c r="D39" s="11" t="s">
        <v>163</v>
      </c>
      <c r="E39" s="45">
        <v>242.19</v>
      </c>
      <c r="F39" s="45">
        <v>66.650000000000006</v>
      </c>
      <c r="G39" s="45">
        <v>20.440000000000001</v>
      </c>
      <c r="H39" s="45">
        <f>MAX(0,E39-F39-G39)</f>
        <v>155.1</v>
      </c>
      <c r="I39" s="5" t="s">
        <v>425</v>
      </c>
      <c r="J39" s="5">
        <v>35</v>
      </c>
      <c r="K39" s="28">
        <v>46053</v>
      </c>
      <c r="L39" s="5" t="s">
        <v>2125</v>
      </c>
      <c r="M39" s="5" t="s">
        <v>2179</v>
      </c>
    </row>
    <row r="40" spans="1:13">
      <c r="A40" s="11" t="s">
        <v>2180</v>
      </c>
      <c r="B40" s="11" t="s">
        <v>2083</v>
      </c>
      <c r="C40" s="5" t="s">
        <v>216</v>
      </c>
      <c r="D40" s="11" t="s">
        <v>150</v>
      </c>
      <c r="E40" s="45">
        <v>263.82</v>
      </c>
      <c r="F40" s="45">
        <v>79.19</v>
      </c>
      <c r="G40" s="45">
        <v>35.630000000000003</v>
      </c>
      <c r="H40" s="45">
        <f>MAX(0,E40-F40-G40)</f>
        <v>149</v>
      </c>
      <c r="I40" s="5" t="s">
        <v>425</v>
      </c>
      <c r="J40" s="5">
        <v>7</v>
      </c>
      <c r="K40" s="28">
        <v>46082</v>
      </c>
      <c r="L40" s="5" t="s">
        <v>2125</v>
      </c>
      <c r="M40" s="5" t="s">
        <v>2133</v>
      </c>
    </row>
    <row r="41" spans="1:13">
      <c r="A41" s="11" t="s">
        <v>2181</v>
      </c>
      <c r="B41" s="11" t="s">
        <v>2085</v>
      </c>
      <c r="C41" s="5" t="s">
        <v>216</v>
      </c>
      <c r="D41" s="11" t="s">
        <v>150</v>
      </c>
      <c r="E41" s="45">
        <v>220.57</v>
      </c>
      <c r="F41" s="45">
        <v>17.03</v>
      </c>
      <c r="G41" s="45">
        <v>15.47</v>
      </c>
      <c r="H41" s="45">
        <f>MAX(0,E41-F41-G41)</f>
        <v>188.07</v>
      </c>
      <c r="I41" s="5" t="s">
        <v>425</v>
      </c>
      <c r="J41" s="5">
        <v>7</v>
      </c>
      <c r="K41" s="28">
        <v>46083</v>
      </c>
      <c r="L41" s="5" t="s">
        <v>2125</v>
      </c>
      <c r="M41" s="5" t="s">
        <v>2133</v>
      </c>
    </row>
    <row r="42" spans="1:13">
      <c r="A42" s="11" t="s">
        <v>2182</v>
      </c>
      <c r="B42" s="11" t="s">
        <v>2086</v>
      </c>
      <c r="C42" s="5" t="s">
        <v>216</v>
      </c>
      <c r="D42" s="11" t="s">
        <v>176</v>
      </c>
      <c r="E42" s="45">
        <v>207.86</v>
      </c>
      <c r="F42" s="45">
        <v>38.770000000000003</v>
      </c>
      <c r="G42" s="45">
        <v>36.799999999999997</v>
      </c>
      <c r="H42" s="45">
        <f>MAX(0,E42-F42-G42)</f>
        <v>132.29000000000002</v>
      </c>
      <c r="I42" s="5" t="s">
        <v>425</v>
      </c>
      <c r="J42" s="5">
        <v>5</v>
      </c>
      <c r="K42" s="28">
        <v>46086</v>
      </c>
      <c r="L42" s="5" t="s">
        <v>2125</v>
      </c>
      <c r="M42" s="5" t="s">
        <v>2131</v>
      </c>
    </row>
    <row r="43" spans="1:13">
      <c r="A43" s="11" t="s">
        <v>2183</v>
      </c>
      <c r="B43" s="11" t="s">
        <v>2087</v>
      </c>
      <c r="C43" s="5" t="s">
        <v>216</v>
      </c>
      <c r="D43" s="11" t="s">
        <v>152</v>
      </c>
      <c r="E43" s="45">
        <v>172.98</v>
      </c>
      <c r="F43" s="45">
        <v>3.07</v>
      </c>
      <c r="G43" s="45">
        <v>18.239999999999998</v>
      </c>
      <c r="H43" s="45">
        <f>MAX(0,E43-F43-G43)</f>
        <v>151.66999999999999</v>
      </c>
      <c r="I43" s="5" t="s">
        <v>425</v>
      </c>
      <c r="J43" s="5">
        <v>10</v>
      </c>
      <c r="K43" s="28">
        <v>46082</v>
      </c>
      <c r="L43" s="5" t="s">
        <v>2125</v>
      </c>
      <c r="M43" s="5" t="s">
        <v>2137</v>
      </c>
    </row>
    <row r="44" spans="1:13">
      <c r="A44" s="11" t="s">
        <v>2184</v>
      </c>
      <c r="B44" s="11" t="s">
        <v>2088</v>
      </c>
      <c r="C44" s="5" t="s">
        <v>274</v>
      </c>
      <c r="D44" s="11" t="s">
        <v>172</v>
      </c>
      <c r="E44" s="45">
        <v>241.09</v>
      </c>
      <c r="F44" s="45">
        <v>20.51</v>
      </c>
      <c r="G44" s="45">
        <v>59.34</v>
      </c>
      <c r="H44" s="45">
        <f>MAX(0,E44-F44-G44)</f>
        <v>161.24</v>
      </c>
      <c r="I44" s="5" t="s">
        <v>425</v>
      </c>
      <c r="J44" s="5">
        <v>3</v>
      </c>
      <c r="K44" s="28">
        <v>46090</v>
      </c>
      <c r="L44" s="5" t="s">
        <v>2125</v>
      </c>
      <c r="M44" s="5" t="s">
        <v>2166</v>
      </c>
    </row>
    <row r="45" spans="1:13">
      <c r="A45" s="11" t="s">
        <v>2185</v>
      </c>
      <c r="B45" s="11" t="s">
        <v>2089</v>
      </c>
      <c r="C45" s="5" t="s">
        <v>274</v>
      </c>
      <c r="D45" s="11" t="s">
        <v>2139</v>
      </c>
      <c r="E45" s="45">
        <v>200.48</v>
      </c>
      <c r="F45" s="45">
        <v>2.78</v>
      </c>
      <c r="G45" s="45">
        <v>33.01</v>
      </c>
      <c r="H45" s="45">
        <f>MAX(0,E45-F45-G45)</f>
        <v>164.69</v>
      </c>
      <c r="I45" s="5" t="s">
        <v>425</v>
      </c>
      <c r="J45" s="5">
        <v>0</v>
      </c>
      <c r="K45" s="28">
        <v>46094</v>
      </c>
      <c r="L45" s="5" t="s">
        <v>2125</v>
      </c>
      <c r="M45" s="5" t="s">
        <v>2140</v>
      </c>
    </row>
    <row r="46" spans="1:13">
      <c r="A46" s="11" t="s">
        <v>2186</v>
      </c>
      <c r="B46" s="11" t="s">
        <v>2090</v>
      </c>
      <c r="C46" s="5" t="s">
        <v>216</v>
      </c>
      <c r="D46" s="11" t="s">
        <v>150</v>
      </c>
      <c r="E46" s="45">
        <v>243.79</v>
      </c>
      <c r="F46" s="45">
        <v>35.32</v>
      </c>
      <c r="G46" s="45">
        <v>37.36</v>
      </c>
      <c r="H46" s="45">
        <f>MAX(0,E46-F46-G46)</f>
        <v>171.11</v>
      </c>
      <c r="I46" s="5" t="s">
        <v>425</v>
      </c>
      <c r="J46" s="5">
        <v>7</v>
      </c>
      <c r="K46" s="28">
        <v>46088</v>
      </c>
      <c r="L46" s="5" t="s">
        <v>2125</v>
      </c>
      <c r="M46" s="5" t="s">
        <v>2133</v>
      </c>
    </row>
    <row r="47" spans="1:13">
      <c r="A47" s="11" t="s">
        <v>2187</v>
      </c>
      <c r="B47" s="11" t="s">
        <v>2091</v>
      </c>
      <c r="C47" s="5" t="s">
        <v>283</v>
      </c>
      <c r="D47" s="11" t="s">
        <v>174</v>
      </c>
      <c r="E47" s="45">
        <v>223.75</v>
      </c>
      <c r="F47" s="45">
        <v>36.82</v>
      </c>
      <c r="G47" s="45">
        <v>37.33</v>
      </c>
      <c r="H47" s="45">
        <f>MAX(0,E47-F47-G47)</f>
        <v>149.60000000000002</v>
      </c>
      <c r="I47" s="5" t="s">
        <v>425</v>
      </c>
      <c r="J47" s="5">
        <v>2</v>
      </c>
      <c r="K47" s="28">
        <v>46094</v>
      </c>
      <c r="L47" s="5" t="s">
        <v>2125</v>
      </c>
      <c r="M47" s="5" t="s">
        <v>2188</v>
      </c>
    </row>
    <row r="48" spans="1:13">
      <c r="A48" s="11" t="s">
        <v>2189</v>
      </c>
      <c r="B48" s="11" t="s">
        <v>2093</v>
      </c>
      <c r="C48" s="5" t="s">
        <v>216</v>
      </c>
      <c r="D48" s="11" t="s">
        <v>2124</v>
      </c>
      <c r="E48" s="45">
        <v>239.36</v>
      </c>
      <c r="F48" s="45">
        <v>32.36</v>
      </c>
      <c r="G48" s="45">
        <v>40.83</v>
      </c>
      <c r="H48" s="45">
        <f>MAX(0,E48-F48-G48)</f>
        <v>166.17000000000002</v>
      </c>
      <c r="I48" s="5" t="s">
        <v>425</v>
      </c>
      <c r="J48" s="5">
        <v>8</v>
      </c>
      <c r="K48" s="28">
        <v>46089</v>
      </c>
      <c r="L48" s="5" t="s">
        <v>2125</v>
      </c>
      <c r="M48" s="5" t="s">
        <v>2126</v>
      </c>
    </row>
    <row r="49" spans="1:13">
      <c r="A49" s="11" t="s">
        <v>2190</v>
      </c>
      <c r="B49" s="11" t="s">
        <v>2095</v>
      </c>
      <c r="C49" s="5" t="s">
        <v>216</v>
      </c>
      <c r="D49" s="11" t="s">
        <v>176</v>
      </c>
      <c r="E49" s="45">
        <v>210.51</v>
      </c>
      <c r="F49" s="45">
        <v>37.72</v>
      </c>
      <c r="G49" s="45">
        <v>27.7</v>
      </c>
      <c r="H49" s="45">
        <f>MAX(0,E49-F49-G49)</f>
        <v>145.09</v>
      </c>
      <c r="I49" s="5" t="s">
        <v>425</v>
      </c>
      <c r="J49" s="5">
        <v>5</v>
      </c>
      <c r="K49" s="28">
        <v>46093</v>
      </c>
      <c r="L49" s="5" t="s">
        <v>2125</v>
      </c>
      <c r="M49" s="5" t="s">
        <v>2131</v>
      </c>
    </row>
    <row r="50" spans="1:13">
      <c r="A50" s="11" t="s">
        <v>2191</v>
      </c>
      <c r="B50" s="11" t="s">
        <v>2097</v>
      </c>
      <c r="C50" s="5" t="s">
        <v>216</v>
      </c>
      <c r="D50" s="11" t="s">
        <v>180</v>
      </c>
      <c r="E50" s="45">
        <v>253.01</v>
      </c>
      <c r="F50" s="45">
        <v>65.849999999999994</v>
      </c>
      <c r="G50" s="45">
        <v>15.14</v>
      </c>
      <c r="H50" s="45">
        <f>MAX(0,E50-F50-G50)</f>
        <v>172.01999999999998</v>
      </c>
      <c r="I50" s="5" t="s">
        <v>425</v>
      </c>
      <c r="J50" s="5">
        <v>8</v>
      </c>
      <c r="K50" s="28">
        <v>46091</v>
      </c>
      <c r="L50" s="5" t="s">
        <v>2125</v>
      </c>
      <c r="M50" s="5" t="s">
        <v>2146</v>
      </c>
    </row>
    <row r="51" spans="1:13">
      <c r="A51" s="11" t="s">
        <v>2192</v>
      </c>
      <c r="B51" s="11" t="s">
        <v>2099</v>
      </c>
      <c r="C51" s="5" t="s">
        <v>216</v>
      </c>
      <c r="D51" s="11" t="s">
        <v>150</v>
      </c>
      <c r="E51" s="45">
        <v>213.51</v>
      </c>
      <c r="F51" s="45">
        <v>10.95</v>
      </c>
      <c r="G51" s="45">
        <v>11.35</v>
      </c>
      <c r="H51" s="45">
        <f>MAX(0,E51-F51-G51)</f>
        <v>191.21</v>
      </c>
      <c r="I51" s="5" t="s">
        <v>425</v>
      </c>
      <c r="J51" s="5">
        <v>7</v>
      </c>
      <c r="K51" s="28">
        <v>46093</v>
      </c>
      <c r="L51" s="5" t="s">
        <v>2171</v>
      </c>
      <c r="M51" s="5" t="s">
        <v>2133</v>
      </c>
    </row>
    <row r="52" spans="1:13">
      <c r="A52" s="11" t="s">
        <v>2193</v>
      </c>
      <c r="B52" s="11" t="s">
        <v>2100</v>
      </c>
      <c r="C52" s="5" t="s">
        <v>216</v>
      </c>
      <c r="D52" s="11" t="s">
        <v>180</v>
      </c>
      <c r="E52" s="45">
        <v>225.52</v>
      </c>
      <c r="F52" s="45">
        <v>11.27</v>
      </c>
      <c r="G52" s="45">
        <v>48.63</v>
      </c>
      <c r="H52" s="45">
        <f>MAX(0,E52-F52-G52)</f>
        <v>165.62</v>
      </c>
      <c r="I52" s="5" t="s">
        <v>425</v>
      </c>
      <c r="J52" s="5">
        <v>8</v>
      </c>
      <c r="K52" s="28">
        <v>46093</v>
      </c>
      <c r="L52" s="5" t="s">
        <v>2125</v>
      </c>
      <c r="M52" s="5" t="s">
        <v>2146</v>
      </c>
    </row>
    <row r="53" spans="1:13">
      <c r="A53" s="11" t="s">
        <v>2194</v>
      </c>
      <c r="B53" s="11" t="s">
        <v>2101</v>
      </c>
      <c r="C53" s="5" t="s">
        <v>216</v>
      </c>
      <c r="D53" s="11" t="s">
        <v>2155</v>
      </c>
      <c r="E53" s="45">
        <v>282.88</v>
      </c>
      <c r="F53" s="45">
        <v>66.42</v>
      </c>
      <c r="G53" s="45">
        <v>57.4</v>
      </c>
      <c r="H53" s="45">
        <f>MAX(0,E53-F53-G53)</f>
        <v>159.05999999999997</v>
      </c>
      <c r="I53" s="5" t="s">
        <v>425</v>
      </c>
      <c r="J53" s="5">
        <v>10</v>
      </c>
      <c r="K53" s="28">
        <v>46092</v>
      </c>
      <c r="L53" s="5" t="s">
        <v>2125</v>
      </c>
      <c r="M53" s="5" t="s">
        <v>2156</v>
      </c>
    </row>
    <row r="54" spans="1:13">
      <c r="A54" s="11" t="s">
        <v>2195</v>
      </c>
      <c r="B54" s="11" t="s">
        <v>2102</v>
      </c>
      <c r="C54" s="5" t="s">
        <v>274</v>
      </c>
      <c r="D54" s="11" t="s">
        <v>167</v>
      </c>
      <c r="E54" s="45">
        <v>256.74</v>
      </c>
      <c r="F54" s="45">
        <v>10.31</v>
      </c>
      <c r="G54" s="45">
        <v>58.3</v>
      </c>
      <c r="H54" s="45">
        <f>MAX(0,E54-F54-G54)</f>
        <v>188.13</v>
      </c>
      <c r="I54" s="5" t="s">
        <v>425</v>
      </c>
      <c r="J54" s="5">
        <v>21</v>
      </c>
      <c r="K54" s="28">
        <v>46082</v>
      </c>
      <c r="L54" s="5" t="s">
        <v>2125</v>
      </c>
      <c r="M54" s="5" t="s">
        <v>2196</v>
      </c>
    </row>
    <row r="55" spans="1:13">
      <c r="A55" s="11" t="s">
        <v>2197</v>
      </c>
      <c r="B55" s="11" t="s">
        <v>2103</v>
      </c>
      <c r="C55" s="5" t="s">
        <v>274</v>
      </c>
      <c r="D55" s="11" t="s">
        <v>2139</v>
      </c>
      <c r="E55" s="45">
        <v>185.52</v>
      </c>
      <c r="F55" s="45">
        <v>1.1100000000000001</v>
      </c>
      <c r="G55" s="45">
        <v>24.59</v>
      </c>
      <c r="H55" s="45">
        <f>MAX(0,E55-F55-G55)</f>
        <v>159.82</v>
      </c>
      <c r="I55" s="5" t="s">
        <v>425</v>
      </c>
      <c r="J55" s="5">
        <v>0</v>
      </c>
      <c r="K55" s="28">
        <v>46104</v>
      </c>
      <c r="L55" s="5" t="s">
        <v>2125</v>
      </c>
      <c r="M55" s="5" t="s">
        <v>2140</v>
      </c>
    </row>
    <row r="56" spans="1:13">
      <c r="A56" s="11" t="s">
        <v>2198</v>
      </c>
      <c r="B56" s="11" t="s">
        <v>2104</v>
      </c>
      <c r="C56" s="5" t="s">
        <v>216</v>
      </c>
      <c r="D56" s="11" t="s">
        <v>150</v>
      </c>
      <c r="E56" s="45">
        <v>237.47</v>
      </c>
      <c r="F56" s="45">
        <v>29.34</v>
      </c>
      <c r="G56" s="45">
        <v>42.11</v>
      </c>
      <c r="H56" s="45">
        <f>MAX(0,E56-F56-G56)</f>
        <v>166.01999999999998</v>
      </c>
      <c r="I56" s="5" t="s">
        <v>425</v>
      </c>
      <c r="J56" s="5">
        <v>7</v>
      </c>
      <c r="K56" s="28">
        <v>46098</v>
      </c>
      <c r="L56" s="5" t="s">
        <v>2125</v>
      </c>
      <c r="M56" s="5" t="s">
        <v>2133</v>
      </c>
    </row>
    <row r="57" spans="1:13">
      <c r="A57" s="11" t="s">
        <v>2199</v>
      </c>
      <c r="B57" s="11" t="s">
        <v>2105</v>
      </c>
      <c r="C57" s="5" t="s">
        <v>216</v>
      </c>
      <c r="D57" s="11" t="s">
        <v>155</v>
      </c>
      <c r="E57" s="45">
        <v>222.09</v>
      </c>
      <c r="F57" s="45">
        <v>5.49</v>
      </c>
      <c r="G57" s="45">
        <v>28.73</v>
      </c>
      <c r="H57" s="45">
        <f>MAX(0,E57-F57-G57)</f>
        <v>187.87</v>
      </c>
      <c r="I57" s="5" t="s">
        <v>425</v>
      </c>
      <c r="J57" s="5">
        <v>14</v>
      </c>
      <c r="K57" s="28">
        <v>46092</v>
      </c>
      <c r="L57" s="5" t="s">
        <v>2125</v>
      </c>
      <c r="M57" s="5" t="s">
        <v>2142</v>
      </c>
    </row>
    <row r="58" spans="1:13">
      <c r="A58" s="11" t="s">
        <v>2200</v>
      </c>
      <c r="B58" s="11" t="s">
        <v>2106</v>
      </c>
      <c r="C58" s="5" t="s">
        <v>274</v>
      </c>
      <c r="D58" s="11" t="s">
        <v>2160</v>
      </c>
      <c r="E58" s="45">
        <v>208.39</v>
      </c>
      <c r="F58" s="45">
        <v>8.2799999999999994</v>
      </c>
      <c r="G58" s="45">
        <v>30.88</v>
      </c>
      <c r="H58" s="45">
        <f>MAX(0,E58-F58-G58)</f>
        <v>169.23</v>
      </c>
      <c r="I58" s="5" t="s">
        <v>425</v>
      </c>
      <c r="J58" s="5">
        <v>0</v>
      </c>
      <c r="K58" s="28">
        <v>46107</v>
      </c>
      <c r="L58" s="5" t="s">
        <v>2125</v>
      </c>
      <c r="M58" s="5" t="s">
        <v>2161</v>
      </c>
    </row>
    <row r="59" spans="1:13">
      <c r="A59" s="11" t="s">
        <v>2201</v>
      </c>
      <c r="B59" s="11" t="s">
        <v>2107</v>
      </c>
      <c r="C59" s="5" t="s">
        <v>274</v>
      </c>
      <c r="D59" s="11" t="s">
        <v>167</v>
      </c>
      <c r="E59" s="45">
        <v>229.62</v>
      </c>
      <c r="F59" s="45">
        <v>54.91</v>
      </c>
      <c r="G59" s="45">
        <v>28.91</v>
      </c>
      <c r="H59" s="45">
        <f>MAX(0,E59-F59-G59)</f>
        <v>145.80000000000001</v>
      </c>
      <c r="I59" s="5" t="s">
        <v>425</v>
      </c>
      <c r="J59" s="5">
        <v>21</v>
      </c>
      <c r="K59" s="28">
        <v>46087</v>
      </c>
      <c r="L59" s="5" t="s">
        <v>2125</v>
      </c>
      <c r="M59" s="5" t="s">
        <v>2196</v>
      </c>
    </row>
    <row r="60" spans="1:13">
      <c r="A60" s="11" t="s">
        <v>2202</v>
      </c>
      <c r="B60" s="11" t="s">
        <v>2108</v>
      </c>
      <c r="C60" s="5" t="s">
        <v>216</v>
      </c>
      <c r="D60" s="11" t="s">
        <v>2155</v>
      </c>
      <c r="E60" s="45">
        <v>275.18</v>
      </c>
      <c r="F60" s="45">
        <v>54.51</v>
      </c>
      <c r="G60" s="45">
        <v>58.83</v>
      </c>
      <c r="H60" s="45">
        <f>MAX(0,E60-F60-G60)</f>
        <v>161.84000000000003</v>
      </c>
      <c r="I60" s="5" t="s">
        <v>425</v>
      </c>
      <c r="J60" s="5">
        <v>10</v>
      </c>
      <c r="K60" s="28">
        <v>46099</v>
      </c>
      <c r="L60" s="5" t="s">
        <v>2125</v>
      </c>
      <c r="M60" s="5" t="s">
        <v>2156</v>
      </c>
    </row>
    <row r="61" spans="1:13">
      <c r="A61" s="11" t="s">
        <v>2203</v>
      </c>
      <c r="B61" s="11" t="s">
        <v>2109</v>
      </c>
      <c r="C61" s="5" t="s">
        <v>216</v>
      </c>
      <c r="D61" s="11" t="s">
        <v>158</v>
      </c>
      <c r="E61" s="45">
        <v>250</v>
      </c>
      <c r="F61" s="45">
        <v>66.03</v>
      </c>
      <c r="G61" s="45">
        <v>32.44</v>
      </c>
      <c r="H61" s="45">
        <f>MAX(0,E61-F61-G61)</f>
        <v>151.53</v>
      </c>
      <c r="I61" s="5" t="s">
        <v>425</v>
      </c>
      <c r="J61" s="5">
        <v>28</v>
      </c>
      <c r="K61" s="28">
        <v>46054</v>
      </c>
      <c r="L61" s="5" t="s">
        <v>2125</v>
      </c>
      <c r="M61" s="5" t="s">
        <v>2151</v>
      </c>
    </row>
    <row r="62" spans="1:13">
      <c r="A62" s="11" t="s">
        <v>2204</v>
      </c>
      <c r="B62" s="11" t="s">
        <v>2110</v>
      </c>
      <c r="C62" s="5" t="s">
        <v>216</v>
      </c>
      <c r="D62" s="11" t="s">
        <v>150</v>
      </c>
      <c r="E62" s="45">
        <v>242.38</v>
      </c>
      <c r="F62" s="45">
        <v>41.8</v>
      </c>
      <c r="G62" s="45">
        <v>32.950000000000003</v>
      </c>
      <c r="H62" s="45">
        <f>MAX(0,E62-F62-G62)</f>
        <v>167.63</v>
      </c>
      <c r="I62" s="5" t="s">
        <v>425</v>
      </c>
      <c r="J62" s="5">
        <v>7</v>
      </c>
      <c r="K62" s="28">
        <v>46076</v>
      </c>
      <c r="L62" s="5" t="s">
        <v>2125</v>
      </c>
      <c r="M62" s="5" t="s">
        <v>2133</v>
      </c>
    </row>
    <row r="63" spans="1:13">
      <c r="A63" s="11" t="s">
        <v>2205</v>
      </c>
      <c r="B63" s="11" t="s">
        <v>2111</v>
      </c>
      <c r="C63" s="5" t="s">
        <v>216</v>
      </c>
      <c r="D63" s="11" t="s">
        <v>155</v>
      </c>
      <c r="E63" s="45">
        <v>175.36</v>
      </c>
      <c r="F63" s="45">
        <v>18.170000000000002</v>
      </c>
      <c r="G63" s="45">
        <v>18.600000000000001</v>
      </c>
      <c r="H63" s="45">
        <f>MAX(0,E63-F63-G63)</f>
        <v>138.59</v>
      </c>
      <c r="I63" s="5" t="s">
        <v>425</v>
      </c>
      <c r="J63" s="5">
        <v>14</v>
      </c>
      <c r="K63" s="28">
        <v>46070</v>
      </c>
      <c r="L63" s="5" t="s">
        <v>2125</v>
      </c>
      <c r="M63" s="5" t="s">
        <v>2142</v>
      </c>
    </row>
    <row r="64" spans="1:13">
      <c r="A64" s="11" t="s">
        <v>2206</v>
      </c>
      <c r="B64" s="11" t="s">
        <v>2112</v>
      </c>
      <c r="C64" s="5" t="s">
        <v>216</v>
      </c>
      <c r="D64" s="11" t="s">
        <v>180</v>
      </c>
      <c r="E64" s="45">
        <v>271.5</v>
      </c>
      <c r="F64" s="45">
        <v>54.18</v>
      </c>
      <c r="G64" s="45">
        <v>41.06</v>
      </c>
      <c r="H64" s="45">
        <f>MAX(0,E64-F64-G64)</f>
        <v>176.26</v>
      </c>
      <c r="I64" s="5" t="s">
        <v>425</v>
      </c>
      <c r="J64" s="5">
        <v>8</v>
      </c>
      <c r="K64" s="28">
        <v>46077</v>
      </c>
      <c r="L64" s="5" t="s">
        <v>2125</v>
      </c>
      <c r="M64" s="5" t="s">
        <v>2146</v>
      </c>
    </row>
    <row r="65" spans="1:13">
      <c r="A65" s="11" t="s">
        <v>2207</v>
      </c>
      <c r="B65" s="11" t="s">
        <v>2043</v>
      </c>
      <c r="C65" s="5" t="s">
        <v>216</v>
      </c>
      <c r="D65" s="11" t="s">
        <v>155</v>
      </c>
      <c r="E65" s="45">
        <v>175.38</v>
      </c>
      <c r="F65" s="45">
        <v>39.81</v>
      </c>
      <c r="G65" s="45">
        <v>1.1000000000000001</v>
      </c>
      <c r="H65" s="45">
        <f>MAX(0,E65-F65-G65)</f>
        <v>134.47</v>
      </c>
      <c r="I65" s="5" t="s">
        <v>425</v>
      </c>
      <c r="J65" s="5">
        <v>14</v>
      </c>
      <c r="K65" s="28">
        <v>46072</v>
      </c>
      <c r="L65" s="5" t="s">
        <v>2125</v>
      </c>
      <c r="M65" s="5" t="s">
        <v>2142</v>
      </c>
    </row>
    <row r="66" spans="1:13">
      <c r="A66" s="11" t="s">
        <v>2208</v>
      </c>
      <c r="B66" s="11" t="s">
        <v>2046</v>
      </c>
      <c r="C66" s="5" t="s">
        <v>216</v>
      </c>
      <c r="D66" s="11" t="s">
        <v>150</v>
      </c>
      <c r="E66" s="45">
        <v>224.85</v>
      </c>
      <c r="F66" s="45">
        <v>74.87</v>
      </c>
      <c r="G66" s="45">
        <v>18.64</v>
      </c>
      <c r="H66" s="45">
        <f>MAX(0,E66-F66-G66)</f>
        <v>131.33999999999997</v>
      </c>
      <c r="I66" s="5" t="s">
        <v>425</v>
      </c>
      <c r="J66" s="5">
        <v>7</v>
      </c>
      <c r="K66" s="28">
        <v>46080</v>
      </c>
      <c r="L66" s="5" t="s">
        <v>2125</v>
      </c>
      <c r="M66" s="5" t="s">
        <v>2133</v>
      </c>
    </row>
    <row r="67" spans="1:13">
      <c r="A67" s="11" t="s">
        <v>2209</v>
      </c>
      <c r="B67" s="11" t="s">
        <v>2048</v>
      </c>
      <c r="C67" s="5" t="s">
        <v>216</v>
      </c>
      <c r="D67" s="11" t="s">
        <v>158</v>
      </c>
      <c r="E67" s="45">
        <v>249.64</v>
      </c>
      <c r="F67" s="45">
        <v>59.9</v>
      </c>
      <c r="G67" s="45">
        <v>49.24</v>
      </c>
      <c r="H67" s="45">
        <f>MAX(0,E67-F67-G67)</f>
        <v>140.49999999999997</v>
      </c>
      <c r="I67" s="5" t="s">
        <v>425</v>
      </c>
      <c r="J67" s="5">
        <v>28</v>
      </c>
      <c r="K67" s="28">
        <v>46060</v>
      </c>
      <c r="L67" s="5" t="s">
        <v>2125</v>
      </c>
      <c r="M67" s="5" t="s">
        <v>2151</v>
      </c>
    </row>
    <row r="68" spans="1:13">
      <c r="A68" s="11" t="s">
        <v>2210</v>
      </c>
      <c r="B68" s="11" t="s">
        <v>2050</v>
      </c>
      <c r="C68" s="5" t="s">
        <v>216</v>
      </c>
      <c r="D68" s="11" t="s">
        <v>180</v>
      </c>
      <c r="E68" s="45">
        <v>253.7</v>
      </c>
      <c r="F68" s="45">
        <v>40.19</v>
      </c>
      <c r="G68" s="45">
        <v>34.44</v>
      </c>
      <c r="H68" s="45">
        <f>MAX(0,E68-F68-G68)</f>
        <v>179.07</v>
      </c>
      <c r="I68" s="5" t="s">
        <v>425</v>
      </c>
      <c r="J68" s="5">
        <v>8</v>
      </c>
      <c r="K68" s="28">
        <v>46081</v>
      </c>
      <c r="L68" s="5" t="s">
        <v>2125</v>
      </c>
      <c r="M68" s="5" t="s">
        <v>2146</v>
      </c>
    </row>
    <row r="69" spans="1:13">
      <c r="A69" s="11" t="s">
        <v>2211</v>
      </c>
      <c r="B69" s="11" t="s">
        <v>2051</v>
      </c>
      <c r="C69" s="5" t="s">
        <v>216</v>
      </c>
      <c r="D69" s="11" t="s">
        <v>152</v>
      </c>
      <c r="E69" s="45">
        <v>270.17</v>
      </c>
      <c r="F69" s="45">
        <v>64.33</v>
      </c>
      <c r="G69" s="45">
        <v>27.92</v>
      </c>
      <c r="H69" s="45">
        <f>MAX(0,E69-F69-G69)</f>
        <v>177.92000000000002</v>
      </c>
      <c r="I69" s="5" t="s">
        <v>425</v>
      </c>
      <c r="J69" s="5">
        <v>10</v>
      </c>
      <c r="K69" s="28">
        <v>46080</v>
      </c>
      <c r="L69" s="5" t="s">
        <v>2125</v>
      </c>
      <c r="M69" s="5" t="s">
        <v>2137</v>
      </c>
    </row>
    <row r="70" spans="1:13">
      <c r="A70" s="11" t="s">
        <v>2212</v>
      </c>
      <c r="B70" s="11" t="s">
        <v>2052</v>
      </c>
      <c r="C70" s="5" t="s">
        <v>216</v>
      </c>
      <c r="D70" s="11" t="s">
        <v>180</v>
      </c>
      <c r="E70" s="45">
        <v>204.52</v>
      </c>
      <c r="F70" s="45">
        <v>18.440000000000001</v>
      </c>
      <c r="G70" s="45">
        <v>54.83</v>
      </c>
      <c r="H70" s="45">
        <f>MAX(0,E70-F70-G70)</f>
        <v>131.25</v>
      </c>
      <c r="I70" s="5" t="s">
        <v>425</v>
      </c>
      <c r="J70" s="5">
        <v>8</v>
      </c>
      <c r="K70" s="28">
        <v>46083</v>
      </c>
      <c r="L70" s="5" t="s">
        <v>2125</v>
      </c>
      <c r="M70" s="5" t="s">
        <v>2146</v>
      </c>
    </row>
    <row r="71" spans="1:13">
      <c r="A71" s="11" t="s">
        <v>2213</v>
      </c>
      <c r="B71" s="11" t="s">
        <v>2053</v>
      </c>
      <c r="C71" s="5" t="s">
        <v>216</v>
      </c>
      <c r="D71" s="11" t="s">
        <v>2124</v>
      </c>
      <c r="E71" s="45">
        <v>252.21</v>
      </c>
      <c r="F71" s="45">
        <v>77.31</v>
      </c>
      <c r="G71" s="45">
        <v>16.350000000000001</v>
      </c>
      <c r="H71" s="45">
        <f>MAX(0,E71-F71-G71)</f>
        <v>158.55000000000001</v>
      </c>
      <c r="I71" s="5" t="s">
        <v>425</v>
      </c>
      <c r="J71" s="5">
        <v>8</v>
      </c>
      <c r="K71" s="28">
        <v>46084</v>
      </c>
      <c r="L71" s="5" t="s">
        <v>2125</v>
      </c>
      <c r="M71" s="5" t="s">
        <v>2126</v>
      </c>
    </row>
    <row r="72" spans="1:13">
      <c r="A72" s="11" t="s">
        <v>2214</v>
      </c>
      <c r="B72" s="11" t="s">
        <v>2054</v>
      </c>
      <c r="C72" s="5" t="s">
        <v>283</v>
      </c>
      <c r="D72" s="11" t="s">
        <v>163</v>
      </c>
      <c r="E72" s="45">
        <v>237.6</v>
      </c>
      <c r="F72" s="45">
        <v>35.76</v>
      </c>
      <c r="G72" s="45">
        <v>51.72</v>
      </c>
      <c r="H72" s="45">
        <f>MAX(0,E72-F72-G72)</f>
        <v>150.12</v>
      </c>
      <c r="I72" s="5" t="s">
        <v>425</v>
      </c>
      <c r="J72" s="5">
        <v>35</v>
      </c>
      <c r="K72" s="28">
        <v>46058</v>
      </c>
      <c r="L72" s="5" t="s">
        <v>2125</v>
      </c>
      <c r="M72" s="5" t="s">
        <v>2179</v>
      </c>
    </row>
    <row r="73" spans="1:13">
      <c r="A73" s="11" t="s">
        <v>2215</v>
      </c>
      <c r="B73" s="11" t="s">
        <v>2055</v>
      </c>
      <c r="C73" s="5" t="s">
        <v>216</v>
      </c>
      <c r="D73" s="11" t="s">
        <v>2155</v>
      </c>
      <c r="E73" s="45">
        <v>202.38</v>
      </c>
      <c r="F73" s="45">
        <v>33.950000000000003</v>
      </c>
      <c r="G73" s="45">
        <v>20.02</v>
      </c>
      <c r="H73" s="45">
        <f>MAX(0,E73-F73-G73)</f>
        <v>148.41</v>
      </c>
      <c r="I73" s="5" t="s">
        <v>425</v>
      </c>
      <c r="J73" s="5">
        <v>10</v>
      </c>
      <c r="K73" s="28">
        <v>46084</v>
      </c>
      <c r="L73" s="5" t="s">
        <v>2125</v>
      </c>
      <c r="M73" s="5" t="s">
        <v>2156</v>
      </c>
    </row>
    <row r="74" spans="1:13">
      <c r="A74" s="11" t="s">
        <v>2216</v>
      </c>
      <c r="B74" s="11" t="s">
        <v>2056</v>
      </c>
      <c r="C74" s="5" t="s">
        <v>274</v>
      </c>
      <c r="D74" s="11" t="s">
        <v>167</v>
      </c>
      <c r="E74" s="45">
        <v>256.25</v>
      </c>
      <c r="F74" s="45">
        <v>53.3</v>
      </c>
      <c r="G74" s="45">
        <v>23.54</v>
      </c>
      <c r="H74" s="45">
        <f>MAX(0,E74-F74-G74)</f>
        <v>179.41</v>
      </c>
      <c r="I74" s="5" t="s">
        <v>425</v>
      </c>
      <c r="J74" s="5">
        <v>21</v>
      </c>
      <c r="K74" s="28">
        <v>46074</v>
      </c>
      <c r="L74" s="5" t="s">
        <v>2125</v>
      </c>
      <c r="M74" s="5" t="s">
        <v>2196</v>
      </c>
    </row>
    <row r="75" spans="1:13">
      <c r="A75" s="11" t="s">
        <v>2217</v>
      </c>
      <c r="B75" s="11" t="s">
        <v>2057</v>
      </c>
      <c r="C75" s="5" t="s">
        <v>274</v>
      </c>
      <c r="D75" s="11" t="s">
        <v>172</v>
      </c>
      <c r="E75" s="45">
        <v>210.76</v>
      </c>
      <c r="F75" s="45">
        <v>45.58</v>
      </c>
      <c r="G75" s="45">
        <v>23.26</v>
      </c>
      <c r="H75" s="45">
        <f>MAX(0,E75-F75-G75)</f>
        <v>141.92000000000002</v>
      </c>
      <c r="I75" s="5" t="s">
        <v>425</v>
      </c>
      <c r="J75" s="5">
        <v>3</v>
      </c>
      <c r="K75" s="28">
        <v>46093</v>
      </c>
      <c r="L75" s="5" t="s">
        <v>2125</v>
      </c>
      <c r="M75" s="5" t="s">
        <v>2166</v>
      </c>
    </row>
    <row r="76" spans="1:13">
      <c r="A76" s="11" t="s">
        <v>2218</v>
      </c>
      <c r="B76" s="11" t="s">
        <v>2058</v>
      </c>
      <c r="C76" s="5" t="s">
        <v>216</v>
      </c>
      <c r="D76" s="11" t="s">
        <v>2155</v>
      </c>
      <c r="E76" s="45">
        <v>222.98</v>
      </c>
      <c r="F76" s="45">
        <v>35.92</v>
      </c>
      <c r="G76" s="45">
        <v>27.65</v>
      </c>
      <c r="H76" s="45">
        <f>MAX(0,E76-F76-G76)</f>
        <v>159.41</v>
      </c>
      <c r="I76" s="5" t="s">
        <v>425</v>
      </c>
      <c r="J76" s="5">
        <v>10</v>
      </c>
      <c r="K76" s="28">
        <v>46087</v>
      </c>
      <c r="L76" s="5" t="s">
        <v>2125</v>
      </c>
      <c r="M76" s="5" t="s">
        <v>2156</v>
      </c>
    </row>
    <row r="77" spans="1:13">
      <c r="A77" s="11" t="s">
        <v>2219</v>
      </c>
      <c r="B77" s="11" t="s">
        <v>2059</v>
      </c>
      <c r="C77" s="5" t="s">
        <v>216</v>
      </c>
      <c r="D77" s="11" t="s">
        <v>2124</v>
      </c>
      <c r="E77" s="45">
        <v>221.94</v>
      </c>
      <c r="F77" s="45">
        <v>59.16</v>
      </c>
      <c r="G77" s="45">
        <v>25.58</v>
      </c>
      <c r="H77" s="45">
        <f>MAX(0,E77-F77-G77)</f>
        <v>137.19999999999999</v>
      </c>
      <c r="I77" s="5" t="s">
        <v>425</v>
      </c>
      <c r="J77" s="5">
        <v>8</v>
      </c>
      <c r="K77" s="28">
        <v>46090</v>
      </c>
      <c r="L77" s="5" t="s">
        <v>2125</v>
      </c>
      <c r="M77" s="5" t="s">
        <v>2126</v>
      </c>
    </row>
    <row r="78" spans="1:13">
      <c r="A78" s="11" t="s">
        <v>2220</v>
      </c>
      <c r="B78" s="11" t="s">
        <v>2060</v>
      </c>
      <c r="C78" s="5" t="s">
        <v>274</v>
      </c>
      <c r="D78" s="11" t="s">
        <v>167</v>
      </c>
      <c r="E78" s="45">
        <v>233.31</v>
      </c>
      <c r="F78" s="45">
        <v>30.42</v>
      </c>
      <c r="G78" s="45">
        <v>27.11</v>
      </c>
      <c r="H78" s="45">
        <f>MAX(0,E78-F78-G78)</f>
        <v>175.77999999999997</v>
      </c>
      <c r="I78" s="5" t="s">
        <v>425</v>
      </c>
      <c r="J78" s="5">
        <v>21</v>
      </c>
      <c r="K78" s="28">
        <v>46078</v>
      </c>
      <c r="L78" s="5" t="s">
        <v>2125</v>
      </c>
      <c r="M78" s="5" t="s">
        <v>2196</v>
      </c>
    </row>
    <row r="79" spans="1:13">
      <c r="A79" s="11" t="s">
        <v>2221</v>
      </c>
      <c r="B79" s="11" t="s">
        <v>2061</v>
      </c>
      <c r="C79" s="5" t="s">
        <v>274</v>
      </c>
      <c r="D79" s="11" t="s">
        <v>2139</v>
      </c>
      <c r="E79" s="45">
        <v>216.31</v>
      </c>
      <c r="F79" s="45">
        <v>46</v>
      </c>
      <c r="G79" s="45">
        <v>10.68</v>
      </c>
      <c r="H79" s="45">
        <f>MAX(0,E79-F79-G79)</f>
        <v>159.63</v>
      </c>
      <c r="I79" s="5" t="s">
        <v>425</v>
      </c>
      <c r="J79" s="5">
        <v>0</v>
      </c>
      <c r="K79" s="28">
        <v>46100</v>
      </c>
      <c r="L79" s="5" t="s">
        <v>2125</v>
      </c>
      <c r="M79" s="5" t="s">
        <v>2140</v>
      </c>
    </row>
    <row r="80" spans="1:13">
      <c r="A80" s="11" t="s">
        <v>2222</v>
      </c>
      <c r="B80" s="11" t="s">
        <v>2062</v>
      </c>
      <c r="C80" s="5" t="s">
        <v>216</v>
      </c>
      <c r="D80" s="11" t="s">
        <v>155</v>
      </c>
      <c r="E80" s="45">
        <v>192.86</v>
      </c>
      <c r="F80" s="45">
        <v>30.96</v>
      </c>
      <c r="G80" s="45">
        <v>9.92</v>
      </c>
      <c r="H80" s="45">
        <f>MAX(0,E80-F80-G80)</f>
        <v>151.98000000000002</v>
      </c>
      <c r="I80" s="5" t="s">
        <v>425</v>
      </c>
      <c r="J80" s="5">
        <v>14</v>
      </c>
      <c r="K80" s="28">
        <v>46087</v>
      </c>
      <c r="L80" s="5" t="s">
        <v>2125</v>
      </c>
      <c r="M80" s="5" t="s">
        <v>2142</v>
      </c>
    </row>
    <row r="81" spans="1:13">
      <c r="A81" s="11" t="s">
        <v>2223</v>
      </c>
      <c r="B81" s="11" t="s">
        <v>2064</v>
      </c>
      <c r="C81" s="5" t="s">
        <v>216</v>
      </c>
      <c r="D81" s="11" t="s">
        <v>2155</v>
      </c>
      <c r="E81" s="45">
        <v>272.41000000000003</v>
      </c>
      <c r="F81" s="45">
        <v>69.56</v>
      </c>
      <c r="G81" s="45">
        <v>48.72</v>
      </c>
      <c r="H81" s="45">
        <f>MAX(0,E81-F81-G81)</f>
        <v>154.13000000000002</v>
      </c>
      <c r="I81" s="5" t="s">
        <v>425</v>
      </c>
      <c r="J81" s="5">
        <v>10</v>
      </c>
      <c r="K81" s="28">
        <v>46092</v>
      </c>
      <c r="L81" s="5" t="s">
        <v>2125</v>
      </c>
      <c r="M81" s="5" t="s">
        <v>2156</v>
      </c>
    </row>
    <row r="82" spans="1:13">
      <c r="A82" s="11" t="s">
        <v>2224</v>
      </c>
      <c r="B82" s="11" t="s">
        <v>2065</v>
      </c>
      <c r="C82" s="5" t="s">
        <v>216</v>
      </c>
      <c r="D82" s="11" t="s">
        <v>2124</v>
      </c>
      <c r="E82" s="45">
        <v>235.65</v>
      </c>
      <c r="F82" s="45">
        <v>54.85</v>
      </c>
      <c r="G82" s="45">
        <v>7.92</v>
      </c>
      <c r="H82" s="45">
        <f>MAX(0,E82-F82-G82)</f>
        <v>172.88000000000002</v>
      </c>
      <c r="I82" s="5" t="s">
        <v>425</v>
      </c>
      <c r="J82" s="5">
        <v>8</v>
      </c>
      <c r="K82" s="28">
        <v>46095</v>
      </c>
      <c r="L82" s="5" t="s">
        <v>2125</v>
      </c>
      <c r="M82" s="5" t="s">
        <v>2126</v>
      </c>
    </row>
    <row r="83" spans="1:13">
      <c r="A83" s="11" t="s">
        <v>2225</v>
      </c>
      <c r="B83" s="11" t="s">
        <v>2066</v>
      </c>
      <c r="C83" s="5" t="s">
        <v>216</v>
      </c>
      <c r="D83" s="11" t="s">
        <v>176</v>
      </c>
      <c r="E83" s="45">
        <v>176.58</v>
      </c>
      <c r="F83" s="45">
        <v>33.69</v>
      </c>
      <c r="G83" s="45">
        <v>2.0099999999999998</v>
      </c>
      <c r="H83" s="45">
        <f>MAX(0,E83-F83-G83)</f>
        <v>140.88000000000002</v>
      </c>
      <c r="I83" s="5" t="s">
        <v>425</v>
      </c>
      <c r="J83" s="5">
        <v>5</v>
      </c>
      <c r="K83" s="28">
        <v>46099</v>
      </c>
      <c r="L83" s="5" t="s">
        <v>2125</v>
      </c>
      <c r="M83" s="5" t="s">
        <v>2131</v>
      </c>
    </row>
    <row r="84" spans="1:13">
      <c r="A84" s="11" t="s">
        <v>2226</v>
      </c>
      <c r="B84" s="11" t="s">
        <v>2067</v>
      </c>
      <c r="C84" s="5" t="s">
        <v>216</v>
      </c>
      <c r="D84" s="11" t="s">
        <v>150</v>
      </c>
      <c r="E84" s="45">
        <v>205.3</v>
      </c>
      <c r="F84" s="45">
        <v>3.33</v>
      </c>
      <c r="G84" s="45">
        <v>59.4</v>
      </c>
      <c r="H84" s="45">
        <f>MAX(0,E84-F84-G84)</f>
        <v>142.57</v>
      </c>
      <c r="I84" s="5" t="s">
        <v>425</v>
      </c>
      <c r="J84" s="5">
        <v>7</v>
      </c>
      <c r="K84" s="28">
        <v>46098</v>
      </c>
      <c r="L84" s="5" t="s">
        <v>2125</v>
      </c>
      <c r="M84" s="5" t="s">
        <v>2133</v>
      </c>
    </row>
    <row r="85" spans="1:13">
      <c r="A85" s="11" t="s">
        <v>2227</v>
      </c>
      <c r="B85" s="11" t="s">
        <v>2068</v>
      </c>
      <c r="C85" s="5" t="s">
        <v>216</v>
      </c>
      <c r="D85" s="11" t="s">
        <v>152</v>
      </c>
      <c r="E85" s="45">
        <v>191.92</v>
      </c>
      <c r="F85" s="45">
        <v>15.96</v>
      </c>
      <c r="G85" s="45">
        <v>14.54</v>
      </c>
      <c r="H85" s="45">
        <f>MAX(0,E85-F85-G85)</f>
        <v>161.41999999999999</v>
      </c>
      <c r="I85" s="5" t="s">
        <v>425</v>
      </c>
      <c r="J85" s="5">
        <v>10</v>
      </c>
      <c r="K85" s="28">
        <v>46096</v>
      </c>
      <c r="L85" s="5" t="s">
        <v>2125</v>
      </c>
      <c r="M85" s="5" t="s">
        <v>2137</v>
      </c>
    </row>
    <row r="86" spans="1:13">
      <c r="A86" s="11" t="s">
        <v>2228</v>
      </c>
      <c r="B86" s="11" t="s">
        <v>2069</v>
      </c>
      <c r="C86" s="5" t="s">
        <v>216</v>
      </c>
      <c r="D86" s="11" t="s">
        <v>2128</v>
      </c>
      <c r="E86" s="45">
        <v>251.22</v>
      </c>
      <c r="F86" s="45">
        <v>27.36</v>
      </c>
      <c r="G86" s="45">
        <v>55.48</v>
      </c>
      <c r="H86" s="45">
        <f>MAX(0,E86-F86-G86)</f>
        <v>168.38000000000002</v>
      </c>
      <c r="I86" s="5" t="s">
        <v>425</v>
      </c>
      <c r="J86" s="5">
        <v>9</v>
      </c>
      <c r="K86" s="28">
        <v>46098</v>
      </c>
      <c r="L86" s="5" t="s">
        <v>2125</v>
      </c>
      <c r="M86" s="5" t="s">
        <v>2129</v>
      </c>
    </row>
    <row r="87" spans="1:13">
      <c r="A87" s="11" t="s">
        <v>2229</v>
      </c>
      <c r="B87" s="11" t="s">
        <v>2070</v>
      </c>
      <c r="C87" s="5" t="s">
        <v>216</v>
      </c>
      <c r="D87" s="11" t="s">
        <v>158</v>
      </c>
      <c r="E87" s="45">
        <v>273</v>
      </c>
      <c r="F87" s="45">
        <v>65.91</v>
      </c>
      <c r="G87" s="45">
        <v>45.19</v>
      </c>
      <c r="H87" s="45">
        <f>MAX(0,E87-F87-G87)</f>
        <v>161.9</v>
      </c>
      <c r="I87" s="5" t="s">
        <v>425</v>
      </c>
      <c r="J87" s="5">
        <v>28</v>
      </c>
      <c r="K87" s="28">
        <v>46080</v>
      </c>
      <c r="L87" s="5" t="s">
        <v>2125</v>
      </c>
      <c r="M87" s="5" t="s">
        <v>2151</v>
      </c>
    </row>
    <row r="88" spans="1:13">
      <c r="A88" s="11" t="s">
        <v>2230</v>
      </c>
      <c r="B88" s="11" t="s">
        <v>2071</v>
      </c>
      <c r="C88" s="5" t="s">
        <v>274</v>
      </c>
      <c r="D88" s="11" t="s">
        <v>167</v>
      </c>
      <c r="E88" s="45">
        <v>190.49</v>
      </c>
      <c r="F88" s="45">
        <v>38.369999999999997</v>
      </c>
      <c r="G88" s="45">
        <v>10.18</v>
      </c>
      <c r="H88" s="45">
        <f>MAX(0,E88-F88-G88)</f>
        <v>141.94</v>
      </c>
      <c r="I88" s="5" t="s">
        <v>425</v>
      </c>
      <c r="J88" s="5">
        <v>21</v>
      </c>
      <c r="K88" s="28">
        <v>46088</v>
      </c>
      <c r="L88" s="5" t="s">
        <v>2125</v>
      </c>
      <c r="M88" s="5" t="s">
        <v>2196</v>
      </c>
    </row>
    <row r="89" spans="1:13">
      <c r="A89" s="11" t="s">
        <v>2231</v>
      </c>
      <c r="B89" s="11" t="s">
        <v>2072</v>
      </c>
      <c r="C89" s="5" t="s">
        <v>216</v>
      </c>
      <c r="D89" s="11" t="s">
        <v>2155</v>
      </c>
      <c r="E89" s="45">
        <v>199.88</v>
      </c>
      <c r="F89" s="45">
        <v>28.34</v>
      </c>
      <c r="G89" s="45">
        <v>4.75</v>
      </c>
      <c r="H89" s="45">
        <f>MAX(0,E89-F89-G89)</f>
        <v>166.79</v>
      </c>
      <c r="I89" s="5" t="s">
        <v>425</v>
      </c>
      <c r="J89" s="5">
        <v>10</v>
      </c>
      <c r="K89" s="28">
        <v>46072</v>
      </c>
      <c r="L89" s="5" t="s">
        <v>2125</v>
      </c>
      <c r="M89" s="5" t="s">
        <v>2156</v>
      </c>
    </row>
    <row r="90" spans="1:13">
      <c r="A90" s="11" t="s">
        <v>2232</v>
      </c>
      <c r="B90" s="11" t="s">
        <v>2073</v>
      </c>
      <c r="C90" s="5" t="s">
        <v>274</v>
      </c>
      <c r="D90" s="11" t="s">
        <v>2160</v>
      </c>
      <c r="E90" s="45">
        <v>231.33</v>
      </c>
      <c r="F90" s="45">
        <v>44.09</v>
      </c>
      <c r="G90" s="45">
        <v>34.369999999999997</v>
      </c>
      <c r="H90" s="45">
        <f>MAX(0,E90-F90-G90)</f>
        <v>152.87</v>
      </c>
      <c r="I90" s="5" t="s">
        <v>425</v>
      </c>
      <c r="J90" s="5">
        <v>0</v>
      </c>
      <c r="K90" s="28">
        <v>46083</v>
      </c>
      <c r="L90" s="5" t="s">
        <v>2125</v>
      </c>
      <c r="M90" s="5" t="s">
        <v>2161</v>
      </c>
    </row>
    <row r="91" spans="1:13">
      <c r="A91" s="11" t="s">
        <v>2233</v>
      </c>
      <c r="B91" s="11" t="s">
        <v>2074</v>
      </c>
      <c r="C91" s="5" t="s">
        <v>274</v>
      </c>
      <c r="D91" s="11" t="s">
        <v>2139</v>
      </c>
      <c r="E91" s="45">
        <v>218.14</v>
      </c>
      <c r="F91" s="45">
        <v>31.59</v>
      </c>
      <c r="G91" s="45">
        <v>16.64</v>
      </c>
      <c r="H91" s="45">
        <f>MAX(0,E91-F91-G91)</f>
        <v>169.90999999999997</v>
      </c>
      <c r="I91" s="5" t="s">
        <v>425</v>
      </c>
      <c r="J91" s="5">
        <v>0</v>
      </c>
      <c r="K91" s="28">
        <v>46084</v>
      </c>
      <c r="L91" s="5" t="s">
        <v>2125</v>
      </c>
      <c r="M91" s="5" t="s">
        <v>2140</v>
      </c>
    </row>
    <row r="92" spans="1:13">
      <c r="A92" s="11" t="s">
        <v>2234</v>
      </c>
      <c r="B92" s="11" t="s">
        <v>2075</v>
      </c>
      <c r="C92" s="5" t="s">
        <v>216</v>
      </c>
      <c r="D92" s="11" t="s">
        <v>180</v>
      </c>
      <c r="E92" s="45">
        <v>201.47</v>
      </c>
      <c r="F92" s="45">
        <v>29.3</v>
      </c>
      <c r="G92" s="45">
        <v>13.28</v>
      </c>
      <c r="H92" s="45">
        <f>MAX(0,E92-F92-G92)</f>
        <v>158.88999999999999</v>
      </c>
      <c r="I92" s="5" t="s">
        <v>425</v>
      </c>
      <c r="J92" s="5">
        <v>8</v>
      </c>
      <c r="K92" s="28">
        <v>46077</v>
      </c>
      <c r="L92" s="5" t="s">
        <v>2125</v>
      </c>
      <c r="M92" s="5" t="s">
        <v>2146</v>
      </c>
    </row>
    <row r="93" spans="1:13">
      <c r="A93" s="11" t="s">
        <v>2235</v>
      </c>
      <c r="B93" s="11" t="s">
        <v>2076</v>
      </c>
      <c r="C93" s="5" t="s">
        <v>216</v>
      </c>
      <c r="D93" s="11" t="s">
        <v>2155</v>
      </c>
      <c r="E93" s="45">
        <v>208.5</v>
      </c>
      <c r="F93" s="45">
        <v>40.81</v>
      </c>
      <c r="G93" s="45">
        <v>21.43</v>
      </c>
      <c r="H93" s="45">
        <f>MAX(0,E93-F93-G93)</f>
        <v>146.26</v>
      </c>
      <c r="I93" s="5" t="s">
        <v>425</v>
      </c>
      <c r="J93" s="5">
        <v>10</v>
      </c>
      <c r="K93" s="28">
        <v>46076</v>
      </c>
      <c r="L93" s="5" t="s">
        <v>2125</v>
      </c>
      <c r="M93" s="5" t="s">
        <v>2156</v>
      </c>
    </row>
    <row r="94" spans="1:13">
      <c r="A94" s="11" t="s">
        <v>2236</v>
      </c>
      <c r="B94" s="11" t="s">
        <v>2077</v>
      </c>
      <c r="C94" s="5" t="s">
        <v>216</v>
      </c>
      <c r="D94" s="11" t="s">
        <v>2155</v>
      </c>
      <c r="E94" s="45">
        <v>221.04</v>
      </c>
      <c r="F94" s="45">
        <v>21.61</v>
      </c>
      <c r="G94" s="45">
        <v>7.97</v>
      </c>
      <c r="H94" s="45">
        <f>MAX(0,E94-F94-G94)</f>
        <v>191.46</v>
      </c>
      <c r="I94" s="5" t="s">
        <v>425</v>
      </c>
      <c r="J94" s="5">
        <v>10</v>
      </c>
      <c r="K94" s="28">
        <v>46077</v>
      </c>
      <c r="L94" s="5" t="s">
        <v>2171</v>
      </c>
      <c r="M94" s="5" t="s">
        <v>2156</v>
      </c>
    </row>
    <row r="95" spans="1:13">
      <c r="A95" s="11" t="s">
        <v>2237</v>
      </c>
      <c r="B95" s="11" t="s">
        <v>2078</v>
      </c>
      <c r="C95" s="5" t="s">
        <v>216</v>
      </c>
      <c r="D95" s="11" t="s">
        <v>155</v>
      </c>
      <c r="E95" s="45">
        <v>308.18</v>
      </c>
      <c r="F95" s="45">
        <v>76.260000000000005</v>
      </c>
      <c r="G95" s="45">
        <v>45.04</v>
      </c>
      <c r="H95" s="45">
        <f>MAX(0,E95-F95-G95)</f>
        <v>186.88000000000002</v>
      </c>
      <c r="I95" s="5" t="s">
        <v>425</v>
      </c>
      <c r="J95" s="5">
        <v>14</v>
      </c>
      <c r="K95" s="28">
        <v>46074</v>
      </c>
      <c r="L95" s="5" t="s">
        <v>2125</v>
      </c>
      <c r="M95" s="5" t="s">
        <v>2142</v>
      </c>
    </row>
    <row r="96" spans="1:13">
      <c r="A96" s="11" t="s">
        <v>2238</v>
      </c>
      <c r="B96" s="11" t="s">
        <v>2079</v>
      </c>
      <c r="C96" s="5" t="s">
        <v>274</v>
      </c>
      <c r="D96" s="11" t="s">
        <v>2139</v>
      </c>
      <c r="E96" s="45">
        <v>201.29</v>
      </c>
      <c r="F96" s="45">
        <v>22.24</v>
      </c>
      <c r="G96" s="45">
        <v>0.38</v>
      </c>
      <c r="H96" s="45">
        <f>MAX(0,E96-F96-G96)</f>
        <v>178.67</v>
      </c>
      <c r="I96" s="5" t="s">
        <v>425</v>
      </c>
      <c r="J96" s="5">
        <v>0</v>
      </c>
      <c r="K96" s="28">
        <v>46089</v>
      </c>
      <c r="L96" s="5" t="s">
        <v>2125</v>
      </c>
      <c r="M96" s="5" t="s">
        <v>2140</v>
      </c>
    </row>
    <row r="97" spans="1:13">
      <c r="A97" s="11" t="s">
        <v>2239</v>
      </c>
      <c r="B97" s="11" t="s">
        <v>2080</v>
      </c>
      <c r="C97" s="5" t="s">
        <v>216</v>
      </c>
      <c r="D97" s="11" t="s">
        <v>2155</v>
      </c>
      <c r="E97" s="45">
        <v>257.39</v>
      </c>
      <c r="F97" s="45">
        <v>56.6</v>
      </c>
      <c r="G97" s="45">
        <v>50.78</v>
      </c>
      <c r="H97" s="45">
        <f>MAX(0,E97-F97-G97)</f>
        <v>150.01</v>
      </c>
      <c r="I97" s="5" t="s">
        <v>425</v>
      </c>
      <c r="J97" s="5">
        <v>10</v>
      </c>
      <c r="K97" s="28">
        <v>46080</v>
      </c>
      <c r="L97" s="5" t="s">
        <v>2125</v>
      </c>
      <c r="M97" s="5" t="s">
        <v>2156</v>
      </c>
    </row>
    <row r="98" spans="1:13">
      <c r="A98" s="11" t="s">
        <v>2240</v>
      </c>
      <c r="B98" s="11" t="s">
        <v>2081</v>
      </c>
      <c r="C98" s="5" t="s">
        <v>274</v>
      </c>
      <c r="D98" s="11" t="s">
        <v>167</v>
      </c>
      <c r="E98" s="45">
        <v>190.81</v>
      </c>
      <c r="F98" s="45">
        <v>41.84</v>
      </c>
      <c r="G98" s="45">
        <v>2.23</v>
      </c>
      <c r="H98" s="45">
        <f>MAX(0,E98-F98-G98)</f>
        <v>146.74</v>
      </c>
      <c r="I98" s="5" t="s">
        <v>425</v>
      </c>
      <c r="J98" s="5">
        <v>21</v>
      </c>
      <c r="K98" s="28">
        <v>46070</v>
      </c>
      <c r="L98" s="5" t="s">
        <v>2125</v>
      </c>
      <c r="M98" s="5" t="s">
        <v>2196</v>
      </c>
    </row>
    <row r="99" spans="1:13">
      <c r="A99" s="11" t="s">
        <v>2241</v>
      </c>
      <c r="B99" s="11" t="s">
        <v>2082</v>
      </c>
      <c r="C99" s="5" t="s">
        <v>216</v>
      </c>
      <c r="D99" s="11" t="s">
        <v>152</v>
      </c>
      <c r="E99" s="45">
        <v>274.56</v>
      </c>
      <c r="F99" s="45">
        <v>67.13</v>
      </c>
      <c r="G99" s="45">
        <v>35.06</v>
      </c>
      <c r="H99" s="45">
        <f>MAX(0,E99-F99-G99)</f>
        <v>172.37</v>
      </c>
      <c r="I99" s="5" t="s">
        <v>425</v>
      </c>
      <c r="J99" s="5">
        <v>10</v>
      </c>
      <c r="K99" s="28">
        <v>46082</v>
      </c>
      <c r="L99" s="5" t="s">
        <v>2125</v>
      </c>
      <c r="M99" s="5" t="s">
        <v>2137</v>
      </c>
    </row>
    <row r="100" spans="1:13">
      <c r="A100" s="11" t="s">
        <v>2242</v>
      </c>
      <c r="B100" s="11" t="s">
        <v>2083</v>
      </c>
      <c r="C100" s="5" t="s">
        <v>216</v>
      </c>
      <c r="D100" s="11" t="s">
        <v>155</v>
      </c>
      <c r="E100" s="45">
        <v>218.05</v>
      </c>
      <c r="F100" s="45">
        <v>1.21</v>
      </c>
      <c r="G100" s="45">
        <v>47.62</v>
      </c>
      <c r="H100" s="45">
        <f>MAX(0,E100-F100-G100)</f>
        <v>169.22</v>
      </c>
      <c r="I100" s="5" t="s">
        <v>425</v>
      </c>
      <c r="J100" s="5">
        <v>14</v>
      </c>
      <c r="K100" s="28">
        <v>46079</v>
      </c>
      <c r="L100" s="5" t="s">
        <v>2125</v>
      </c>
      <c r="M100" s="5" t="s">
        <v>2142</v>
      </c>
    </row>
    <row r="101" spans="1:13">
      <c r="A101" s="11" t="s">
        <v>2243</v>
      </c>
      <c r="B101" s="11" t="s">
        <v>2085</v>
      </c>
      <c r="C101" s="5" t="s">
        <v>216</v>
      </c>
      <c r="D101" s="11" t="s">
        <v>176</v>
      </c>
      <c r="E101" s="45">
        <v>203.58</v>
      </c>
      <c r="F101" s="45">
        <v>13.12</v>
      </c>
      <c r="G101" s="45">
        <v>6.88</v>
      </c>
      <c r="H101" s="45">
        <f>MAX(0,E101-F101-G101)</f>
        <v>183.58</v>
      </c>
      <c r="I101" s="5" t="s">
        <v>425</v>
      </c>
      <c r="J101" s="5">
        <v>5</v>
      </c>
      <c r="K101" s="28">
        <v>46089</v>
      </c>
      <c r="L101" s="5" t="s">
        <v>2125</v>
      </c>
      <c r="M101" s="5" t="s">
        <v>2131</v>
      </c>
    </row>
    <row r="102" spans="1:13">
      <c r="A102" s="11" t="s">
        <v>2244</v>
      </c>
      <c r="B102" s="11" t="s">
        <v>2086</v>
      </c>
      <c r="C102" s="5" t="s">
        <v>216</v>
      </c>
      <c r="D102" s="11" t="s">
        <v>2155</v>
      </c>
      <c r="E102" s="45">
        <v>220.44</v>
      </c>
      <c r="F102" s="45">
        <v>57.13</v>
      </c>
      <c r="G102" s="45">
        <v>9.4</v>
      </c>
      <c r="H102" s="45">
        <f>MAX(0,E102-F102-G102)</f>
        <v>153.91</v>
      </c>
      <c r="I102" s="5" t="s">
        <v>425</v>
      </c>
      <c r="J102" s="5">
        <v>10</v>
      </c>
      <c r="K102" s="28">
        <v>46085</v>
      </c>
      <c r="L102" s="5" t="s">
        <v>2125</v>
      </c>
      <c r="M102" s="5" t="s">
        <v>2156</v>
      </c>
    </row>
    <row r="103" spans="1:13">
      <c r="A103" s="11" t="s">
        <v>2245</v>
      </c>
      <c r="B103" s="11" t="s">
        <v>2087</v>
      </c>
      <c r="C103" s="5" t="s">
        <v>216</v>
      </c>
      <c r="D103" s="11" t="s">
        <v>180</v>
      </c>
      <c r="E103" s="45">
        <v>180.79</v>
      </c>
      <c r="F103" s="45">
        <v>18.04</v>
      </c>
      <c r="G103" s="45">
        <v>31.1</v>
      </c>
      <c r="H103" s="45">
        <f>MAX(0,E103-F103-G103)</f>
        <v>131.65</v>
      </c>
      <c r="I103" s="5" t="s">
        <v>425</v>
      </c>
      <c r="J103" s="5">
        <v>8</v>
      </c>
      <c r="K103" s="28">
        <v>46088</v>
      </c>
      <c r="L103" s="5" t="s">
        <v>2125</v>
      </c>
      <c r="M103" s="5" t="s">
        <v>2146</v>
      </c>
    </row>
    <row r="104" spans="1:13">
      <c r="A104" s="11" t="s">
        <v>2246</v>
      </c>
      <c r="B104" s="11" t="s">
        <v>2088</v>
      </c>
      <c r="C104" s="5" t="s">
        <v>292</v>
      </c>
      <c r="D104" s="11" t="s">
        <v>175</v>
      </c>
      <c r="E104" s="45">
        <v>223.17</v>
      </c>
      <c r="F104" s="45">
        <v>25.74</v>
      </c>
      <c r="G104" s="45">
        <v>29.03</v>
      </c>
      <c r="H104" s="45">
        <f>MAX(0,E104-F104-G104)</f>
        <v>168.39999999999998</v>
      </c>
      <c r="I104" s="5" t="s">
        <v>425</v>
      </c>
      <c r="J104" s="5">
        <v>18</v>
      </c>
      <c r="K104" s="28">
        <v>46079</v>
      </c>
      <c r="L104" s="5" t="s">
        <v>2125</v>
      </c>
      <c r="M104" s="5" t="s">
        <v>2247</v>
      </c>
    </row>
    <row r="105" spans="1:13">
      <c r="A105" s="11" t="s">
        <v>2248</v>
      </c>
      <c r="B105" s="11" t="s">
        <v>2089</v>
      </c>
      <c r="C105" s="5" t="s">
        <v>216</v>
      </c>
      <c r="D105" s="11" t="s">
        <v>155</v>
      </c>
      <c r="E105" s="45">
        <v>232.35</v>
      </c>
      <c r="F105" s="45">
        <v>47.22</v>
      </c>
      <c r="G105" s="45">
        <v>35.659999999999997</v>
      </c>
      <c r="H105" s="45">
        <f>MAX(0,E105-F105-G105)</f>
        <v>149.47</v>
      </c>
      <c r="I105" s="5" t="s">
        <v>425</v>
      </c>
      <c r="J105" s="5">
        <v>14</v>
      </c>
      <c r="K105" s="28">
        <v>46084</v>
      </c>
      <c r="L105" s="5" t="s">
        <v>2125</v>
      </c>
      <c r="M105" s="5" t="s">
        <v>2142</v>
      </c>
    </row>
    <row r="106" spans="1:13">
      <c r="A106" s="11" t="s">
        <v>2249</v>
      </c>
      <c r="B106" s="11" t="s">
        <v>2090</v>
      </c>
      <c r="C106" s="5" t="s">
        <v>216</v>
      </c>
      <c r="D106" s="11" t="s">
        <v>180</v>
      </c>
      <c r="E106" s="45">
        <v>240.39</v>
      </c>
      <c r="F106" s="45">
        <v>69.06</v>
      </c>
      <c r="G106" s="45">
        <v>45.09</v>
      </c>
      <c r="H106" s="45">
        <f>MAX(0,E106-F106-G106)</f>
        <v>126.23999999999998</v>
      </c>
      <c r="I106" s="5" t="s">
        <v>425</v>
      </c>
      <c r="J106" s="5">
        <v>8</v>
      </c>
      <c r="K106" s="28">
        <v>46091</v>
      </c>
      <c r="L106" s="5" t="s">
        <v>2148</v>
      </c>
      <c r="M106" s="5" t="s">
        <v>2146</v>
      </c>
    </row>
    <row r="107" spans="1:13">
      <c r="A107" s="11" t="s">
        <v>2250</v>
      </c>
      <c r="B107" s="11" t="s">
        <v>2091</v>
      </c>
      <c r="C107" s="5" t="s">
        <v>216</v>
      </c>
      <c r="D107" s="11" t="s">
        <v>2155</v>
      </c>
      <c r="E107" s="45">
        <v>234.86</v>
      </c>
      <c r="F107" s="45">
        <v>54.79</v>
      </c>
      <c r="G107" s="45">
        <v>27.37</v>
      </c>
      <c r="H107" s="45">
        <f>MAX(0,E107-F107-G107)</f>
        <v>152.70000000000002</v>
      </c>
      <c r="I107" s="5" t="s">
        <v>425</v>
      </c>
      <c r="J107" s="5">
        <v>10</v>
      </c>
      <c r="K107" s="28">
        <v>46090</v>
      </c>
      <c r="L107" s="5" t="s">
        <v>2125</v>
      </c>
      <c r="M107" s="5" t="s">
        <v>2156</v>
      </c>
    </row>
    <row r="108" spans="1:13">
      <c r="A108" s="11" t="s">
        <v>2251</v>
      </c>
      <c r="B108" s="11" t="s">
        <v>2093</v>
      </c>
      <c r="C108" s="5" t="s">
        <v>216</v>
      </c>
      <c r="D108" s="11" t="s">
        <v>2124</v>
      </c>
      <c r="E108" s="45">
        <v>287.83999999999997</v>
      </c>
      <c r="F108" s="45">
        <v>68.91</v>
      </c>
      <c r="G108" s="45">
        <v>57.67</v>
      </c>
      <c r="H108" s="45">
        <f>MAX(0,E108-F108-G108)</f>
        <v>161.26</v>
      </c>
      <c r="I108" s="5" t="s">
        <v>425</v>
      </c>
      <c r="J108" s="5">
        <v>8</v>
      </c>
      <c r="K108" s="28">
        <v>46093</v>
      </c>
      <c r="L108" s="5" t="s">
        <v>2125</v>
      </c>
      <c r="M108" s="5" t="s">
        <v>2126</v>
      </c>
    </row>
    <row r="109" spans="1:13">
      <c r="A109" s="11" t="s">
        <v>2252</v>
      </c>
      <c r="B109" s="11" t="s">
        <v>2095</v>
      </c>
      <c r="C109" s="5" t="s">
        <v>274</v>
      </c>
      <c r="D109" s="11" t="s">
        <v>2160</v>
      </c>
      <c r="E109" s="45">
        <v>225.7</v>
      </c>
      <c r="F109" s="45">
        <v>49.95</v>
      </c>
      <c r="G109" s="45">
        <v>14.52</v>
      </c>
      <c r="H109" s="45">
        <f>MAX(0,E109-F109-G109)</f>
        <v>161.22999999999999</v>
      </c>
      <c r="I109" s="5" t="s">
        <v>425</v>
      </c>
      <c r="J109" s="5">
        <v>0</v>
      </c>
      <c r="K109" s="28">
        <v>46102</v>
      </c>
      <c r="L109" s="5" t="s">
        <v>2125</v>
      </c>
      <c r="M109" s="5" t="s">
        <v>2161</v>
      </c>
    </row>
    <row r="110" spans="1:13">
      <c r="A110" s="11" t="s">
        <v>2253</v>
      </c>
      <c r="B110" s="11" t="s">
        <v>2097</v>
      </c>
      <c r="C110" s="5" t="s">
        <v>274</v>
      </c>
      <c r="D110" s="11" t="s">
        <v>2160</v>
      </c>
      <c r="E110" s="45">
        <v>196.53</v>
      </c>
      <c r="F110" s="45">
        <v>7.36</v>
      </c>
      <c r="G110" s="45">
        <v>20.43</v>
      </c>
      <c r="H110" s="45">
        <f>MAX(0,E110-F110-G110)</f>
        <v>168.73999999999998</v>
      </c>
      <c r="I110" s="5" t="s">
        <v>425</v>
      </c>
      <c r="J110" s="5">
        <v>0</v>
      </c>
      <c r="K110" s="28">
        <v>46103</v>
      </c>
      <c r="L110" s="5" t="s">
        <v>2125</v>
      </c>
      <c r="M110" s="5" t="s">
        <v>2161</v>
      </c>
    </row>
    <row r="111" spans="1:13">
      <c r="A111" s="11" t="s">
        <v>2254</v>
      </c>
      <c r="B111" s="11" t="s">
        <v>2099</v>
      </c>
      <c r="C111" s="5" t="s">
        <v>274</v>
      </c>
      <c r="D111" s="11" t="s">
        <v>167</v>
      </c>
      <c r="E111" s="45">
        <v>248.24</v>
      </c>
      <c r="F111" s="45">
        <v>53.57</v>
      </c>
      <c r="G111" s="45">
        <v>24.47</v>
      </c>
      <c r="H111" s="45">
        <f>MAX(0,E111-F111-G111)</f>
        <v>170.20000000000002</v>
      </c>
      <c r="I111" s="5" t="s">
        <v>425</v>
      </c>
      <c r="J111" s="5">
        <v>21</v>
      </c>
      <c r="K111" s="28">
        <v>46083</v>
      </c>
      <c r="L111" s="5" t="s">
        <v>2125</v>
      </c>
      <c r="M111" s="5" t="s">
        <v>2196</v>
      </c>
    </row>
    <row r="112" spans="1:13">
      <c r="A112" s="11" t="s">
        <v>2255</v>
      </c>
      <c r="B112" s="11" t="s">
        <v>2100</v>
      </c>
      <c r="C112" s="5" t="s">
        <v>216</v>
      </c>
      <c r="D112" s="11" t="s">
        <v>150</v>
      </c>
      <c r="E112" s="45">
        <v>181.45</v>
      </c>
      <c r="F112" s="45">
        <v>22.25</v>
      </c>
      <c r="G112" s="45">
        <v>1.57</v>
      </c>
      <c r="H112" s="45">
        <f>MAX(0,E112-F112-G112)</f>
        <v>157.63</v>
      </c>
      <c r="I112" s="5" t="s">
        <v>425</v>
      </c>
      <c r="J112" s="5">
        <v>7</v>
      </c>
      <c r="K112" s="28">
        <v>46098</v>
      </c>
      <c r="L112" s="5" t="s">
        <v>2125</v>
      </c>
      <c r="M112" s="5" t="s">
        <v>2133</v>
      </c>
    </row>
    <row r="113" spans="1:13">
      <c r="A113" s="11" t="s">
        <v>2256</v>
      </c>
      <c r="B113" s="11" t="s">
        <v>2101</v>
      </c>
      <c r="C113" s="5" t="s">
        <v>216</v>
      </c>
      <c r="D113" s="11" t="s">
        <v>152</v>
      </c>
      <c r="E113" s="45">
        <v>245.49</v>
      </c>
      <c r="F113" s="45">
        <v>44.26</v>
      </c>
      <c r="G113" s="45">
        <v>38.19</v>
      </c>
      <c r="H113" s="45">
        <f>MAX(0,E113-F113-G113)</f>
        <v>163.04000000000002</v>
      </c>
      <c r="I113" s="5" t="s">
        <v>425</v>
      </c>
      <c r="J113" s="5">
        <v>10</v>
      </c>
      <c r="K113" s="28">
        <v>46096</v>
      </c>
      <c r="L113" s="5" t="s">
        <v>2125</v>
      </c>
      <c r="M113" s="5" t="s">
        <v>2137</v>
      </c>
    </row>
    <row r="114" spans="1:13">
      <c r="A114" s="11" t="s">
        <v>2257</v>
      </c>
      <c r="B114" s="11" t="s">
        <v>2102</v>
      </c>
      <c r="C114" s="5" t="s">
        <v>274</v>
      </c>
      <c r="D114" s="11" t="s">
        <v>167</v>
      </c>
      <c r="E114" s="45">
        <v>204.5</v>
      </c>
      <c r="F114" s="45">
        <v>32.36</v>
      </c>
      <c r="G114" s="45">
        <v>9.1</v>
      </c>
      <c r="H114" s="45">
        <f>MAX(0,E114-F114-G114)</f>
        <v>163.04</v>
      </c>
      <c r="I114" s="5" t="s">
        <v>425</v>
      </c>
      <c r="J114" s="5">
        <v>21</v>
      </c>
      <c r="K114" s="28">
        <v>46086</v>
      </c>
      <c r="L114" s="5" t="s">
        <v>2125</v>
      </c>
      <c r="M114" s="5" t="s">
        <v>2196</v>
      </c>
    </row>
    <row r="115" spans="1:13">
      <c r="A115" s="11" t="s">
        <v>2258</v>
      </c>
      <c r="B115" s="11" t="s">
        <v>2103</v>
      </c>
      <c r="C115" s="5" t="s">
        <v>216</v>
      </c>
      <c r="D115" s="11" t="s">
        <v>2124</v>
      </c>
      <c r="E115" s="45">
        <v>207.71</v>
      </c>
      <c r="F115" s="45">
        <v>46.02</v>
      </c>
      <c r="G115" s="45">
        <v>4.87</v>
      </c>
      <c r="H115" s="45">
        <f>MAX(0,E115-F115-G115)</f>
        <v>156.82</v>
      </c>
      <c r="I115" s="5" t="s">
        <v>425</v>
      </c>
      <c r="J115" s="5">
        <v>8</v>
      </c>
      <c r="K115" s="28">
        <v>46100</v>
      </c>
      <c r="L115" s="5" t="s">
        <v>2125</v>
      </c>
      <c r="M115" s="5" t="s">
        <v>2126</v>
      </c>
    </row>
    <row r="116" spans="1:13">
      <c r="A116" s="11" t="s">
        <v>2259</v>
      </c>
      <c r="B116" s="11" t="s">
        <v>2104</v>
      </c>
      <c r="C116" s="5" t="s">
        <v>216</v>
      </c>
      <c r="D116" s="11" t="s">
        <v>152</v>
      </c>
      <c r="E116" s="45">
        <v>196.09</v>
      </c>
      <c r="F116" s="45">
        <v>7.57</v>
      </c>
      <c r="G116" s="45">
        <v>44.86</v>
      </c>
      <c r="H116" s="45">
        <f>MAX(0,E116-F116-G116)</f>
        <v>143.66000000000003</v>
      </c>
      <c r="I116" s="5" t="s">
        <v>425</v>
      </c>
      <c r="J116" s="5">
        <v>10</v>
      </c>
      <c r="K116" s="28">
        <v>46099</v>
      </c>
      <c r="L116" s="5" t="s">
        <v>2125</v>
      </c>
      <c r="M116" s="5" t="s">
        <v>2137</v>
      </c>
    </row>
    <row r="117" spans="1:13">
      <c r="A117" s="11" t="s">
        <v>2260</v>
      </c>
      <c r="B117" s="11" t="s">
        <v>2105</v>
      </c>
      <c r="C117" s="5" t="s">
        <v>216</v>
      </c>
      <c r="D117" s="11" t="s">
        <v>155</v>
      </c>
      <c r="E117" s="45">
        <v>241.18</v>
      </c>
      <c r="F117" s="45">
        <v>60.9</v>
      </c>
      <c r="G117" s="45">
        <v>25.33</v>
      </c>
      <c r="H117" s="45">
        <f>MAX(0,E117-F117-G117)</f>
        <v>154.94999999999999</v>
      </c>
      <c r="I117" s="5" t="s">
        <v>425</v>
      </c>
      <c r="J117" s="5">
        <v>14</v>
      </c>
      <c r="K117" s="28">
        <v>46068</v>
      </c>
      <c r="L117" s="5" t="s">
        <v>2125</v>
      </c>
      <c r="M117" s="5" t="s">
        <v>2142</v>
      </c>
    </row>
    <row r="118" spans="1:13">
      <c r="A118" s="11" t="s">
        <v>2261</v>
      </c>
      <c r="B118" s="11" t="s">
        <v>2106</v>
      </c>
      <c r="C118" s="5" t="s">
        <v>216</v>
      </c>
      <c r="D118" s="11" t="s">
        <v>158</v>
      </c>
      <c r="E118" s="45">
        <v>207.23</v>
      </c>
      <c r="F118" s="45">
        <v>4.0199999999999996</v>
      </c>
      <c r="G118" s="45">
        <v>27.32</v>
      </c>
      <c r="H118" s="45">
        <f>MAX(0,E118-F118-G118)</f>
        <v>175.89</v>
      </c>
      <c r="I118" s="5" t="s">
        <v>425</v>
      </c>
      <c r="J118" s="5">
        <v>28</v>
      </c>
      <c r="K118" s="28">
        <v>46055</v>
      </c>
      <c r="L118" s="5" t="s">
        <v>2125</v>
      </c>
      <c r="M118" s="5" t="s">
        <v>2151</v>
      </c>
    </row>
    <row r="119" spans="1:13">
      <c r="A119" s="11" t="s">
        <v>2262</v>
      </c>
      <c r="B119" s="11" t="s">
        <v>2107</v>
      </c>
      <c r="C119" s="5" t="s">
        <v>216</v>
      </c>
      <c r="D119" s="11" t="s">
        <v>176</v>
      </c>
      <c r="E119" s="45">
        <v>204.68</v>
      </c>
      <c r="F119" s="45">
        <v>6.67</v>
      </c>
      <c r="G119" s="45">
        <v>44.16</v>
      </c>
      <c r="H119" s="45">
        <f>MAX(0,E119-F119-G119)</f>
        <v>153.85000000000002</v>
      </c>
      <c r="I119" s="5" t="s">
        <v>425</v>
      </c>
      <c r="J119" s="5">
        <v>5</v>
      </c>
      <c r="K119" s="28">
        <v>46079</v>
      </c>
      <c r="L119" s="5" t="s">
        <v>2125</v>
      </c>
      <c r="M119" s="5" t="s">
        <v>2131</v>
      </c>
    </row>
    <row r="120" spans="1:13">
      <c r="A120" s="11" t="s">
        <v>2263</v>
      </c>
      <c r="B120" s="11" t="s">
        <v>2108</v>
      </c>
      <c r="C120" s="5" t="s">
        <v>216</v>
      </c>
      <c r="D120" s="11" t="s">
        <v>2124</v>
      </c>
      <c r="E120" s="45">
        <v>248.62</v>
      </c>
      <c r="F120" s="45">
        <v>44.27</v>
      </c>
      <c r="G120" s="45">
        <v>3.06</v>
      </c>
      <c r="H120" s="45">
        <f>MAX(0,E120-F120-G120)</f>
        <v>201.29</v>
      </c>
      <c r="I120" s="5" t="s">
        <v>425</v>
      </c>
      <c r="J120" s="5">
        <v>8</v>
      </c>
      <c r="K120" s="28">
        <v>46077</v>
      </c>
      <c r="L120" s="5" t="s">
        <v>2171</v>
      </c>
      <c r="M120" s="5" t="s">
        <v>2126</v>
      </c>
    </row>
    <row r="121" spans="1:13">
      <c r="A121" s="11" t="s">
        <v>2264</v>
      </c>
      <c r="B121" s="11" t="s">
        <v>2109</v>
      </c>
      <c r="C121" s="5" t="s">
        <v>283</v>
      </c>
      <c r="D121" s="11" t="s">
        <v>174</v>
      </c>
      <c r="E121" s="45">
        <v>221.47</v>
      </c>
      <c r="F121" s="45">
        <v>14.2</v>
      </c>
      <c r="G121" s="45">
        <v>42.19</v>
      </c>
      <c r="H121" s="45">
        <f>MAX(0,E121-F121-G121)</f>
        <v>165.08</v>
      </c>
      <c r="I121" s="5" t="s">
        <v>425</v>
      </c>
      <c r="J121" s="5">
        <v>2</v>
      </c>
      <c r="K121" s="28">
        <v>46084</v>
      </c>
      <c r="L121" s="5" t="s">
        <v>2125</v>
      </c>
      <c r="M121" s="5" t="s">
        <v>2188</v>
      </c>
    </row>
    <row r="122" spans="1:13">
      <c r="A122" s="11" t="s">
        <v>2265</v>
      </c>
      <c r="B122" s="11" t="s">
        <v>2110</v>
      </c>
      <c r="C122" s="5" t="s">
        <v>274</v>
      </c>
      <c r="D122" s="11" t="s">
        <v>167</v>
      </c>
      <c r="E122" s="45">
        <v>262.2</v>
      </c>
      <c r="F122" s="45">
        <v>62.77</v>
      </c>
      <c r="G122" s="45">
        <v>56.36</v>
      </c>
      <c r="H122" s="45">
        <f>MAX(0,E122-F122-G122)</f>
        <v>143.07</v>
      </c>
      <c r="I122" s="5" t="s">
        <v>425</v>
      </c>
      <c r="J122" s="5">
        <v>21</v>
      </c>
      <c r="K122" s="28">
        <v>46066</v>
      </c>
      <c r="L122" s="5" t="s">
        <v>2125</v>
      </c>
      <c r="M122" s="5" t="s">
        <v>2196</v>
      </c>
    </row>
    <row r="123" spans="1:13">
      <c r="A123" s="11" t="s">
        <v>2266</v>
      </c>
      <c r="B123" s="11" t="s">
        <v>2111</v>
      </c>
      <c r="C123" s="5" t="s">
        <v>216</v>
      </c>
      <c r="D123" s="11" t="s">
        <v>152</v>
      </c>
      <c r="E123" s="45">
        <v>218.84</v>
      </c>
      <c r="F123" s="45">
        <v>37.86</v>
      </c>
      <c r="G123" s="45">
        <v>2.09</v>
      </c>
      <c r="H123" s="45">
        <f>MAX(0,E123-F123-G123)</f>
        <v>178.89000000000001</v>
      </c>
      <c r="I123" s="5" t="s">
        <v>425</v>
      </c>
      <c r="J123" s="5">
        <v>10</v>
      </c>
      <c r="K123" s="28">
        <v>46078</v>
      </c>
      <c r="L123" s="5" t="s">
        <v>2125</v>
      </c>
      <c r="M123" s="5" t="s">
        <v>2137</v>
      </c>
    </row>
    <row r="124" spans="1:13">
      <c r="A124" s="11" t="s">
        <v>2267</v>
      </c>
      <c r="B124" s="11" t="s">
        <v>2112</v>
      </c>
      <c r="C124" s="5" t="s">
        <v>216</v>
      </c>
      <c r="D124" s="11" t="s">
        <v>158</v>
      </c>
      <c r="E124" s="45">
        <v>202.84</v>
      </c>
      <c r="F124" s="45">
        <v>42.42</v>
      </c>
      <c r="G124" s="45">
        <v>18.05</v>
      </c>
      <c r="H124" s="45">
        <f>MAX(0,E124-F124-G124)</f>
        <v>142.37</v>
      </c>
      <c r="I124" s="5" t="s">
        <v>425</v>
      </c>
      <c r="J124" s="5">
        <v>28</v>
      </c>
      <c r="K124" s="28">
        <v>46061</v>
      </c>
      <c r="L124" s="5" t="s">
        <v>2125</v>
      </c>
      <c r="M124" s="5" t="s">
        <v>2151</v>
      </c>
    </row>
    <row r="125" spans="1:13">
      <c r="A125" s="11" t="s">
        <v>2268</v>
      </c>
      <c r="B125" s="11" t="s">
        <v>2043</v>
      </c>
      <c r="C125" s="5" t="s">
        <v>216</v>
      </c>
      <c r="D125" s="11" t="s">
        <v>2124</v>
      </c>
      <c r="E125" s="45">
        <v>207.86</v>
      </c>
      <c r="F125" s="45">
        <v>18.28</v>
      </c>
      <c r="G125" s="45">
        <v>52.58</v>
      </c>
      <c r="H125" s="45">
        <f>MAX(0,E125-F125-G125)</f>
        <v>137</v>
      </c>
      <c r="I125" s="5" t="s">
        <v>425</v>
      </c>
      <c r="J125" s="5">
        <v>8</v>
      </c>
      <c r="K125" s="28">
        <v>46082</v>
      </c>
      <c r="L125" s="5" t="s">
        <v>2125</v>
      </c>
      <c r="M125" s="5" t="s">
        <v>2126</v>
      </c>
    </row>
    <row r="126" spans="1:13">
      <c r="A126" s="11" t="s">
        <v>2269</v>
      </c>
      <c r="B126" s="11" t="s">
        <v>2046</v>
      </c>
      <c r="C126" s="5" t="s">
        <v>274</v>
      </c>
      <c r="D126" s="11" t="s">
        <v>167</v>
      </c>
      <c r="E126" s="45">
        <v>231.62</v>
      </c>
      <c r="F126" s="45">
        <v>59.85</v>
      </c>
      <c r="G126" s="45">
        <v>10.37</v>
      </c>
      <c r="H126" s="45">
        <f>MAX(0,E126-F126-G126)</f>
        <v>161.4</v>
      </c>
      <c r="I126" s="5" t="s">
        <v>425</v>
      </c>
      <c r="J126" s="5">
        <v>21</v>
      </c>
      <c r="K126" s="28">
        <v>46070</v>
      </c>
      <c r="L126" s="5" t="s">
        <v>2125</v>
      </c>
      <c r="M126" s="5" t="s">
        <v>2196</v>
      </c>
    </row>
    <row r="127" spans="1:13">
      <c r="A127" s="11" t="s">
        <v>2270</v>
      </c>
      <c r="B127" s="11" t="s">
        <v>2048</v>
      </c>
      <c r="C127" s="5" t="s">
        <v>216</v>
      </c>
      <c r="D127" s="11" t="s">
        <v>180</v>
      </c>
      <c r="E127" s="45">
        <v>189.55</v>
      </c>
      <c r="F127" s="45">
        <v>3.75</v>
      </c>
      <c r="G127" s="45">
        <v>10.25</v>
      </c>
      <c r="H127" s="45">
        <f>MAX(0,E127-F127-G127)</f>
        <v>175.55</v>
      </c>
      <c r="I127" s="5" t="s">
        <v>425</v>
      </c>
      <c r="J127" s="5">
        <v>8</v>
      </c>
      <c r="K127" s="28">
        <v>46084</v>
      </c>
      <c r="L127" s="5" t="s">
        <v>2125</v>
      </c>
      <c r="M127" s="5" t="s">
        <v>2146</v>
      </c>
    </row>
    <row r="128" spans="1:13">
      <c r="A128" s="11" t="s">
        <v>2271</v>
      </c>
      <c r="B128" s="11" t="s">
        <v>2050</v>
      </c>
      <c r="C128" s="5" t="s">
        <v>274</v>
      </c>
      <c r="D128" s="11" t="s">
        <v>2160</v>
      </c>
      <c r="E128" s="45">
        <v>170.41</v>
      </c>
      <c r="F128" s="45">
        <v>20.88</v>
      </c>
      <c r="G128" s="45">
        <v>5.0999999999999996</v>
      </c>
      <c r="H128" s="45">
        <f>MAX(0,E128-F128-G128)</f>
        <v>144.43</v>
      </c>
      <c r="I128" s="5" t="s">
        <v>425</v>
      </c>
      <c r="J128" s="5">
        <v>0</v>
      </c>
      <c r="K128" s="28">
        <v>46093</v>
      </c>
      <c r="L128" s="5" t="s">
        <v>2125</v>
      </c>
      <c r="M128" s="5" t="s">
        <v>2161</v>
      </c>
    </row>
    <row r="129" spans="1:13">
      <c r="A129" s="11" t="s">
        <v>2272</v>
      </c>
      <c r="B129" s="11" t="s">
        <v>2051</v>
      </c>
      <c r="C129" s="5" t="s">
        <v>216</v>
      </c>
      <c r="D129" s="11" t="s">
        <v>180</v>
      </c>
      <c r="E129" s="45">
        <v>212.55</v>
      </c>
      <c r="F129" s="45">
        <v>36.86</v>
      </c>
      <c r="G129" s="45">
        <v>9.8000000000000007</v>
      </c>
      <c r="H129" s="45">
        <f>MAX(0,E129-F129-G129)</f>
        <v>165.89</v>
      </c>
      <c r="I129" s="5" t="s">
        <v>425</v>
      </c>
      <c r="J129" s="5">
        <v>8</v>
      </c>
      <c r="K129" s="28">
        <v>46086</v>
      </c>
      <c r="L129" s="5" t="s">
        <v>2125</v>
      </c>
      <c r="M129" s="5" t="s">
        <v>2146</v>
      </c>
    </row>
    <row r="130" spans="1:13">
      <c r="A130" s="11" t="s">
        <v>2273</v>
      </c>
      <c r="B130" s="11" t="s">
        <v>2052</v>
      </c>
      <c r="C130" s="5" t="s">
        <v>216</v>
      </c>
      <c r="D130" s="11" t="s">
        <v>2124</v>
      </c>
      <c r="E130" s="45">
        <v>277.44</v>
      </c>
      <c r="F130" s="45">
        <v>67.33</v>
      </c>
      <c r="G130" s="45">
        <v>38.130000000000003</v>
      </c>
      <c r="H130" s="45">
        <f>MAX(0,E130-F130-G130)</f>
        <v>171.98000000000002</v>
      </c>
      <c r="I130" s="5" t="s">
        <v>425</v>
      </c>
      <c r="J130" s="5">
        <v>8</v>
      </c>
      <c r="K130" s="28">
        <v>46087</v>
      </c>
      <c r="L130" s="5" t="s">
        <v>2125</v>
      </c>
      <c r="M130" s="5" t="s">
        <v>2126</v>
      </c>
    </row>
    <row r="131" spans="1:13">
      <c r="A131" s="11" t="s">
        <v>2274</v>
      </c>
      <c r="B131" s="11" t="s">
        <v>2053</v>
      </c>
      <c r="C131" s="5" t="s">
        <v>274</v>
      </c>
      <c r="D131" s="11" t="s">
        <v>167</v>
      </c>
      <c r="E131" s="45">
        <v>228.02</v>
      </c>
      <c r="F131" s="45">
        <v>54.15</v>
      </c>
      <c r="G131" s="45">
        <v>4.54</v>
      </c>
      <c r="H131" s="45">
        <f>MAX(0,E131-F131-G131)</f>
        <v>169.33</v>
      </c>
      <c r="I131" s="5" t="s">
        <v>425</v>
      </c>
      <c r="J131" s="5">
        <v>21</v>
      </c>
      <c r="K131" s="28">
        <v>46075</v>
      </c>
      <c r="L131" s="5" t="s">
        <v>2125</v>
      </c>
      <c r="M131" s="5" t="s">
        <v>2196</v>
      </c>
    </row>
    <row r="132" spans="1:13">
      <c r="A132" s="11" t="s">
        <v>2275</v>
      </c>
      <c r="B132" s="11" t="s">
        <v>2054</v>
      </c>
      <c r="C132" s="5" t="s">
        <v>283</v>
      </c>
      <c r="D132" s="11" t="s">
        <v>174</v>
      </c>
      <c r="E132" s="45">
        <v>218.19</v>
      </c>
      <c r="F132" s="45">
        <v>55.76</v>
      </c>
      <c r="G132" s="45">
        <v>3.2</v>
      </c>
      <c r="H132" s="45">
        <f>MAX(0,E132-F132-G132)</f>
        <v>159.23000000000002</v>
      </c>
      <c r="I132" s="5" t="s">
        <v>425</v>
      </c>
      <c r="J132" s="5">
        <v>2</v>
      </c>
      <c r="K132" s="28">
        <v>46095</v>
      </c>
      <c r="L132" s="5" t="s">
        <v>2125</v>
      </c>
      <c r="M132" s="5" t="s">
        <v>2188</v>
      </c>
    </row>
    <row r="133" spans="1:13">
      <c r="A133" s="11" t="s">
        <v>2276</v>
      </c>
      <c r="B133" s="11" t="s">
        <v>2055</v>
      </c>
      <c r="C133" s="5" t="s">
        <v>216</v>
      </c>
      <c r="D133" s="11" t="s">
        <v>2124</v>
      </c>
      <c r="E133" s="45">
        <v>195.67</v>
      </c>
      <c r="F133" s="45">
        <v>27.33</v>
      </c>
      <c r="G133" s="45">
        <v>22.34</v>
      </c>
      <c r="H133" s="45">
        <f>MAX(0,E133-F133-G133)</f>
        <v>145.99999999999997</v>
      </c>
      <c r="I133" s="5" t="s">
        <v>425</v>
      </c>
      <c r="J133" s="5">
        <v>8</v>
      </c>
      <c r="K133" s="28">
        <v>46090</v>
      </c>
      <c r="L133" s="5" t="s">
        <v>2125</v>
      </c>
      <c r="M133" s="5" t="s">
        <v>2126</v>
      </c>
    </row>
    <row r="134" spans="1:13">
      <c r="A134" s="11" t="s">
        <v>2277</v>
      </c>
      <c r="B134" s="11" t="s">
        <v>2056</v>
      </c>
      <c r="C134" s="5" t="s">
        <v>216</v>
      </c>
      <c r="D134" s="11" t="s">
        <v>2128</v>
      </c>
      <c r="E134" s="45">
        <v>207.1</v>
      </c>
      <c r="F134" s="45">
        <v>14.66</v>
      </c>
      <c r="G134" s="45">
        <v>28.39</v>
      </c>
      <c r="H134" s="45">
        <f>MAX(0,E134-F134-G134)</f>
        <v>164.05</v>
      </c>
      <c r="I134" s="5" t="s">
        <v>425</v>
      </c>
      <c r="J134" s="5">
        <v>9</v>
      </c>
      <c r="K134" s="28">
        <v>46090</v>
      </c>
      <c r="L134" s="5" t="s">
        <v>2125</v>
      </c>
      <c r="M134" s="5" t="s">
        <v>2129</v>
      </c>
    </row>
    <row r="135" spans="1:13">
      <c r="A135" s="11" t="s">
        <v>2278</v>
      </c>
      <c r="B135" s="11" t="s">
        <v>2057</v>
      </c>
      <c r="C135" s="5" t="s">
        <v>216</v>
      </c>
      <c r="D135" s="11" t="s">
        <v>176</v>
      </c>
      <c r="E135" s="45">
        <v>255.05</v>
      </c>
      <c r="F135" s="45">
        <v>32.51</v>
      </c>
      <c r="G135" s="45">
        <v>41.65</v>
      </c>
      <c r="H135" s="45">
        <f>MAX(0,E135-F135-G135)</f>
        <v>180.89000000000001</v>
      </c>
      <c r="I135" s="5" t="s">
        <v>425</v>
      </c>
      <c r="J135" s="5">
        <v>5</v>
      </c>
      <c r="K135" s="28">
        <v>46095</v>
      </c>
      <c r="L135" s="5" t="s">
        <v>2125</v>
      </c>
      <c r="M135" s="5" t="s">
        <v>2131</v>
      </c>
    </row>
    <row r="136" spans="1:13">
      <c r="A136" s="11" t="s">
        <v>2279</v>
      </c>
      <c r="B136" s="11" t="s">
        <v>2058</v>
      </c>
      <c r="C136" s="5" t="s">
        <v>216</v>
      </c>
      <c r="D136" s="11" t="s">
        <v>150</v>
      </c>
      <c r="E136" s="45">
        <v>223.98</v>
      </c>
      <c r="F136" s="45">
        <v>30.39</v>
      </c>
      <c r="G136" s="45">
        <v>28.48</v>
      </c>
      <c r="H136" s="45">
        <f>MAX(0,E136-F136-G136)</f>
        <v>165.10999999999999</v>
      </c>
      <c r="I136" s="5" t="s">
        <v>425</v>
      </c>
      <c r="J136" s="5">
        <v>7</v>
      </c>
      <c r="K136" s="28">
        <v>46094</v>
      </c>
      <c r="L136" s="5" t="s">
        <v>2125</v>
      </c>
      <c r="M136" s="5" t="s">
        <v>2133</v>
      </c>
    </row>
    <row r="137" spans="1:13">
      <c r="A137" s="11" t="s">
        <v>2280</v>
      </c>
      <c r="B137" s="11" t="s">
        <v>2059</v>
      </c>
      <c r="C137" s="5" t="s">
        <v>216</v>
      </c>
      <c r="D137" s="11" t="s">
        <v>158</v>
      </c>
      <c r="E137" s="45">
        <v>161.02000000000001</v>
      </c>
      <c r="F137" s="45">
        <v>7.04</v>
      </c>
      <c r="G137" s="45">
        <v>33.64</v>
      </c>
      <c r="H137" s="45">
        <f>MAX(0,E137-F137-G137)</f>
        <v>120.34000000000002</v>
      </c>
      <c r="I137" s="5" t="s">
        <v>425</v>
      </c>
      <c r="J137" s="5">
        <v>28</v>
      </c>
      <c r="K137" s="28">
        <v>46074</v>
      </c>
      <c r="L137" s="5" t="s">
        <v>2148</v>
      </c>
      <c r="M137" s="5" t="s">
        <v>2151</v>
      </c>
    </row>
    <row r="138" spans="1:13">
      <c r="A138" s="11" t="s">
        <v>2281</v>
      </c>
      <c r="B138" s="11" t="s">
        <v>2060</v>
      </c>
      <c r="C138" s="5" t="s">
        <v>216</v>
      </c>
      <c r="D138" s="11" t="s">
        <v>158</v>
      </c>
      <c r="E138" s="45">
        <v>231.96</v>
      </c>
      <c r="F138" s="45">
        <v>66.94</v>
      </c>
      <c r="G138" s="45">
        <v>16.71</v>
      </c>
      <c r="H138" s="45">
        <f>MAX(0,E138-F138-G138)</f>
        <v>148.31</v>
      </c>
      <c r="I138" s="5" t="s">
        <v>425</v>
      </c>
      <c r="J138" s="5">
        <v>28</v>
      </c>
      <c r="K138" s="28">
        <v>46075</v>
      </c>
      <c r="L138" s="5" t="s">
        <v>2125</v>
      </c>
      <c r="M138" s="5" t="s">
        <v>2151</v>
      </c>
    </row>
    <row r="139" spans="1:13">
      <c r="A139" s="11" t="s">
        <v>2282</v>
      </c>
      <c r="B139" s="11" t="s">
        <v>2061</v>
      </c>
      <c r="C139" s="5" t="s">
        <v>283</v>
      </c>
      <c r="D139" s="11" t="s">
        <v>174</v>
      </c>
      <c r="E139" s="45">
        <v>186.35</v>
      </c>
      <c r="F139" s="45">
        <v>26.23</v>
      </c>
      <c r="G139" s="45">
        <v>13.31</v>
      </c>
      <c r="H139" s="45">
        <f>MAX(0,E139-F139-G139)</f>
        <v>146.81</v>
      </c>
      <c r="I139" s="5" t="s">
        <v>425</v>
      </c>
      <c r="J139" s="5">
        <v>2</v>
      </c>
      <c r="K139" s="28">
        <v>46102</v>
      </c>
      <c r="L139" s="5" t="s">
        <v>2125</v>
      </c>
      <c r="M139" s="5" t="s">
        <v>2188</v>
      </c>
    </row>
    <row r="140" spans="1:13">
      <c r="A140" s="11" t="s">
        <v>2283</v>
      </c>
      <c r="B140" s="11" t="s">
        <v>2062</v>
      </c>
      <c r="C140" s="5" t="s">
        <v>216</v>
      </c>
      <c r="D140" s="11" t="s">
        <v>176</v>
      </c>
      <c r="E140" s="45">
        <v>242.75</v>
      </c>
      <c r="F140" s="45">
        <v>64.02</v>
      </c>
      <c r="G140" s="45">
        <v>10.28</v>
      </c>
      <c r="H140" s="45">
        <f>MAX(0,E140-F140-G140)</f>
        <v>168.45000000000002</v>
      </c>
      <c r="I140" s="5" t="s">
        <v>425</v>
      </c>
      <c r="J140" s="5">
        <v>5</v>
      </c>
      <c r="K140" s="28">
        <v>46100</v>
      </c>
      <c r="L140" s="5" t="s">
        <v>2125</v>
      </c>
      <c r="M140" s="5" t="s">
        <v>2131</v>
      </c>
    </row>
    <row r="141" spans="1:13">
      <c r="A141" s="11" t="s">
        <v>2284</v>
      </c>
      <c r="B141" s="11" t="s">
        <v>2064</v>
      </c>
      <c r="C141" s="5" t="s">
        <v>216</v>
      </c>
      <c r="D141" s="11" t="s">
        <v>152</v>
      </c>
      <c r="E141" s="45">
        <v>197.08</v>
      </c>
      <c r="F141" s="45">
        <v>29.75</v>
      </c>
      <c r="G141" s="45">
        <v>24.69</v>
      </c>
      <c r="H141" s="45">
        <f>MAX(0,E141-F141-G141)</f>
        <v>142.64000000000001</v>
      </c>
      <c r="I141" s="5" t="s">
        <v>425</v>
      </c>
      <c r="J141" s="5">
        <v>10</v>
      </c>
      <c r="K141" s="28">
        <v>46096</v>
      </c>
      <c r="L141" s="5" t="s">
        <v>2125</v>
      </c>
      <c r="M141" s="5" t="s">
        <v>2137</v>
      </c>
    </row>
    <row r="142" spans="1:13">
      <c r="A142" s="11" t="s">
        <v>2285</v>
      </c>
      <c r="B142" s="11" t="s">
        <v>2065</v>
      </c>
      <c r="C142" s="5" t="s">
        <v>216</v>
      </c>
      <c r="D142" s="11" t="s">
        <v>2155</v>
      </c>
      <c r="E142" s="45">
        <v>254.47</v>
      </c>
      <c r="F142" s="45">
        <v>70.3</v>
      </c>
      <c r="G142" s="45">
        <v>40.479999999999997</v>
      </c>
      <c r="H142" s="45">
        <f>MAX(0,E142-F142-G142)</f>
        <v>143.69000000000003</v>
      </c>
      <c r="I142" s="5" t="s">
        <v>425</v>
      </c>
      <c r="J142" s="5">
        <v>10</v>
      </c>
      <c r="K142" s="28">
        <v>46097</v>
      </c>
      <c r="L142" s="5" t="s">
        <v>2125</v>
      </c>
      <c r="M142" s="5" t="s">
        <v>2156</v>
      </c>
    </row>
    <row r="143" spans="1:13">
      <c r="A143" s="11" t="s">
        <v>2286</v>
      </c>
      <c r="B143" s="11" t="s">
        <v>2066</v>
      </c>
      <c r="C143" s="5" t="s">
        <v>216</v>
      </c>
      <c r="D143" s="11" t="s">
        <v>180</v>
      </c>
      <c r="E143" s="45">
        <v>248</v>
      </c>
      <c r="F143" s="45">
        <v>57.85</v>
      </c>
      <c r="G143" s="45">
        <v>48.3</v>
      </c>
      <c r="H143" s="45">
        <f>MAX(0,E143-F143-G143)</f>
        <v>141.85000000000002</v>
      </c>
      <c r="I143" s="5" t="s">
        <v>425</v>
      </c>
      <c r="J143" s="5">
        <v>8</v>
      </c>
      <c r="K143" s="28">
        <v>46100</v>
      </c>
      <c r="L143" s="5" t="s">
        <v>2125</v>
      </c>
      <c r="M143" s="5" t="s">
        <v>2146</v>
      </c>
    </row>
    <row r="144" spans="1:13">
      <c r="A144" s="11" t="s">
        <v>2287</v>
      </c>
      <c r="B144" s="11" t="s">
        <v>2067</v>
      </c>
      <c r="C144" s="5" t="s">
        <v>216</v>
      </c>
      <c r="D144" s="11" t="s">
        <v>158</v>
      </c>
      <c r="E144" s="45">
        <v>236.59</v>
      </c>
      <c r="F144" s="45">
        <v>65.349999999999994</v>
      </c>
      <c r="G144" s="45">
        <v>14.29</v>
      </c>
      <c r="H144" s="45">
        <f>MAX(0,E144-F144-G144)</f>
        <v>156.95000000000002</v>
      </c>
      <c r="I144" s="5" t="s">
        <v>425</v>
      </c>
      <c r="J144" s="5">
        <v>28</v>
      </c>
      <c r="K144" s="28">
        <v>46081</v>
      </c>
      <c r="L144" s="5" t="s">
        <v>2125</v>
      </c>
      <c r="M144" s="5" t="s">
        <v>2151</v>
      </c>
    </row>
    <row r="145" spans="1:13">
      <c r="A145" s="11" t="s">
        <v>2288</v>
      </c>
      <c r="B145" s="11" t="s">
        <v>2068</v>
      </c>
      <c r="C145" s="5" t="s">
        <v>283</v>
      </c>
      <c r="D145" s="11" t="s">
        <v>160</v>
      </c>
      <c r="E145" s="45">
        <v>187.02</v>
      </c>
      <c r="F145" s="45">
        <v>27.32</v>
      </c>
      <c r="G145" s="45">
        <v>0.4</v>
      </c>
      <c r="H145" s="45">
        <f>MAX(0,E145-F145-G145)</f>
        <v>159.30000000000001</v>
      </c>
      <c r="I145" s="5" t="s">
        <v>425</v>
      </c>
      <c r="J145" s="5">
        <v>30</v>
      </c>
      <c r="K145" s="28">
        <v>46052</v>
      </c>
      <c r="L145" s="5" t="s">
        <v>2125</v>
      </c>
      <c r="M145" s="5" t="s">
        <v>2149</v>
      </c>
    </row>
    <row r="146" spans="1:13">
      <c r="A146" s="11" t="s">
        <v>2289</v>
      </c>
      <c r="B146" s="11" t="s">
        <v>2069</v>
      </c>
      <c r="C146" s="5" t="s">
        <v>274</v>
      </c>
      <c r="D146" s="11" t="s">
        <v>167</v>
      </c>
      <c r="E146" s="45">
        <v>256.87</v>
      </c>
      <c r="F146" s="45">
        <v>20.51</v>
      </c>
      <c r="G146" s="45">
        <v>57.78</v>
      </c>
      <c r="H146" s="45">
        <f>MAX(0,E146-F146-G146)</f>
        <v>178.58</v>
      </c>
      <c r="I146" s="5" t="s">
        <v>425</v>
      </c>
      <c r="J146" s="5">
        <v>21</v>
      </c>
      <c r="K146" s="28">
        <v>46062</v>
      </c>
      <c r="L146" s="5" t="s">
        <v>2125</v>
      </c>
      <c r="M146" s="5" t="s">
        <v>2196</v>
      </c>
    </row>
    <row r="147" spans="1:13">
      <c r="A147" s="11" t="s">
        <v>2290</v>
      </c>
      <c r="B147" s="11" t="s">
        <v>2070</v>
      </c>
      <c r="C147" s="5" t="s">
        <v>216</v>
      </c>
      <c r="D147" s="11" t="s">
        <v>158</v>
      </c>
      <c r="E147" s="45">
        <v>190.61</v>
      </c>
      <c r="F147" s="45">
        <v>10.39</v>
      </c>
      <c r="G147" s="45">
        <v>24.72</v>
      </c>
      <c r="H147" s="45">
        <f>MAX(0,E147-F147-G147)</f>
        <v>155.50000000000003</v>
      </c>
      <c r="I147" s="5" t="s">
        <v>425</v>
      </c>
      <c r="J147" s="5">
        <v>28</v>
      </c>
      <c r="K147" s="28">
        <v>46056</v>
      </c>
      <c r="L147" s="5" t="s">
        <v>2125</v>
      </c>
      <c r="M147" s="5" t="s">
        <v>2151</v>
      </c>
    </row>
    <row r="148" spans="1:13">
      <c r="A148" s="11" t="s">
        <v>2291</v>
      </c>
      <c r="B148" s="11" t="s">
        <v>2071</v>
      </c>
      <c r="C148" s="5" t="s">
        <v>216</v>
      </c>
      <c r="D148" s="11" t="s">
        <v>2128</v>
      </c>
      <c r="E148" s="45">
        <v>277.56</v>
      </c>
      <c r="F148" s="45">
        <v>70.489999999999995</v>
      </c>
      <c r="G148" s="45">
        <v>52.51</v>
      </c>
      <c r="H148" s="45">
        <f>MAX(0,E148-F148-G148)</f>
        <v>154.56</v>
      </c>
      <c r="I148" s="5" t="s">
        <v>425</v>
      </c>
      <c r="J148" s="5">
        <v>9</v>
      </c>
      <c r="K148" s="28">
        <v>46076</v>
      </c>
      <c r="L148" s="5" t="s">
        <v>2125</v>
      </c>
      <c r="M148" s="5" t="s">
        <v>2129</v>
      </c>
    </row>
    <row r="149" spans="1:13">
      <c r="A149" s="11" t="s">
        <v>2292</v>
      </c>
      <c r="B149" s="11" t="s">
        <v>2072</v>
      </c>
      <c r="C149" s="5" t="s">
        <v>274</v>
      </c>
      <c r="D149" s="11" t="s">
        <v>172</v>
      </c>
      <c r="E149" s="45">
        <v>259.95</v>
      </c>
      <c r="F149" s="45">
        <v>71.069999999999993</v>
      </c>
      <c r="G149" s="45">
        <v>8.14</v>
      </c>
      <c r="H149" s="45">
        <f>MAX(0,E149-F149-G149)</f>
        <v>180.74</v>
      </c>
      <c r="I149" s="5" t="s">
        <v>425</v>
      </c>
      <c r="J149" s="5">
        <v>3</v>
      </c>
      <c r="K149" s="28">
        <v>46083</v>
      </c>
      <c r="L149" s="5" t="s">
        <v>2125</v>
      </c>
      <c r="M149" s="5" t="s">
        <v>2166</v>
      </c>
    </row>
    <row r="150" spans="1:13">
      <c r="A150" s="11" t="s">
        <v>2293</v>
      </c>
      <c r="B150" s="11" t="s">
        <v>2073</v>
      </c>
      <c r="C150" s="5" t="s">
        <v>283</v>
      </c>
      <c r="D150" s="11" t="s">
        <v>160</v>
      </c>
      <c r="E150" s="45">
        <v>240.79</v>
      </c>
      <c r="F150" s="45">
        <v>28.2</v>
      </c>
      <c r="G150" s="45">
        <v>45.65</v>
      </c>
      <c r="H150" s="45">
        <f>MAX(0,E150-F150-G150)</f>
        <v>166.94</v>
      </c>
      <c r="I150" s="5" t="s">
        <v>425</v>
      </c>
      <c r="J150" s="5">
        <v>30</v>
      </c>
      <c r="K150" s="28">
        <v>46057</v>
      </c>
      <c r="L150" s="5" t="s">
        <v>2125</v>
      </c>
      <c r="M150" s="5" t="s">
        <v>2149</v>
      </c>
    </row>
    <row r="151" spans="1:13">
      <c r="A151" s="11" t="s">
        <v>2294</v>
      </c>
      <c r="B151" s="11" t="s">
        <v>2074</v>
      </c>
      <c r="C151" s="5" t="s">
        <v>216</v>
      </c>
      <c r="D151" s="11" t="s">
        <v>152</v>
      </c>
      <c r="E151" s="45">
        <v>234.44</v>
      </c>
      <c r="F151" s="45">
        <v>46.12</v>
      </c>
      <c r="G151" s="45">
        <v>6.87</v>
      </c>
      <c r="H151" s="45">
        <f>MAX(0,E151-F151-G151)</f>
        <v>181.45</v>
      </c>
      <c r="I151" s="5" t="s">
        <v>425</v>
      </c>
      <c r="J151" s="5">
        <v>10</v>
      </c>
      <c r="K151" s="28">
        <v>46078</v>
      </c>
      <c r="L151" s="5" t="s">
        <v>2125</v>
      </c>
      <c r="M151" s="5" t="s">
        <v>2137</v>
      </c>
    </row>
    <row r="152" spans="1:13">
      <c r="A152" s="11" t="s">
        <v>2295</v>
      </c>
      <c r="B152" s="11" t="s">
        <v>2075</v>
      </c>
      <c r="C152" s="5" t="s">
        <v>216</v>
      </c>
      <c r="D152" s="11" t="s">
        <v>158</v>
      </c>
      <c r="E152" s="45">
        <v>227.8</v>
      </c>
      <c r="F152" s="45">
        <v>39.979999999999997</v>
      </c>
      <c r="G152" s="45">
        <v>16.309999999999999</v>
      </c>
      <c r="H152" s="45">
        <f>MAX(0,E152-F152-G152)</f>
        <v>171.51000000000002</v>
      </c>
      <c r="I152" s="5" t="s">
        <v>425</v>
      </c>
      <c r="J152" s="5">
        <v>28</v>
      </c>
      <c r="K152" s="28">
        <v>46061</v>
      </c>
      <c r="L152" s="5" t="s">
        <v>2125</v>
      </c>
      <c r="M152" s="5" t="s">
        <v>2151</v>
      </c>
    </row>
    <row r="153" spans="1:13">
      <c r="A153" s="11" t="s">
        <v>2296</v>
      </c>
      <c r="B153" s="11" t="s">
        <v>2076</v>
      </c>
      <c r="C153" s="5" t="s">
        <v>216</v>
      </c>
      <c r="D153" s="11" t="s">
        <v>2128</v>
      </c>
      <c r="E153" s="45">
        <v>225.55</v>
      </c>
      <c r="F153" s="45">
        <v>41.02</v>
      </c>
      <c r="G153" s="45">
        <v>12.25</v>
      </c>
      <c r="H153" s="45">
        <f>MAX(0,E153-F153-G153)</f>
        <v>172.28</v>
      </c>
      <c r="I153" s="5" t="s">
        <v>425</v>
      </c>
      <c r="J153" s="5">
        <v>9</v>
      </c>
      <c r="K153" s="28">
        <v>46081</v>
      </c>
      <c r="L153" s="5" t="s">
        <v>2125</v>
      </c>
      <c r="M153" s="5" t="s">
        <v>2129</v>
      </c>
    </row>
    <row r="154" spans="1:13">
      <c r="A154" s="11" t="s">
        <v>2297</v>
      </c>
      <c r="B154" s="11" t="s">
        <v>2077</v>
      </c>
      <c r="C154" s="5" t="s">
        <v>216</v>
      </c>
      <c r="D154" s="11" t="s">
        <v>2155</v>
      </c>
      <c r="E154" s="45">
        <v>125.22</v>
      </c>
      <c r="F154" s="45">
        <v>32.01</v>
      </c>
      <c r="G154" s="45">
        <v>35.08</v>
      </c>
      <c r="H154" s="45">
        <f>MAX(0,E154-F154-G154)</f>
        <v>58.13000000000001</v>
      </c>
      <c r="I154" s="5" t="s">
        <v>425</v>
      </c>
      <c r="J154" s="5">
        <v>10</v>
      </c>
      <c r="K154" s="28">
        <v>46081</v>
      </c>
      <c r="L154" s="5" t="s">
        <v>2148</v>
      </c>
      <c r="M154" s="5" t="s">
        <v>2156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2734-2A39-0F48-BD40-01E6B7AA4FDF}">
  <sheetPr codeName="Sheet15">
    <tabColor rgb="FF92D050"/>
  </sheetPr>
  <dimension ref="A1:K105"/>
  <sheetViews>
    <sheetView topLeftCell="G1" zoomScale="63" workbookViewId="0">
      <selection activeCell="I5" sqref="I5"/>
    </sheetView>
  </sheetViews>
  <sheetFormatPr defaultColWidth="11.5546875" defaultRowHeight="15.95"/>
  <cols>
    <col min="1" max="1" width="26.33203125" bestFit="1" customWidth="1"/>
    <col min="2" max="2" width="27.6640625" bestFit="1" customWidth="1"/>
    <col min="3" max="3" width="52.6640625" bestFit="1" customWidth="1"/>
    <col min="4" max="4" width="27.44140625" bestFit="1" customWidth="1"/>
    <col min="5" max="5" width="15.44140625" bestFit="1" customWidth="1"/>
    <col min="6" max="6" width="14.77734375" bestFit="1" customWidth="1"/>
    <col min="7" max="7" width="20" bestFit="1" customWidth="1"/>
    <col min="8" max="8" width="26" bestFit="1" customWidth="1"/>
    <col min="9" max="9" width="24.44140625" bestFit="1" customWidth="1"/>
    <col min="10" max="10" width="19" bestFit="1" customWidth="1"/>
    <col min="11" max="11" width="9.6640625" bestFit="1" customWidth="1"/>
  </cols>
  <sheetData>
    <row r="1" spans="1:11">
      <c r="A1" s="33" t="s">
        <v>1267</v>
      </c>
      <c r="B1" s="68"/>
    </row>
    <row r="2" spans="1:11">
      <c r="A2" s="33" t="s">
        <v>1268</v>
      </c>
      <c r="B2" s="68"/>
    </row>
    <row r="3" spans="1:11">
      <c r="A3" s="33" t="s">
        <v>1269</v>
      </c>
      <c r="B3" s="68">
        <v>100</v>
      </c>
    </row>
    <row r="4" spans="1:11">
      <c r="A4" s="20" t="s">
        <v>2298</v>
      </c>
      <c r="B4" s="26" t="s">
        <v>2299</v>
      </c>
      <c r="C4" s="26" t="s">
        <v>1509</v>
      </c>
      <c r="D4" s="26" t="s">
        <v>2038</v>
      </c>
      <c r="E4" s="48" t="s">
        <v>2300</v>
      </c>
      <c r="F4" s="48" t="s">
        <v>2301</v>
      </c>
      <c r="G4" s="48" t="s">
        <v>2302</v>
      </c>
      <c r="H4" s="48" t="s">
        <v>2303</v>
      </c>
      <c r="I4" s="48" t="s">
        <v>2304</v>
      </c>
      <c r="J4" s="48" t="s">
        <v>2305</v>
      </c>
      <c r="K4" s="48" t="s">
        <v>2042</v>
      </c>
    </row>
    <row r="5" spans="1:11">
      <c r="A5" s="11" t="s">
        <v>2306</v>
      </c>
      <c r="B5" s="11" t="s">
        <v>2043</v>
      </c>
      <c r="C5" s="11" t="s">
        <v>93</v>
      </c>
      <c r="D5" s="11" t="s">
        <v>2307</v>
      </c>
      <c r="E5" s="28">
        <v>46082</v>
      </c>
      <c r="F5" s="28">
        <v>46082</v>
      </c>
      <c r="G5" s="45">
        <v>322.54000000000002</v>
      </c>
      <c r="H5" s="67">
        <v>2.9427371727303031E-2</v>
      </c>
      <c r="I5" s="67">
        <v>1.2078417265088959E-2</v>
      </c>
      <c r="J5" s="45">
        <v>330</v>
      </c>
      <c r="K5" s="5" t="s">
        <v>2308</v>
      </c>
    </row>
    <row r="6" spans="1:11">
      <c r="A6" s="11" t="s">
        <v>2309</v>
      </c>
      <c r="B6" s="11" t="s">
        <v>2046</v>
      </c>
      <c r="C6" s="11" t="s">
        <v>96</v>
      </c>
      <c r="D6" s="11" t="s">
        <v>2047</v>
      </c>
      <c r="E6" s="28">
        <v>46083</v>
      </c>
      <c r="F6" s="28">
        <v>46085</v>
      </c>
      <c r="G6" s="45">
        <v>315.08999999999997</v>
      </c>
      <c r="H6" s="67">
        <v>2.4456604380392988E-2</v>
      </c>
      <c r="I6" s="67">
        <v>6.5603031129579659E-3</v>
      </c>
      <c r="J6" s="45">
        <v>330</v>
      </c>
      <c r="K6" s="5" t="s">
        <v>2308</v>
      </c>
    </row>
    <row r="7" spans="1:11">
      <c r="A7" s="11" t="s">
        <v>2310</v>
      </c>
      <c r="B7" s="11" t="s">
        <v>2048</v>
      </c>
      <c r="C7" s="11" t="s">
        <v>137</v>
      </c>
      <c r="D7" s="11" t="s">
        <v>2311</v>
      </c>
      <c r="E7" s="28">
        <v>46084</v>
      </c>
      <c r="F7" s="28">
        <v>46084</v>
      </c>
      <c r="G7" s="45">
        <v>41.73</v>
      </c>
      <c r="H7" s="67">
        <v>2.8126867418643009E-2</v>
      </c>
      <c r="I7" s="67">
        <v>2.4144045672147008E-2</v>
      </c>
      <c r="J7" s="45">
        <v>43.56</v>
      </c>
      <c r="K7" s="5" t="s">
        <v>2308</v>
      </c>
    </row>
    <row r="8" spans="1:11">
      <c r="A8" s="11" t="s">
        <v>2312</v>
      </c>
      <c r="B8" s="11" t="s">
        <v>2050</v>
      </c>
      <c r="C8" s="11" t="s">
        <v>102</v>
      </c>
      <c r="D8" s="11" t="s">
        <v>2313</v>
      </c>
      <c r="E8" s="28">
        <v>46085</v>
      </c>
      <c r="F8" s="28">
        <v>46088</v>
      </c>
      <c r="G8" s="45">
        <v>323.45999999999998</v>
      </c>
      <c r="H8" s="67">
        <v>2.3440115013858009E-2</v>
      </c>
      <c r="I8" s="67">
        <v>1.0597471280023973E-2</v>
      </c>
      <c r="J8" s="45">
        <v>330</v>
      </c>
      <c r="K8" s="5" t="s">
        <v>2308</v>
      </c>
    </row>
    <row r="9" spans="1:11">
      <c r="A9" s="11" t="s">
        <v>2314</v>
      </c>
      <c r="B9" s="11" t="s">
        <v>2051</v>
      </c>
      <c r="C9" s="11" t="s">
        <v>105</v>
      </c>
      <c r="D9" s="11" t="s">
        <v>2044</v>
      </c>
      <c r="E9" s="28">
        <v>46085</v>
      </c>
      <c r="F9" s="28">
        <v>46085</v>
      </c>
      <c r="G9" s="45">
        <v>317.89999999999998</v>
      </c>
      <c r="H9" s="67">
        <v>1.201028271485105E-2</v>
      </c>
      <c r="I9" s="67">
        <v>1.5989966482157003E-2</v>
      </c>
      <c r="J9" s="45">
        <v>330</v>
      </c>
      <c r="K9" s="5" t="s">
        <v>2308</v>
      </c>
    </row>
    <row r="10" spans="1:11">
      <c r="A10" s="11" t="s">
        <v>2315</v>
      </c>
      <c r="B10" s="11" t="s">
        <v>2052</v>
      </c>
      <c r="C10" s="11" t="s">
        <v>107</v>
      </c>
      <c r="D10" s="11" t="s">
        <v>2044</v>
      </c>
      <c r="E10" s="28">
        <v>46087</v>
      </c>
      <c r="F10" s="28">
        <v>46090</v>
      </c>
      <c r="G10" s="45">
        <v>229.34</v>
      </c>
      <c r="H10" s="67">
        <v>2.5018375645624036E-2</v>
      </c>
      <c r="I10" s="67">
        <v>1.2875561864581053E-2</v>
      </c>
      <c r="J10" s="45">
        <v>232.39</v>
      </c>
      <c r="K10" s="5" t="s">
        <v>2308</v>
      </c>
    </row>
    <row r="11" spans="1:11">
      <c r="A11" s="11" t="s">
        <v>2316</v>
      </c>
      <c r="B11" s="11" t="s">
        <v>2053</v>
      </c>
      <c r="C11" s="11" t="s">
        <v>109</v>
      </c>
      <c r="D11" s="11" t="s">
        <v>2317</v>
      </c>
      <c r="E11" s="28">
        <v>46088</v>
      </c>
      <c r="F11" s="28">
        <v>46090</v>
      </c>
      <c r="G11" s="45">
        <v>205.17</v>
      </c>
      <c r="H11" s="67">
        <v>2.0030910194385965E-2</v>
      </c>
      <c r="I11" s="67">
        <v>2.3945338805904992E-2</v>
      </c>
      <c r="J11" s="45">
        <v>215.21</v>
      </c>
      <c r="K11" s="5" t="s">
        <v>2308</v>
      </c>
    </row>
    <row r="12" spans="1:11">
      <c r="A12" s="11" t="s">
        <v>2318</v>
      </c>
      <c r="B12" s="11" t="s">
        <v>2054</v>
      </c>
      <c r="C12" s="11" t="s">
        <v>120</v>
      </c>
      <c r="D12" s="11" t="s">
        <v>2307</v>
      </c>
      <c r="E12" s="28">
        <v>46088</v>
      </c>
      <c r="F12" s="28">
        <v>46088</v>
      </c>
      <c r="G12" s="45">
        <v>275.33999999999997</v>
      </c>
      <c r="H12" s="67">
        <v>2.9222420684530404E-3</v>
      </c>
      <c r="I12" s="67">
        <v>1.5133020118810014E-2</v>
      </c>
      <c r="J12" s="45">
        <v>282.47000000000003</v>
      </c>
      <c r="K12" s="5" t="s">
        <v>2308</v>
      </c>
    </row>
    <row r="13" spans="1:11">
      <c r="A13" s="11" t="s">
        <v>2319</v>
      </c>
      <c r="B13" s="11" t="s">
        <v>2055</v>
      </c>
      <c r="C13" s="11" t="s">
        <v>121</v>
      </c>
      <c r="D13" s="11" t="s">
        <v>2047</v>
      </c>
      <c r="E13" s="28">
        <v>46090</v>
      </c>
      <c r="F13" s="28">
        <v>46091</v>
      </c>
      <c r="G13" s="45">
        <v>213.42</v>
      </c>
      <c r="H13" s="67">
        <v>5.9754162207249495E-3</v>
      </c>
      <c r="I13" s="67">
        <v>2.3838830373483E-2</v>
      </c>
      <c r="J13" s="45">
        <v>220.46</v>
      </c>
      <c r="K13" s="5" t="s">
        <v>2308</v>
      </c>
    </row>
    <row r="14" spans="1:11">
      <c r="A14" s="11" t="s">
        <v>2320</v>
      </c>
      <c r="B14" s="11" t="s">
        <v>2056</v>
      </c>
      <c r="C14" s="11" t="s">
        <v>122</v>
      </c>
      <c r="D14" s="11" t="s">
        <v>2044</v>
      </c>
      <c r="E14" s="28">
        <v>46090</v>
      </c>
      <c r="F14" s="28">
        <v>46091</v>
      </c>
      <c r="G14" s="45">
        <v>268.25</v>
      </c>
      <c r="H14" s="67">
        <v>1.5674906300613967E-2</v>
      </c>
      <c r="I14" s="67">
        <v>1.3564057734329005E-2</v>
      </c>
      <c r="J14" s="45">
        <v>277.93</v>
      </c>
      <c r="K14" s="5" t="s">
        <v>2308</v>
      </c>
    </row>
    <row r="15" spans="1:11">
      <c r="A15" s="11" t="s">
        <v>2321</v>
      </c>
      <c r="B15" s="11" t="s">
        <v>2057</v>
      </c>
      <c r="C15" s="11" t="s">
        <v>123</v>
      </c>
      <c r="D15" s="11" t="s">
        <v>2313</v>
      </c>
      <c r="E15" s="28">
        <v>46090</v>
      </c>
      <c r="F15" s="28">
        <v>46093</v>
      </c>
      <c r="G15" s="45">
        <v>251</v>
      </c>
      <c r="H15" s="67">
        <v>1.2155138473492033E-2</v>
      </c>
      <c r="I15" s="67">
        <v>2.6021618251455991E-2</v>
      </c>
      <c r="J15" s="45">
        <v>255.03</v>
      </c>
      <c r="K15" s="5" t="s">
        <v>2322</v>
      </c>
    </row>
    <row r="16" spans="1:11">
      <c r="A16" s="11" t="s">
        <v>2323</v>
      </c>
      <c r="B16" s="11" t="s">
        <v>2058</v>
      </c>
      <c r="C16" s="11" t="s">
        <v>124</v>
      </c>
      <c r="D16" s="11" t="s">
        <v>2044</v>
      </c>
      <c r="E16" s="28">
        <v>46091</v>
      </c>
      <c r="F16" s="28">
        <v>46091</v>
      </c>
      <c r="G16" s="45">
        <v>264.48</v>
      </c>
      <c r="H16" s="67">
        <v>1.1472410730784977E-2</v>
      </c>
      <c r="I16" s="67">
        <v>2.6256882883609611E-3</v>
      </c>
      <c r="J16" s="45">
        <v>271.77</v>
      </c>
      <c r="K16" s="5" t="s">
        <v>2308</v>
      </c>
    </row>
    <row r="17" spans="1:11">
      <c r="A17" s="11" t="s">
        <v>2324</v>
      </c>
      <c r="B17" s="11" t="s">
        <v>2059</v>
      </c>
      <c r="C17" s="11" t="s">
        <v>125</v>
      </c>
      <c r="D17" s="11" t="s">
        <v>2044</v>
      </c>
      <c r="E17" s="28">
        <v>46091</v>
      </c>
      <c r="F17" s="28">
        <v>46094</v>
      </c>
      <c r="G17" s="45">
        <v>229.14</v>
      </c>
      <c r="H17" s="67">
        <v>1.3149370173924035E-2</v>
      </c>
      <c r="I17" s="67">
        <v>6.542779086391004E-3</v>
      </c>
      <c r="J17" s="45">
        <v>232.22</v>
      </c>
      <c r="K17" s="5" t="s">
        <v>2322</v>
      </c>
    </row>
    <row r="18" spans="1:11">
      <c r="A18" s="11" t="s">
        <v>2325</v>
      </c>
      <c r="B18" s="11" t="s">
        <v>2060</v>
      </c>
      <c r="C18" s="11" t="s">
        <v>147</v>
      </c>
      <c r="D18" s="11" t="s">
        <v>2311</v>
      </c>
      <c r="E18" s="28">
        <v>46091</v>
      </c>
      <c r="F18" s="28">
        <v>46091</v>
      </c>
      <c r="G18" s="45">
        <v>62.34</v>
      </c>
      <c r="H18" s="67">
        <v>1.6867674836190005E-2</v>
      </c>
      <c r="I18" s="67">
        <v>8.610738642047977E-3</v>
      </c>
      <c r="J18" s="45">
        <v>64.900000000000006</v>
      </c>
      <c r="K18" s="5" t="s">
        <v>2308</v>
      </c>
    </row>
    <row r="19" spans="1:11">
      <c r="A19" s="11" t="s">
        <v>2326</v>
      </c>
      <c r="B19" s="11" t="s">
        <v>2061</v>
      </c>
      <c r="C19" s="11" t="s">
        <v>138</v>
      </c>
      <c r="D19" s="11" t="s">
        <v>2327</v>
      </c>
      <c r="E19" s="28">
        <v>46092</v>
      </c>
      <c r="F19" s="28">
        <v>46094</v>
      </c>
      <c r="G19" s="45">
        <v>53.1</v>
      </c>
      <c r="H19" s="67">
        <v>1.4369063621852973E-2</v>
      </c>
      <c r="I19" s="67">
        <v>1.3779192898189963E-2</v>
      </c>
      <c r="J19" s="45">
        <v>55.6</v>
      </c>
      <c r="K19" s="5" t="s">
        <v>2322</v>
      </c>
    </row>
    <row r="20" spans="1:11">
      <c r="A20" s="11" t="s">
        <v>2328</v>
      </c>
      <c r="B20" s="11" t="s">
        <v>2062</v>
      </c>
      <c r="C20" s="11" t="s">
        <v>148</v>
      </c>
      <c r="D20" s="11" t="s">
        <v>2327</v>
      </c>
      <c r="E20" s="28">
        <v>46094</v>
      </c>
      <c r="F20" s="28">
        <v>46096</v>
      </c>
      <c r="G20" s="45">
        <v>63.27</v>
      </c>
      <c r="H20" s="67">
        <v>1.4472267872420952E-2</v>
      </c>
      <c r="I20" s="67">
        <v>3.8343704706059745E-3</v>
      </c>
      <c r="J20" s="45">
        <v>65.27</v>
      </c>
      <c r="K20" s="5" t="s">
        <v>2322</v>
      </c>
    </row>
    <row r="21" spans="1:11">
      <c r="A21" s="11" t="s">
        <v>2329</v>
      </c>
      <c r="B21" s="11" t="s">
        <v>2064</v>
      </c>
      <c r="C21" s="11" t="s">
        <v>132</v>
      </c>
      <c r="D21" s="11" t="s">
        <v>2044</v>
      </c>
      <c r="E21" s="28">
        <v>46095</v>
      </c>
      <c r="F21" s="28">
        <v>46097</v>
      </c>
      <c r="G21" s="45">
        <v>208.17</v>
      </c>
      <c r="H21" s="67">
        <v>1.811465909890797E-2</v>
      </c>
      <c r="I21" s="67">
        <v>2.809063913417098E-2</v>
      </c>
      <c r="J21" s="45">
        <v>211.88</v>
      </c>
      <c r="K21" s="5" t="s">
        <v>2322</v>
      </c>
    </row>
    <row r="22" spans="1:11">
      <c r="A22" s="11" t="s">
        <v>2330</v>
      </c>
      <c r="B22" s="11" t="s">
        <v>2065</v>
      </c>
      <c r="C22" s="11" t="s">
        <v>137</v>
      </c>
      <c r="D22" s="11" t="s">
        <v>2311</v>
      </c>
      <c r="E22" s="28">
        <v>46097</v>
      </c>
      <c r="F22" s="28">
        <v>46099</v>
      </c>
      <c r="G22" s="45">
        <v>46.9</v>
      </c>
      <c r="H22" s="67">
        <v>2.1080590620869977E-2</v>
      </c>
      <c r="I22" s="67">
        <v>2.2257232042494968E-2</v>
      </c>
      <c r="J22" s="45">
        <v>48.72</v>
      </c>
      <c r="K22" s="5" t="s">
        <v>2322</v>
      </c>
    </row>
    <row r="23" spans="1:11">
      <c r="A23" s="11" t="s">
        <v>2331</v>
      </c>
      <c r="B23" s="11" t="s">
        <v>2066</v>
      </c>
      <c r="C23" s="11" t="s">
        <v>138</v>
      </c>
      <c r="D23" s="11" t="s">
        <v>2327</v>
      </c>
      <c r="E23" s="28">
        <v>46097</v>
      </c>
      <c r="F23" s="28">
        <v>46097</v>
      </c>
      <c r="G23" s="45">
        <v>53.44</v>
      </c>
      <c r="H23" s="67">
        <v>2.4511706130112998E-2</v>
      </c>
      <c r="I23" s="67">
        <v>2.6800255882321045E-2</v>
      </c>
      <c r="J23" s="45">
        <v>54.39</v>
      </c>
      <c r="K23" s="5" t="s">
        <v>2322</v>
      </c>
    </row>
    <row r="24" spans="1:11">
      <c r="A24" s="11" t="s">
        <v>2332</v>
      </c>
      <c r="B24" s="11" t="s">
        <v>2067</v>
      </c>
      <c r="C24" s="11" t="s">
        <v>135</v>
      </c>
      <c r="D24" s="11" t="s">
        <v>2044</v>
      </c>
      <c r="E24" s="28">
        <v>46098</v>
      </c>
      <c r="F24" s="28">
        <v>46099</v>
      </c>
      <c r="G24" s="45">
        <v>240.35</v>
      </c>
      <c r="H24" s="67">
        <v>4.6474964672229557E-3</v>
      </c>
      <c r="I24" s="67">
        <v>1.9211133802309988E-2</v>
      </c>
      <c r="J24" s="45">
        <v>247.57</v>
      </c>
      <c r="K24" s="5" t="s">
        <v>2322</v>
      </c>
    </row>
    <row r="25" spans="1:11">
      <c r="A25" s="11" t="s">
        <v>2333</v>
      </c>
      <c r="B25" s="11" t="s">
        <v>2068</v>
      </c>
      <c r="C25" s="11" t="s">
        <v>136</v>
      </c>
      <c r="D25" s="11" t="s">
        <v>2317</v>
      </c>
      <c r="E25" s="28">
        <v>46100</v>
      </c>
      <c r="F25" s="28">
        <v>46101</v>
      </c>
      <c r="G25" s="45">
        <v>293.77999999999997</v>
      </c>
      <c r="H25" s="67">
        <v>1.6160092533565984E-2</v>
      </c>
      <c r="I25" s="67">
        <v>2.6178462829673954E-2</v>
      </c>
      <c r="J25" s="45">
        <v>298.98</v>
      </c>
      <c r="K25" s="5" t="s">
        <v>2322</v>
      </c>
    </row>
    <row r="26" spans="1:11">
      <c r="A26" s="11" t="s">
        <v>2334</v>
      </c>
      <c r="B26" s="11" t="s">
        <v>2069</v>
      </c>
      <c r="C26" s="11" t="s">
        <v>140</v>
      </c>
      <c r="D26" s="11" t="s">
        <v>2307</v>
      </c>
      <c r="E26" s="28">
        <v>46101</v>
      </c>
      <c r="F26" s="28">
        <v>46103</v>
      </c>
      <c r="G26" s="45">
        <v>220.53</v>
      </c>
      <c r="H26" s="67">
        <v>7.6001867719459604E-3</v>
      </c>
      <c r="I26" s="67">
        <v>1.3040602249559052E-2</v>
      </c>
      <c r="J26" s="45">
        <v>227.01</v>
      </c>
      <c r="K26" s="5" t="s">
        <v>2045</v>
      </c>
    </row>
    <row r="27" spans="1:11">
      <c r="A27" s="11" t="s">
        <v>2335</v>
      </c>
      <c r="B27" s="11" t="s">
        <v>2070</v>
      </c>
      <c r="C27" s="11" t="s">
        <v>141</v>
      </c>
      <c r="D27" s="11" t="s">
        <v>2047</v>
      </c>
      <c r="E27" s="28">
        <v>46101</v>
      </c>
      <c r="F27" s="28">
        <v>46104</v>
      </c>
      <c r="G27" s="45">
        <v>240.35</v>
      </c>
      <c r="H27" s="67">
        <v>1.9964532625395992E-2</v>
      </c>
      <c r="I27" s="67">
        <v>2.6822315739234992E-2</v>
      </c>
      <c r="J27" s="45">
        <v>250.38</v>
      </c>
      <c r="K27" s="5" t="s">
        <v>2045</v>
      </c>
    </row>
    <row r="28" spans="1:11">
      <c r="A28" s="11" t="s">
        <v>2336</v>
      </c>
      <c r="B28" s="11" t="s">
        <v>2071</v>
      </c>
      <c r="C28" s="11" t="s">
        <v>148</v>
      </c>
      <c r="D28" s="11" t="s">
        <v>2327</v>
      </c>
      <c r="E28" s="28">
        <v>46101</v>
      </c>
      <c r="F28" s="28">
        <v>46101</v>
      </c>
      <c r="G28" s="45">
        <v>40.6</v>
      </c>
      <c r="H28" s="67">
        <v>2.6725957681192014E-2</v>
      </c>
      <c r="I28" s="67">
        <v>6.8633150430400525E-3</v>
      </c>
      <c r="J28" s="45">
        <v>41.25</v>
      </c>
      <c r="K28" s="5" t="s">
        <v>2322</v>
      </c>
    </row>
    <row r="29" spans="1:11">
      <c r="A29" s="11" t="s">
        <v>2337</v>
      </c>
      <c r="B29" s="11" t="s">
        <v>2072</v>
      </c>
      <c r="C29" s="11" t="s">
        <v>117</v>
      </c>
      <c r="D29" s="11" t="s">
        <v>2094</v>
      </c>
      <c r="E29" s="28">
        <v>46101</v>
      </c>
      <c r="F29" s="28">
        <v>46101</v>
      </c>
      <c r="G29" s="45">
        <v>13.31</v>
      </c>
      <c r="H29" s="67">
        <v>2.6362989384680957E-2</v>
      </c>
      <c r="I29" s="67">
        <v>2.3059564906405039E-2</v>
      </c>
      <c r="J29" s="45">
        <v>13.55</v>
      </c>
      <c r="K29" s="5" t="s">
        <v>2322</v>
      </c>
    </row>
    <row r="30" spans="1:11">
      <c r="A30" s="11" t="s">
        <v>2338</v>
      </c>
      <c r="B30" s="11" t="s">
        <v>2073</v>
      </c>
      <c r="C30" s="11" t="s">
        <v>144</v>
      </c>
      <c r="D30" s="11" t="s">
        <v>2044</v>
      </c>
      <c r="E30" s="28">
        <v>46102</v>
      </c>
      <c r="F30" s="28">
        <v>46103</v>
      </c>
      <c r="G30" s="45">
        <v>244.01</v>
      </c>
      <c r="H30" s="67">
        <v>2.4536555214087041E-2</v>
      </c>
      <c r="I30" s="67">
        <v>5.7217561979779896E-3</v>
      </c>
      <c r="J30" s="45">
        <v>251.37</v>
      </c>
      <c r="K30" s="5" t="s">
        <v>2045</v>
      </c>
    </row>
    <row r="31" spans="1:11">
      <c r="A31" s="11" t="s">
        <v>2339</v>
      </c>
      <c r="B31" s="11" t="s">
        <v>2074</v>
      </c>
      <c r="C31" s="11" t="s">
        <v>145</v>
      </c>
      <c r="D31" s="11" t="s">
        <v>2044</v>
      </c>
      <c r="E31" s="28">
        <v>46103</v>
      </c>
      <c r="F31" s="28">
        <v>46105</v>
      </c>
      <c r="G31" s="45">
        <v>243.74</v>
      </c>
      <c r="H31" s="67">
        <v>2.7473416320514032E-2</v>
      </c>
      <c r="I31" s="67">
        <v>1.2454932243330052E-2</v>
      </c>
      <c r="J31" s="45">
        <v>252.14</v>
      </c>
      <c r="K31" s="5" t="s">
        <v>2045</v>
      </c>
    </row>
    <row r="32" spans="1:11">
      <c r="A32" s="11" t="s">
        <v>2340</v>
      </c>
      <c r="B32" s="11" t="s">
        <v>2075</v>
      </c>
      <c r="C32" s="11" t="s">
        <v>146</v>
      </c>
      <c r="D32" s="11" t="s">
        <v>2317</v>
      </c>
      <c r="E32" s="28">
        <v>46104</v>
      </c>
      <c r="F32" s="28">
        <v>46107</v>
      </c>
      <c r="G32" s="45">
        <v>242.35</v>
      </c>
      <c r="H32" s="67">
        <v>2.6255012649810006E-2</v>
      </c>
      <c r="I32" s="67">
        <v>6.0849536806349969E-3</v>
      </c>
      <c r="J32" s="45">
        <v>246.69</v>
      </c>
      <c r="K32" s="5" t="s">
        <v>2045</v>
      </c>
    </row>
    <row r="33" spans="1:11">
      <c r="A33" s="11" t="s">
        <v>2341</v>
      </c>
      <c r="B33" s="11" t="s">
        <v>2076</v>
      </c>
      <c r="C33" s="11" t="s">
        <v>93</v>
      </c>
      <c r="D33" s="11" t="s">
        <v>2307</v>
      </c>
      <c r="E33" s="28">
        <v>46104</v>
      </c>
      <c r="F33" s="28">
        <v>46104</v>
      </c>
      <c r="G33" s="45">
        <v>210.48</v>
      </c>
      <c r="H33" s="67">
        <v>2.0475103220901958E-2</v>
      </c>
      <c r="I33" s="67">
        <v>1.0342801327118956E-2</v>
      </c>
      <c r="J33" s="45">
        <v>217.69</v>
      </c>
      <c r="K33" s="5" t="s">
        <v>2045</v>
      </c>
    </row>
    <row r="34" spans="1:11">
      <c r="A34" s="11" t="s">
        <v>2342</v>
      </c>
      <c r="B34" s="11" t="s">
        <v>2077</v>
      </c>
      <c r="C34" s="11" t="s">
        <v>96</v>
      </c>
      <c r="D34" s="11" t="s">
        <v>2047</v>
      </c>
      <c r="E34" s="28">
        <v>46106</v>
      </c>
      <c r="F34" s="28">
        <v>46108</v>
      </c>
      <c r="G34" s="45">
        <v>234.46</v>
      </c>
      <c r="H34" s="67">
        <v>9.5893989254259848E-3</v>
      </c>
      <c r="I34" s="67">
        <v>2.4003726425579908E-3</v>
      </c>
      <c r="J34" s="45">
        <v>237.58</v>
      </c>
      <c r="K34" s="5" t="s">
        <v>2045</v>
      </c>
    </row>
    <row r="35" spans="1:11">
      <c r="A35" s="11" t="s">
        <v>2343</v>
      </c>
      <c r="B35" s="11" t="s">
        <v>2078</v>
      </c>
      <c r="C35" s="11" t="s">
        <v>99</v>
      </c>
      <c r="D35" s="11" t="s">
        <v>2044</v>
      </c>
      <c r="E35" s="28">
        <v>46108</v>
      </c>
      <c r="F35" s="28">
        <v>46109</v>
      </c>
      <c r="G35" s="45">
        <v>214.12</v>
      </c>
      <c r="H35" s="67">
        <v>2.4266495900693963E-2</v>
      </c>
      <c r="I35" s="67">
        <v>1.4243131935363973E-2</v>
      </c>
      <c r="J35" s="45">
        <v>221.83</v>
      </c>
      <c r="K35" s="5" t="s">
        <v>2045</v>
      </c>
    </row>
    <row r="36" spans="1:11">
      <c r="A36" s="11" t="s">
        <v>2344</v>
      </c>
      <c r="B36" s="11" t="s">
        <v>2079</v>
      </c>
      <c r="C36" s="11" t="s">
        <v>102</v>
      </c>
      <c r="D36" s="11" t="s">
        <v>2313</v>
      </c>
      <c r="E36" s="28">
        <v>46108</v>
      </c>
      <c r="F36" s="28">
        <v>46110</v>
      </c>
      <c r="G36" s="45">
        <v>224.8</v>
      </c>
      <c r="H36" s="67">
        <v>1.6937398942886039E-2</v>
      </c>
      <c r="I36" s="67">
        <v>8.1294359741730382E-3</v>
      </c>
      <c r="J36" s="45">
        <v>230.62</v>
      </c>
      <c r="K36" s="5" t="s">
        <v>2045</v>
      </c>
    </row>
    <row r="37" spans="1:11">
      <c r="A37" s="11" t="s">
        <v>2345</v>
      </c>
      <c r="B37" s="11" t="s">
        <v>2080</v>
      </c>
      <c r="C37" s="11" t="s">
        <v>105</v>
      </c>
      <c r="D37" s="11" t="s">
        <v>2044</v>
      </c>
      <c r="E37" s="28">
        <v>46108</v>
      </c>
      <c r="F37" s="28">
        <v>46108</v>
      </c>
      <c r="G37" s="45">
        <v>247.34</v>
      </c>
      <c r="H37" s="67">
        <v>1.0034133503214027E-2</v>
      </c>
      <c r="I37" s="67">
        <v>2.0223465279909036E-2</v>
      </c>
      <c r="J37" s="45">
        <v>257.29000000000002</v>
      </c>
      <c r="K37" s="5" t="s">
        <v>2045</v>
      </c>
    </row>
    <row r="38" spans="1:11">
      <c r="A38" s="11" t="s">
        <v>2346</v>
      </c>
      <c r="B38" s="11" t="s">
        <v>2081</v>
      </c>
      <c r="C38" s="11" t="s">
        <v>107</v>
      </c>
      <c r="D38" s="11" t="s">
        <v>2044</v>
      </c>
      <c r="E38" s="28">
        <v>46109</v>
      </c>
      <c r="F38" s="28">
        <v>46109</v>
      </c>
      <c r="G38" s="45">
        <v>267.41000000000003</v>
      </c>
      <c r="H38" s="67">
        <v>2.8793576371157981E-2</v>
      </c>
      <c r="I38" s="67">
        <v>5.8632297948929546E-3</v>
      </c>
      <c r="J38" s="45">
        <v>274.77999999999997</v>
      </c>
      <c r="K38" s="5" t="s">
        <v>2045</v>
      </c>
    </row>
    <row r="39" spans="1:11">
      <c r="A39" s="11" t="s">
        <v>2347</v>
      </c>
      <c r="B39" s="11" t="s">
        <v>2082</v>
      </c>
      <c r="C39" s="11" t="s">
        <v>109</v>
      </c>
      <c r="D39" s="11" t="s">
        <v>2317</v>
      </c>
      <c r="E39" s="28">
        <v>46109</v>
      </c>
      <c r="F39" s="28">
        <v>46110</v>
      </c>
      <c r="G39" s="45">
        <v>271.08999999999997</v>
      </c>
      <c r="H39" s="67">
        <v>2.5264807847793946E-2</v>
      </c>
      <c r="I39" s="67">
        <v>2.9436878337292027E-2</v>
      </c>
      <c r="J39" s="45">
        <v>284.38</v>
      </c>
      <c r="K39" s="5" t="s">
        <v>2045</v>
      </c>
    </row>
    <row r="40" spans="1:11">
      <c r="A40" s="11" t="s">
        <v>2348</v>
      </c>
      <c r="B40" s="11" t="s">
        <v>2083</v>
      </c>
      <c r="C40" s="11" t="s">
        <v>120</v>
      </c>
      <c r="D40" s="11" t="s">
        <v>2307</v>
      </c>
      <c r="E40" s="28">
        <v>46083</v>
      </c>
      <c r="F40" s="28">
        <v>46086</v>
      </c>
      <c r="G40" s="45">
        <v>234.18</v>
      </c>
      <c r="H40" s="67">
        <v>9.5950367168989859E-3</v>
      </c>
      <c r="I40" s="67">
        <v>1.9645224934443983E-2</v>
      </c>
      <c r="J40" s="45">
        <v>245.58</v>
      </c>
      <c r="K40" s="5" t="s">
        <v>2308</v>
      </c>
    </row>
    <row r="41" spans="1:11">
      <c r="A41" s="11" t="s">
        <v>2349</v>
      </c>
      <c r="B41" s="11" t="s">
        <v>2085</v>
      </c>
      <c r="C41" s="11" t="s">
        <v>121</v>
      </c>
      <c r="D41" s="11" t="s">
        <v>2047</v>
      </c>
      <c r="E41" s="28">
        <v>46083</v>
      </c>
      <c r="F41" s="28">
        <v>46085</v>
      </c>
      <c r="G41" s="45">
        <v>238.15</v>
      </c>
      <c r="H41" s="67">
        <v>4.8726977529000015E-3</v>
      </c>
      <c r="I41" s="67">
        <v>1.8381175361806945E-2</v>
      </c>
      <c r="J41" s="45">
        <v>241.44</v>
      </c>
      <c r="K41" s="5" t="s">
        <v>2308</v>
      </c>
    </row>
    <row r="42" spans="1:11">
      <c r="A42" s="11" t="s">
        <v>2350</v>
      </c>
      <c r="B42" s="11" t="s">
        <v>2086</v>
      </c>
      <c r="C42" s="11" t="s">
        <v>122</v>
      </c>
      <c r="D42" s="11" t="s">
        <v>2044</v>
      </c>
      <c r="E42" s="28">
        <v>46083</v>
      </c>
      <c r="F42" s="28">
        <v>46085</v>
      </c>
      <c r="G42" s="45">
        <v>230.85</v>
      </c>
      <c r="H42" s="67">
        <v>1.0228513124632022E-2</v>
      </c>
      <c r="I42" s="67">
        <v>1.6962806397582963E-2</v>
      </c>
      <c r="J42" s="45">
        <v>237.98</v>
      </c>
      <c r="K42" s="5" t="s">
        <v>2308</v>
      </c>
    </row>
    <row r="43" spans="1:11">
      <c r="A43" s="11" t="s">
        <v>2351</v>
      </c>
      <c r="B43" s="11" t="s">
        <v>2087</v>
      </c>
      <c r="C43" s="11" t="s">
        <v>123</v>
      </c>
      <c r="D43" s="11" t="s">
        <v>2313</v>
      </c>
      <c r="E43" s="28">
        <v>46085</v>
      </c>
      <c r="F43" s="28">
        <v>46086</v>
      </c>
      <c r="G43" s="45">
        <v>234.02</v>
      </c>
      <c r="H43" s="67">
        <v>7.932567202020957E-3</v>
      </c>
      <c r="I43" s="67">
        <v>6.5759718546180013E-3</v>
      </c>
      <c r="J43" s="45">
        <v>241.93</v>
      </c>
      <c r="K43" s="5" t="s">
        <v>2308</v>
      </c>
    </row>
    <row r="44" spans="1:11">
      <c r="A44" s="11" t="s">
        <v>2352</v>
      </c>
      <c r="B44" s="11" t="s">
        <v>2088</v>
      </c>
      <c r="C44" s="11" t="s">
        <v>124</v>
      </c>
      <c r="D44" s="11" t="s">
        <v>2044</v>
      </c>
      <c r="E44" s="28">
        <v>46086</v>
      </c>
      <c r="F44" s="28">
        <v>46089</v>
      </c>
      <c r="G44" s="45">
        <v>242.7</v>
      </c>
      <c r="H44" s="67">
        <v>8.6201395548409776E-3</v>
      </c>
      <c r="I44" s="67">
        <v>2.9465512419120099E-3</v>
      </c>
      <c r="J44" s="45">
        <v>250.75</v>
      </c>
      <c r="K44" s="5" t="s">
        <v>2308</v>
      </c>
    </row>
    <row r="45" spans="1:11">
      <c r="A45" s="11" t="s">
        <v>2353</v>
      </c>
      <c r="B45" s="11" t="s">
        <v>2089</v>
      </c>
      <c r="C45" s="11" t="s">
        <v>125</v>
      </c>
      <c r="D45" s="11" t="s">
        <v>2044</v>
      </c>
      <c r="E45" s="28">
        <v>46087</v>
      </c>
      <c r="F45" s="28">
        <v>46087</v>
      </c>
      <c r="G45" s="45">
        <v>293.14</v>
      </c>
      <c r="H45" s="67">
        <v>1.2946639657021031E-2</v>
      </c>
      <c r="I45" s="67">
        <v>2.9529130949871973E-2</v>
      </c>
      <c r="J45" s="45">
        <v>305.02999999999997</v>
      </c>
      <c r="K45" s="5" t="s">
        <v>2308</v>
      </c>
    </row>
    <row r="46" spans="1:11">
      <c r="A46" s="11" t="s">
        <v>2354</v>
      </c>
      <c r="B46" s="11" t="s">
        <v>2090</v>
      </c>
      <c r="C46" s="11" t="s">
        <v>127</v>
      </c>
      <c r="D46" s="11" t="s">
        <v>2096</v>
      </c>
      <c r="E46" s="28">
        <v>46088</v>
      </c>
      <c r="F46" s="28">
        <v>46091</v>
      </c>
      <c r="G46" s="45">
        <v>51.33</v>
      </c>
      <c r="H46" s="67">
        <v>1.442585567594501E-2</v>
      </c>
      <c r="I46" s="67">
        <v>5.5730312359519862E-3</v>
      </c>
      <c r="J46" s="45">
        <v>53.86</v>
      </c>
      <c r="K46" s="5" t="s">
        <v>2308</v>
      </c>
    </row>
    <row r="47" spans="1:11">
      <c r="A47" s="11" t="s">
        <v>2355</v>
      </c>
      <c r="B47" s="11" t="s">
        <v>2091</v>
      </c>
      <c r="C47" s="11" t="s">
        <v>130</v>
      </c>
      <c r="D47" s="11" t="s">
        <v>2044</v>
      </c>
      <c r="E47" s="28">
        <v>46089</v>
      </c>
      <c r="F47" s="28">
        <v>46089</v>
      </c>
      <c r="G47" s="45">
        <v>247.91</v>
      </c>
      <c r="H47" s="67">
        <v>1.5063971761148043E-2</v>
      </c>
      <c r="I47" s="67">
        <v>1.1749754366232046E-2</v>
      </c>
      <c r="J47" s="45">
        <v>256.23</v>
      </c>
      <c r="K47" s="5" t="s">
        <v>2308</v>
      </c>
    </row>
    <row r="48" spans="1:11">
      <c r="A48" s="11" t="s">
        <v>2356</v>
      </c>
      <c r="B48" s="11" t="s">
        <v>2093</v>
      </c>
      <c r="C48" s="11" t="s">
        <v>148</v>
      </c>
      <c r="D48" s="11" t="s">
        <v>2327</v>
      </c>
      <c r="E48" s="28">
        <v>46089</v>
      </c>
      <c r="F48" s="28">
        <v>46089</v>
      </c>
      <c r="G48" s="45">
        <v>40.76</v>
      </c>
      <c r="H48" s="67">
        <v>2.652300499356397E-2</v>
      </c>
      <c r="I48" s="67">
        <v>8.0409401021900306E-3</v>
      </c>
      <c r="J48" s="45">
        <v>41.83</v>
      </c>
      <c r="K48" s="5" t="s">
        <v>2308</v>
      </c>
    </row>
    <row r="49" spans="1:11">
      <c r="A49" s="11" t="s">
        <v>2357</v>
      </c>
      <c r="B49" s="11" t="s">
        <v>2095</v>
      </c>
      <c r="C49" s="11" t="s">
        <v>132</v>
      </c>
      <c r="D49" s="11" t="s">
        <v>2044</v>
      </c>
      <c r="E49" s="28">
        <v>46090</v>
      </c>
      <c r="F49" s="28">
        <v>46091</v>
      </c>
      <c r="G49" s="45">
        <v>229.04</v>
      </c>
      <c r="H49" s="67">
        <v>1.2154548111371954E-2</v>
      </c>
      <c r="I49" s="67">
        <v>2.9349109759786995E-2</v>
      </c>
      <c r="J49" s="45">
        <v>234.84</v>
      </c>
      <c r="K49" s="5" t="s">
        <v>2308</v>
      </c>
    </row>
    <row r="50" spans="1:11">
      <c r="A50" s="11" t="s">
        <v>2358</v>
      </c>
      <c r="B50" s="11" t="s">
        <v>2097</v>
      </c>
      <c r="C50" s="11" t="s">
        <v>133</v>
      </c>
      <c r="D50" s="11" t="s">
        <v>2313</v>
      </c>
      <c r="E50" s="28">
        <v>46090</v>
      </c>
      <c r="F50" s="28">
        <v>46092</v>
      </c>
      <c r="G50" s="45">
        <v>237.13</v>
      </c>
      <c r="H50" s="67">
        <v>1.6959742428035995E-2</v>
      </c>
      <c r="I50" s="67">
        <v>2.1419056087267019E-2</v>
      </c>
      <c r="J50" s="45">
        <v>248.3</v>
      </c>
      <c r="K50" s="5" t="s">
        <v>2322</v>
      </c>
    </row>
    <row r="51" spans="1:11">
      <c r="A51" s="11" t="s">
        <v>2359</v>
      </c>
      <c r="B51" s="11" t="s">
        <v>2099</v>
      </c>
      <c r="C51" s="11" t="s">
        <v>134</v>
      </c>
      <c r="D51" s="11" t="s">
        <v>2044</v>
      </c>
      <c r="E51" s="28">
        <v>46090</v>
      </c>
      <c r="F51" s="28">
        <v>46090</v>
      </c>
      <c r="G51" s="45">
        <v>258.20999999999998</v>
      </c>
      <c r="H51" s="67">
        <v>1.4553404717240981E-2</v>
      </c>
      <c r="I51" s="67">
        <v>5.1409935017580066E-3</v>
      </c>
      <c r="J51" s="45">
        <v>261.66000000000003</v>
      </c>
      <c r="K51" s="5" t="s">
        <v>2308</v>
      </c>
    </row>
    <row r="52" spans="1:11">
      <c r="A52" s="11" t="s">
        <v>2360</v>
      </c>
      <c r="B52" s="11" t="s">
        <v>2100</v>
      </c>
      <c r="C52" s="11" t="s">
        <v>135</v>
      </c>
      <c r="D52" s="11" t="s">
        <v>2044</v>
      </c>
      <c r="E52" s="28">
        <v>46090</v>
      </c>
      <c r="F52" s="28">
        <v>46093</v>
      </c>
      <c r="G52" s="45">
        <v>255</v>
      </c>
      <c r="H52" s="67">
        <v>1.9358597386159859E-3</v>
      </c>
      <c r="I52" s="67">
        <v>2.1085449039005E-2</v>
      </c>
      <c r="J52" s="45">
        <v>267.74</v>
      </c>
      <c r="K52" s="5" t="s">
        <v>2322</v>
      </c>
    </row>
    <row r="53" spans="1:11">
      <c r="A53" s="11" t="s">
        <v>2361</v>
      </c>
      <c r="B53" s="11" t="s">
        <v>2101</v>
      </c>
      <c r="C53" s="11" t="s">
        <v>136</v>
      </c>
      <c r="D53" s="11" t="s">
        <v>2317</v>
      </c>
      <c r="E53" s="28">
        <v>46091</v>
      </c>
      <c r="F53" s="28">
        <v>46092</v>
      </c>
      <c r="G53" s="45">
        <v>302.13</v>
      </c>
      <c r="H53" s="67">
        <v>2.0570362200960979E-2</v>
      </c>
      <c r="I53" s="67">
        <v>2.8296582591953001E-2</v>
      </c>
      <c r="J53" s="45">
        <v>309.27</v>
      </c>
      <c r="K53" s="5" t="s">
        <v>2322</v>
      </c>
    </row>
    <row r="54" spans="1:11">
      <c r="A54" s="11" t="s">
        <v>2362</v>
      </c>
      <c r="B54" s="11" t="s">
        <v>2102</v>
      </c>
      <c r="C54" s="11" t="s">
        <v>140</v>
      </c>
      <c r="D54" s="11" t="s">
        <v>2307</v>
      </c>
      <c r="E54" s="28">
        <v>46093</v>
      </c>
      <c r="F54" s="28">
        <v>46096</v>
      </c>
      <c r="G54" s="45">
        <v>241.79</v>
      </c>
      <c r="H54" s="67">
        <v>2.7454066880279959E-2</v>
      </c>
      <c r="I54" s="67">
        <v>2.3827927107456959E-2</v>
      </c>
      <c r="J54" s="45">
        <v>247.88</v>
      </c>
      <c r="K54" s="5" t="s">
        <v>2322</v>
      </c>
    </row>
    <row r="55" spans="1:11">
      <c r="A55" s="11" t="s">
        <v>2363</v>
      </c>
      <c r="B55" s="11" t="s">
        <v>2103</v>
      </c>
      <c r="C55" s="11" t="s">
        <v>141</v>
      </c>
      <c r="D55" s="11" t="s">
        <v>2047</v>
      </c>
      <c r="E55" s="28">
        <v>46094</v>
      </c>
      <c r="F55" s="28">
        <v>46095</v>
      </c>
      <c r="G55" s="45">
        <v>272.95999999999998</v>
      </c>
      <c r="H55" s="67">
        <v>1.5945910730865043E-2</v>
      </c>
      <c r="I55" s="67">
        <v>1.2213321606395988E-2</v>
      </c>
      <c r="J55" s="45">
        <v>285.36</v>
      </c>
      <c r="K55" s="5" t="s">
        <v>2322</v>
      </c>
    </row>
    <row r="56" spans="1:11">
      <c r="A56" s="11" t="s">
        <v>2364</v>
      </c>
      <c r="B56" s="11" t="s">
        <v>2104</v>
      </c>
      <c r="C56" s="11" t="s">
        <v>142</v>
      </c>
      <c r="D56" s="11" t="s">
        <v>2044</v>
      </c>
      <c r="E56" s="28">
        <v>46095</v>
      </c>
      <c r="F56" s="28">
        <v>46097</v>
      </c>
      <c r="G56" s="45">
        <v>271.67</v>
      </c>
      <c r="H56" s="67">
        <v>2.1182134566596011E-2</v>
      </c>
      <c r="I56" s="67">
        <v>3.6934916246680327E-3</v>
      </c>
      <c r="J56" s="45">
        <v>274.8</v>
      </c>
      <c r="K56" s="5" t="s">
        <v>2322</v>
      </c>
    </row>
    <row r="57" spans="1:11">
      <c r="A57" s="11" t="s">
        <v>2365</v>
      </c>
      <c r="B57" s="11" t="s">
        <v>2105</v>
      </c>
      <c r="C57" s="11" t="s">
        <v>143</v>
      </c>
      <c r="D57" s="11" t="s">
        <v>2313</v>
      </c>
      <c r="E57" s="28">
        <v>46096</v>
      </c>
      <c r="F57" s="28">
        <v>46099</v>
      </c>
      <c r="G57" s="45">
        <v>231.53</v>
      </c>
      <c r="H57" s="67">
        <v>7.2609371179710447E-3</v>
      </c>
      <c r="I57" s="67">
        <v>1.1510320265079033E-2</v>
      </c>
      <c r="J57" s="45">
        <v>243</v>
      </c>
      <c r="K57" s="5" t="s">
        <v>2322</v>
      </c>
    </row>
    <row r="58" spans="1:11">
      <c r="A58" s="11" t="s">
        <v>2366</v>
      </c>
      <c r="B58" s="11" t="s">
        <v>2106</v>
      </c>
      <c r="C58" s="11" t="s">
        <v>147</v>
      </c>
      <c r="D58" s="11" t="s">
        <v>2311</v>
      </c>
      <c r="E58" s="28">
        <v>46096</v>
      </c>
      <c r="F58" s="28">
        <v>46096</v>
      </c>
      <c r="G58" s="45">
        <v>62.5</v>
      </c>
      <c r="H58" s="67">
        <v>2.7991107999580045E-2</v>
      </c>
      <c r="I58" s="67">
        <v>1.7197029655333984E-2</v>
      </c>
      <c r="J58" s="45">
        <v>64.459999999999994</v>
      </c>
      <c r="K58" s="5" t="s">
        <v>2322</v>
      </c>
    </row>
    <row r="59" spans="1:11">
      <c r="A59" s="11" t="s">
        <v>2367</v>
      </c>
      <c r="B59" s="11" t="s">
        <v>2107</v>
      </c>
      <c r="C59" s="11" t="s">
        <v>145</v>
      </c>
      <c r="D59" s="11" t="s">
        <v>2044</v>
      </c>
      <c r="E59" s="28">
        <v>46097</v>
      </c>
      <c r="F59" s="28">
        <v>46099</v>
      </c>
      <c r="G59" s="45">
        <v>264.31</v>
      </c>
      <c r="H59" s="67">
        <v>8.3148204428139527E-3</v>
      </c>
      <c r="I59" s="67">
        <v>1.6651604393263963E-2</v>
      </c>
      <c r="J59" s="45">
        <v>276.02</v>
      </c>
      <c r="K59" s="5" t="s">
        <v>2322</v>
      </c>
    </row>
    <row r="60" spans="1:11">
      <c r="A60" s="11" t="s">
        <v>2368</v>
      </c>
      <c r="B60" s="11" t="s">
        <v>2108</v>
      </c>
      <c r="C60" s="11" t="s">
        <v>146</v>
      </c>
      <c r="D60" s="11" t="s">
        <v>2317</v>
      </c>
      <c r="E60" s="28">
        <v>46099</v>
      </c>
      <c r="F60" s="28">
        <v>46101</v>
      </c>
      <c r="G60" s="45">
        <v>263.17</v>
      </c>
      <c r="H60" s="67">
        <v>1.8270543914986948E-2</v>
      </c>
      <c r="I60" s="67">
        <v>1.0264122148043953E-2</v>
      </c>
      <c r="J60" s="45">
        <v>267.47000000000003</v>
      </c>
      <c r="K60" s="5" t="s">
        <v>2322</v>
      </c>
    </row>
    <row r="61" spans="1:11">
      <c r="A61" s="11" t="s">
        <v>2369</v>
      </c>
      <c r="B61" s="11" t="s">
        <v>2109</v>
      </c>
      <c r="C61" s="11" t="s">
        <v>127</v>
      </c>
      <c r="D61" s="11" t="s">
        <v>2096</v>
      </c>
      <c r="E61" s="28">
        <v>46100</v>
      </c>
      <c r="F61" s="28">
        <v>46102</v>
      </c>
      <c r="G61" s="45">
        <v>64.75</v>
      </c>
      <c r="H61" s="67">
        <v>1.6610446017235048E-2</v>
      </c>
      <c r="I61" s="67">
        <v>2.9810867737280033E-2</v>
      </c>
      <c r="J61" s="45">
        <v>66.62</v>
      </c>
      <c r="K61" s="5" t="s">
        <v>2045</v>
      </c>
    </row>
    <row r="62" spans="1:11">
      <c r="A62" s="11" t="s">
        <v>2370</v>
      </c>
      <c r="B62" s="11" t="s">
        <v>2110</v>
      </c>
      <c r="C62" s="11" t="s">
        <v>96</v>
      </c>
      <c r="D62" s="11" t="s">
        <v>2047</v>
      </c>
      <c r="E62" s="28">
        <v>46102</v>
      </c>
      <c r="F62" s="28">
        <v>46105</v>
      </c>
      <c r="G62" s="45">
        <v>247.64</v>
      </c>
      <c r="H62" s="67">
        <v>1.8655902778963007E-2</v>
      </c>
      <c r="I62" s="67">
        <v>2.772718155430598E-2</v>
      </c>
      <c r="J62" s="45">
        <v>252.62</v>
      </c>
      <c r="K62" s="5" t="s">
        <v>2045</v>
      </c>
    </row>
    <row r="63" spans="1:11">
      <c r="A63" s="11" t="s">
        <v>2371</v>
      </c>
      <c r="B63" s="11" t="s">
        <v>2111</v>
      </c>
      <c r="C63" s="11" t="s">
        <v>99</v>
      </c>
      <c r="D63" s="11" t="s">
        <v>2044</v>
      </c>
      <c r="E63" s="28">
        <v>46104</v>
      </c>
      <c r="F63" s="28">
        <v>46104</v>
      </c>
      <c r="G63" s="45">
        <v>261.43</v>
      </c>
      <c r="H63" s="67">
        <v>1.7633984233249578E-3</v>
      </c>
      <c r="I63" s="67">
        <v>2.5914614283247039E-2</v>
      </c>
      <c r="J63" s="45">
        <v>267.95</v>
      </c>
      <c r="K63" s="5" t="s">
        <v>2045</v>
      </c>
    </row>
    <row r="64" spans="1:11">
      <c r="A64" s="11" t="s">
        <v>2372</v>
      </c>
      <c r="B64" s="11" t="s">
        <v>2112</v>
      </c>
      <c r="C64" s="11" t="s">
        <v>102</v>
      </c>
      <c r="D64" s="11" t="s">
        <v>2313</v>
      </c>
      <c r="E64" s="28">
        <v>46104</v>
      </c>
      <c r="F64" s="28">
        <v>46107</v>
      </c>
      <c r="G64" s="45">
        <v>255.28</v>
      </c>
      <c r="H64" s="67">
        <v>5.9233451595059883E-3</v>
      </c>
      <c r="I64" s="67">
        <v>2.2556562200189978E-3</v>
      </c>
      <c r="J64" s="45">
        <v>262.27</v>
      </c>
      <c r="K64" s="5" t="s">
        <v>2045</v>
      </c>
    </row>
    <row r="65" spans="1:11">
      <c r="A65" s="11" t="s">
        <v>2373</v>
      </c>
      <c r="B65" s="11" t="s">
        <v>2043</v>
      </c>
      <c r="C65" s="11" t="s">
        <v>105</v>
      </c>
      <c r="D65" s="11" t="s">
        <v>2044</v>
      </c>
      <c r="E65" s="28">
        <v>46105</v>
      </c>
      <c r="F65" s="28">
        <v>46108</v>
      </c>
      <c r="G65" s="45">
        <v>262.70999999999998</v>
      </c>
      <c r="H65" s="67">
        <v>1.8234928091990232E-3</v>
      </c>
      <c r="I65" s="67">
        <v>4.522260414668966E-3</v>
      </c>
      <c r="J65" s="45">
        <v>266.69</v>
      </c>
      <c r="K65" s="5" t="s">
        <v>2045</v>
      </c>
    </row>
    <row r="66" spans="1:11">
      <c r="A66" s="11" t="s">
        <v>2374</v>
      </c>
      <c r="B66" s="11" t="s">
        <v>2046</v>
      </c>
      <c r="C66" s="11" t="s">
        <v>107</v>
      </c>
      <c r="D66" s="11" t="s">
        <v>2044</v>
      </c>
      <c r="E66" s="28">
        <v>46105</v>
      </c>
      <c r="F66" s="28">
        <v>46107</v>
      </c>
      <c r="G66" s="45">
        <v>277.05</v>
      </c>
      <c r="H66" s="67">
        <v>1.5700735983672054E-2</v>
      </c>
      <c r="I66" s="67">
        <v>2.971724979160395E-2</v>
      </c>
      <c r="J66" s="45">
        <v>284.36</v>
      </c>
      <c r="K66" s="5" t="s">
        <v>2045</v>
      </c>
    </row>
    <row r="67" spans="1:11">
      <c r="A67" s="11" t="s">
        <v>2375</v>
      </c>
      <c r="B67" s="11" t="s">
        <v>2048</v>
      </c>
      <c r="C67" s="11" t="s">
        <v>109</v>
      </c>
      <c r="D67" s="11" t="s">
        <v>2317</v>
      </c>
      <c r="E67" s="28">
        <v>46105</v>
      </c>
      <c r="F67" s="28">
        <v>46106</v>
      </c>
      <c r="G67" s="45">
        <v>226</v>
      </c>
      <c r="H67" s="67">
        <v>1.2597389558795968E-2</v>
      </c>
      <c r="I67" s="67">
        <v>2.8009383432333945E-2</v>
      </c>
      <c r="J67" s="45">
        <v>231.99</v>
      </c>
      <c r="K67" s="5" t="s">
        <v>2045</v>
      </c>
    </row>
    <row r="68" spans="1:11">
      <c r="A68" s="11" t="s">
        <v>2376</v>
      </c>
      <c r="B68" s="11" t="s">
        <v>2050</v>
      </c>
      <c r="C68" s="11" t="s">
        <v>120</v>
      </c>
      <c r="D68" s="11" t="s">
        <v>2307</v>
      </c>
      <c r="E68" s="28">
        <v>46107</v>
      </c>
      <c r="F68" s="28">
        <v>46108</v>
      </c>
      <c r="G68" s="45">
        <v>241.42</v>
      </c>
      <c r="H68" s="67">
        <v>2.6998152578947998E-2</v>
      </c>
      <c r="I68" s="67">
        <v>1.5075502316467038E-2</v>
      </c>
      <c r="J68" s="45">
        <v>246.29</v>
      </c>
      <c r="K68" s="5" t="s">
        <v>2045</v>
      </c>
    </row>
    <row r="69" spans="1:11">
      <c r="A69" s="11" t="s">
        <v>2377</v>
      </c>
      <c r="B69" s="11" t="s">
        <v>2051</v>
      </c>
      <c r="C69" s="11" t="s">
        <v>121</v>
      </c>
      <c r="D69" s="11" t="s">
        <v>2047</v>
      </c>
      <c r="E69" s="28">
        <v>46109</v>
      </c>
      <c r="F69" s="28">
        <v>46112</v>
      </c>
      <c r="G69" s="45">
        <v>281.17</v>
      </c>
      <c r="H69" s="67">
        <v>1.6028810890391987E-2</v>
      </c>
      <c r="I69" s="67">
        <v>1.9601357647450968E-2</v>
      </c>
      <c r="J69" s="45">
        <v>291.7</v>
      </c>
      <c r="K69" s="5" t="s">
        <v>2045</v>
      </c>
    </row>
    <row r="70" spans="1:11">
      <c r="A70" s="11" t="s">
        <v>2378</v>
      </c>
      <c r="B70" s="11" t="s">
        <v>2052</v>
      </c>
      <c r="C70" s="11" t="s">
        <v>129</v>
      </c>
      <c r="D70" s="11" t="s">
        <v>2094</v>
      </c>
      <c r="E70" s="28">
        <v>46109</v>
      </c>
      <c r="F70" s="28">
        <v>46110</v>
      </c>
      <c r="G70" s="45">
        <v>15.61</v>
      </c>
      <c r="H70" s="67">
        <v>1.4564122084760989E-2</v>
      </c>
      <c r="I70" s="67">
        <v>9.46716565499095E-3</v>
      </c>
      <c r="J70" s="45">
        <v>16.38</v>
      </c>
      <c r="K70" s="5" t="s">
        <v>2045</v>
      </c>
    </row>
    <row r="71" spans="1:11">
      <c r="A71" s="11" t="s">
        <v>2379</v>
      </c>
      <c r="B71" s="11" t="s">
        <v>2053</v>
      </c>
      <c r="C71" s="11" t="s">
        <v>123</v>
      </c>
      <c r="D71" s="11" t="s">
        <v>2313</v>
      </c>
      <c r="E71" s="28">
        <v>46083</v>
      </c>
      <c r="F71" s="28">
        <v>46086</v>
      </c>
      <c r="G71" s="45">
        <v>285.26</v>
      </c>
      <c r="H71" s="67">
        <v>2.7965338876005053E-2</v>
      </c>
      <c r="I71" s="67">
        <v>1.4846611446468039E-2</v>
      </c>
      <c r="J71" s="45">
        <v>289.75</v>
      </c>
      <c r="K71" s="5" t="s">
        <v>2308</v>
      </c>
    </row>
    <row r="72" spans="1:11">
      <c r="A72" s="11" t="s">
        <v>2380</v>
      </c>
      <c r="B72" s="11" t="s">
        <v>2054</v>
      </c>
      <c r="C72" s="11" t="s">
        <v>124</v>
      </c>
      <c r="D72" s="11" t="s">
        <v>2044</v>
      </c>
      <c r="E72" s="28">
        <v>46084</v>
      </c>
      <c r="F72" s="28">
        <v>46086</v>
      </c>
      <c r="G72" s="45">
        <v>214.73</v>
      </c>
      <c r="H72" s="67">
        <v>2.3412681007525027E-2</v>
      </c>
      <c r="I72" s="67">
        <v>2.1008079258725054E-2</v>
      </c>
      <c r="J72" s="45">
        <v>222.01</v>
      </c>
      <c r="K72" s="5" t="s">
        <v>2308</v>
      </c>
    </row>
    <row r="73" spans="1:11">
      <c r="A73" s="11" t="s">
        <v>2381</v>
      </c>
      <c r="B73" s="11" t="s">
        <v>2055</v>
      </c>
      <c r="C73" s="11" t="s">
        <v>125</v>
      </c>
      <c r="D73" s="11" t="s">
        <v>2044</v>
      </c>
      <c r="E73" s="28">
        <v>46085</v>
      </c>
      <c r="F73" s="28">
        <v>46085</v>
      </c>
      <c r="G73" s="45">
        <v>235.06</v>
      </c>
      <c r="H73" s="67">
        <v>1.0155422811396031E-2</v>
      </c>
      <c r="I73" s="67">
        <v>1.1309168413514037E-2</v>
      </c>
      <c r="J73" s="45">
        <v>243.78</v>
      </c>
      <c r="K73" s="5" t="s">
        <v>2308</v>
      </c>
    </row>
    <row r="74" spans="1:11">
      <c r="A74" s="11" t="s">
        <v>2382</v>
      </c>
      <c r="B74" s="11" t="s">
        <v>2056</v>
      </c>
      <c r="C74" s="11" t="s">
        <v>126</v>
      </c>
      <c r="D74" s="11" t="s">
        <v>2317</v>
      </c>
      <c r="E74" s="28">
        <v>46087</v>
      </c>
      <c r="F74" s="28">
        <v>46089</v>
      </c>
      <c r="G74" s="45">
        <v>266.58</v>
      </c>
      <c r="H74" s="67">
        <v>9.7286543801889946E-3</v>
      </c>
      <c r="I74" s="67">
        <v>2.858621330698996E-2</v>
      </c>
      <c r="J74" s="45">
        <v>269.44</v>
      </c>
      <c r="K74" s="5" t="s">
        <v>2308</v>
      </c>
    </row>
    <row r="75" spans="1:11">
      <c r="A75" s="11" t="s">
        <v>2383</v>
      </c>
      <c r="B75" s="11" t="s">
        <v>2057</v>
      </c>
      <c r="C75" s="11" t="s">
        <v>130</v>
      </c>
      <c r="D75" s="11" t="s">
        <v>2044</v>
      </c>
      <c r="E75" s="28">
        <v>46088</v>
      </c>
      <c r="F75" s="28">
        <v>46091</v>
      </c>
      <c r="G75" s="45">
        <v>289.39</v>
      </c>
      <c r="H75" s="67">
        <v>7.5135598038319484E-3</v>
      </c>
      <c r="I75" s="67">
        <v>8.2865027838849858E-3</v>
      </c>
      <c r="J75" s="45">
        <v>292.83</v>
      </c>
      <c r="K75" s="5" t="s">
        <v>2308</v>
      </c>
    </row>
    <row r="76" spans="1:11">
      <c r="A76" s="11" t="s">
        <v>2384</v>
      </c>
      <c r="B76" s="11" t="s">
        <v>2058</v>
      </c>
      <c r="C76" s="11" t="s">
        <v>131</v>
      </c>
      <c r="D76" s="11" t="s">
        <v>2047</v>
      </c>
      <c r="E76" s="28">
        <v>46088</v>
      </c>
      <c r="F76" s="28">
        <v>46091</v>
      </c>
      <c r="G76" s="45">
        <v>234.67</v>
      </c>
      <c r="H76" s="67">
        <v>1.5431794174713964E-2</v>
      </c>
      <c r="I76" s="67">
        <v>1.3352694631553974E-2</v>
      </c>
      <c r="J76" s="45">
        <v>246.38</v>
      </c>
      <c r="K76" s="5" t="s">
        <v>2308</v>
      </c>
    </row>
    <row r="77" spans="1:11">
      <c r="A77" s="11" t="s">
        <v>2385</v>
      </c>
      <c r="B77" s="11" t="s">
        <v>2059</v>
      </c>
      <c r="C77" s="11" t="s">
        <v>132</v>
      </c>
      <c r="D77" s="11" t="s">
        <v>2044</v>
      </c>
      <c r="E77" s="28">
        <v>46088</v>
      </c>
      <c r="F77" s="28">
        <v>46090</v>
      </c>
      <c r="G77" s="45">
        <v>229.77</v>
      </c>
      <c r="H77" s="67">
        <v>1.6503135882317999E-2</v>
      </c>
      <c r="I77" s="67">
        <v>2.0408544189529976E-2</v>
      </c>
      <c r="J77" s="45">
        <v>239.46</v>
      </c>
      <c r="K77" s="5" t="s">
        <v>2308</v>
      </c>
    </row>
    <row r="78" spans="1:11">
      <c r="A78" s="11" t="s">
        <v>2386</v>
      </c>
      <c r="B78" s="11" t="s">
        <v>2060</v>
      </c>
      <c r="C78" s="11" t="s">
        <v>133</v>
      </c>
      <c r="D78" s="11" t="s">
        <v>2313</v>
      </c>
      <c r="E78" s="28">
        <v>46089</v>
      </c>
      <c r="F78" s="28">
        <v>46092</v>
      </c>
      <c r="G78" s="45">
        <v>240.1</v>
      </c>
      <c r="H78" s="67">
        <v>1.1152096303412962E-2</v>
      </c>
      <c r="I78" s="67">
        <v>2.5253466796596014E-2</v>
      </c>
      <c r="J78" s="45">
        <v>251.28</v>
      </c>
      <c r="K78" s="5" t="s">
        <v>2322</v>
      </c>
    </row>
    <row r="79" spans="1:11">
      <c r="A79" s="11" t="s">
        <v>2387</v>
      </c>
      <c r="B79" s="11" t="s">
        <v>2061</v>
      </c>
      <c r="C79" s="11" t="s">
        <v>134</v>
      </c>
      <c r="D79" s="11" t="s">
        <v>2044</v>
      </c>
      <c r="E79" s="28">
        <v>46089</v>
      </c>
      <c r="F79" s="28">
        <v>46092</v>
      </c>
      <c r="G79" s="45">
        <v>280.14999999999998</v>
      </c>
      <c r="H79" s="67">
        <v>1.3526258724739781E-3</v>
      </c>
      <c r="I79" s="67">
        <v>1.7734408844961025E-2</v>
      </c>
      <c r="J79" s="45">
        <v>293.52</v>
      </c>
      <c r="K79" s="5" t="s">
        <v>2322</v>
      </c>
    </row>
    <row r="80" spans="1:11">
      <c r="A80" s="11" t="s">
        <v>2388</v>
      </c>
      <c r="B80" s="11" t="s">
        <v>2062</v>
      </c>
      <c r="C80" s="11" t="s">
        <v>135</v>
      </c>
      <c r="D80" s="11" t="s">
        <v>2044</v>
      </c>
      <c r="E80" s="28">
        <v>46089</v>
      </c>
      <c r="F80" s="28">
        <v>46090</v>
      </c>
      <c r="G80" s="45">
        <v>298.10000000000002</v>
      </c>
      <c r="H80" s="67">
        <v>1.9926232732599969E-2</v>
      </c>
      <c r="I80" s="67">
        <v>1.769325913861397E-2</v>
      </c>
      <c r="J80" s="45">
        <v>309.33999999999997</v>
      </c>
      <c r="K80" s="5" t="s">
        <v>2308</v>
      </c>
    </row>
    <row r="81" spans="1:11">
      <c r="A81" s="11" t="s">
        <v>2389</v>
      </c>
      <c r="B81" s="11" t="s">
        <v>2064</v>
      </c>
      <c r="C81" s="11" t="s">
        <v>136</v>
      </c>
      <c r="D81" s="11" t="s">
        <v>2317</v>
      </c>
      <c r="E81" s="28">
        <v>46091</v>
      </c>
      <c r="F81" s="28">
        <v>46092</v>
      </c>
      <c r="G81" s="45">
        <v>232.87</v>
      </c>
      <c r="H81" s="67">
        <v>1.0679248715750989E-2</v>
      </c>
      <c r="I81" s="67">
        <v>1.8622614009539018E-2</v>
      </c>
      <c r="J81" s="45">
        <v>236.99</v>
      </c>
      <c r="K81" s="5" t="s">
        <v>2322</v>
      </c>
    </row>
    <row r="82" spans="1:11">
      <c r="A82" s="11" t="s">
        <v>2390</v>
      </c>
      <c r="B82" s="11" t="s">
        <v>2065</v>
      </c>
      <c r="C82" s="11" t="s">
        <v>140</v>
      </c>
      <c r="D82" s="11" t="s">
        <v>2307</v>
      </c>
      <c r="E82" s="28">
        <v>46093</v>
      </c>
      <c r="F82" s="28">
        <v>46096</v>
      </c>
      <c r="G82" s="45">
        <v>272.99</v>
      </c>
      <c r="H82" s="67">
        <v>1.8756089919479968E-2</v>
      </c>
      <c r="I82" s="67">
        <v>1.2727250508497989E-2</v>
      </c>
      <c r="J82" s="45">
        <v>281.94</v>
      </c>
      <c r="K82" s="5" t="s">
        <v>2322</v>
      </c>
    </row>
    <row r="83" spans="1:11">
      <c r="A83" s="11" t="s">
        <v>2391</v>
      </c>
      <c r="B83" s="11" t="s">
        <v>2066</v>
      </c>
      <c r="C83" s="11" t="s">
        <v>141</v>
      </c>
      <c r="D83" s="11" t="s">
        <v>2047</v>
      </c>
      <c r="E83" s="28">
        <v>46095</v>
      </c>
      <c r="F83" s="28">
        <v>46096</v>
      </c>
      <c r="G83" s="45">
        <v>251.42</v>
      </c>
      <c r="H83" s="67">
        <v>2.1382260850165036E-2</v>
      </c>
      <c r="I83" s="67">
        <v>2.489564974955305E-2</v>
      </c>
      <c r="J83" s="45">
        <v>258.57</v>
      </c>
      <c r="K83" s="5" t="s">
        <v>2322</v>
      </c>
    </row>
    <row r="84" spans="1:11">
      <c r="A84" s="11" t="s">
        <v>2392</v>
      </c>
      <c r="B84" s="11" t="s">
        <v>2067</v>
      </c>
      <c r="C84" s="11" t="s">
        <v>172</v>
      </c>
      <c r="D84" s="11" t="s">
        <v>2096</v>
      </c>
      <c r="E84" s="28">
        <v>46096</v>
      </c>
      <c r="F84" s="28">
        <v>46098</v>
      </c>
      <c r="G84" s="45">
        <v>37.83</v>
      </c>
      <c r="H84" s="67">
        <v>2.7962396970717007E-2</v>
      </c>
      <c r="I84" s="67">
        <v>1.8971711895429011E-2</v>
      </c>
      <c r="J84" s="45">
        <v>39.33</v>
      </c>
      <c r="K84" s="5" t="s">
        <v>2322</v>
      </c>
    </row>
    <row r="85" spans="1:11">
      <c r="A85" s="11" t="s">
        <v>2393</v>
      </c>
      <c r="B85" s="11" t="s">
        <v>2068</v>
      </c>
      <c r="C85" s="11" t="s">
        <v>143</v>
      </c>
      <c r="D85" s="11" t="s">
        <v>2313</v>
      </c>
      <c r="E85" s="28">
        <v>46097</v>
      </c>
      <c r="F85" s="28">
        <v>46098</v>
      </c>
      <c r="G85" s="45">
        <v>296.51</v>
      </c>
      <c r="H85" s="67">
        <v>1.3323343707248969E-2</v>
      </c>
      <c r="I85" s="67">
        <v>2.4838336711050957E-2</v>
      </c>
      <c r="J85" s="45">
        <v>308.24</v>
      </c>
      <c r="K85" s="5" t="s">
        <v>2322</v>
      </c>
    </row>
    <row r="86" spans="1:11">
      <c r="A86" s="11" t="s">
        <v>2394</v>
      </c>
      <c r="B86" s="11" t="s">
        <v>2069</v>
      </c>
      <c r="C86" s="11" t="s">
        <v>144</v>
      </c>
      <c r="D86" s="11" t="s">
        <v>2044</v>
      </c>
      <c r="E86" s="28">
        <v>46099</v>
      </c>
      <c r="F86" s="28">
        <v>46100</v>
      </c>
      <c r="G86" s="45">
        <v>219.35</v>
      </c>
      <c r="H86" s="67">
        <v>2.5206856608623984E-2</v>
      </c>
      <c r="I86" s="67">
        <v>2.2150498049798961E-2</v>
      </c>
      <c r="J86" s="45">
        <v>224.94</v>
      </c>
      <c r="K86" s="5" t="s">
        <v>2322</v>
      </c>
    </row>
    <row r="87" spans="1:11">
      <c r="A87" s="11" t="s">
        <v>2395</v>
      </c>
      <c r="B87" s="11" t="s">
        <v>2070</v>
      </c>
      <c r="C87" s="11" t="s">
        <v>145</v>
      </c>
      <c r="D87" s="11" t="s">
        <v>2044</v>
      </c>
      <c r="E87" s="28">
        <v>46100</v>
      </c>
      <c r="F87" s="28">
        <v>46101</v>
      </c>
      <c r="G87" s="45">
        <v>290.3</v>
      </c>
      <c r="H87" s="67">
        <v>2.0771502317394996E-2</v>
      </c>
      <c r="I87" s="67">
        <v>2.6048890801845026E-2</v>
      </c>
      <c r="J87" s="45">
        <v>302.63</v>
      </c>
      <c r="K87" s="5" t="s">
        <v>2322</v>
      </c>
    </row>
    <row r="88" spans="1:11">
      <c r="A88" s="11" t="s">
        <v>2396</v>
      </c>
      <c r="B88" s="11" t="s">
        <v>2071</v>
      </c>
      <c r="C88" s="11" t="s">
        <v>146</v>
      </c>
      <c r="D88" s="11" t="s">
        <v>2317</v>
      </c>
      <c r="E88" s="28">
        <v>46102</v>
      </c>
      <c r="F88" s="28">
        <v>46104</v>
      </c>
      <c r="G88" s="45">
        <v>209.22</v>
      </c>
      <c r="H88" s="67">
        <v>6.832559218396983E-3</v>
      </c>
      <c r="I88" s="67">
        <v>1.7787031659856956E-2</v>
      </c>
      <c r="J88" s="45">
        <v>212.02</v>
      </c>
      <c r="K88" s="5" t="s">
        <v>2045</v>
      </c>
    </row>
    <row r="89" spans="1:11">
      <c r="A89" s="11" t="s">
        <v>2397</v>
      </c>
      <c r="B89" s="11" t="s">
        <v>2072</v>
      </c>
      <c r="C89" s="11" t="s">
        <v>93</v>
      </c>
      <c r="D89" s="11" t="s">
        <v>2307</v>
      </c>
      <c r="E89" s="28">
        <v>46102</v>
      </c>
      <c r="F89" s="28">
        <v>46102</v>
      </c>
      <c r="G89" s="45">
        <v>225.46</v>
      </c>
      <c r="H89" s="67">
        <v>2.8792040453291978E-2</v>
      </c>
      <c r="I89" s="67">
        <v>1.2895453686360137E-3</v>
      </c>
      <c r="J89" s="45">
        <v>227.76</v>
      </c>
      <c r="K89" s="5" t="s">
        <v>2045</v>
      </c>
    </row>
    <row r="90" spans="1:11">
      <c r="A90" s="11" t="s">
        <v>2398</v>
      </c>
      <c r="B90" s="11" t="s">
        <v>2073</v>
      </c>
      <c r="C90" s="11" t="s">
        <v>96</v>
      </c>
      <c r="D90" s="11" t="s">
        <v>2047</v>
      </c>
      <c r="E90" s="28">
        <v>46103</v>
      </c>
      <c r="F90" s="28">
        <v>46103</v>
      </c>
      <c r="G90" s="45">
        <v>253.04</v>
      </c>
      <c r="H90" s="67">
        <v>2.2972264937358045E-2</v>
      </c>
      <c r="I90" s="67">
        <v>2.8448884574231004E-2</v>
      </c>
      <c r="J90" s="45">
        <v>257.58999999999997</v>
      </c>
      <c r="K90" s="5" t="s">
        <v>2045</v>
      </c>
    </row>
    <row r="91" spans="1:11">
      <c r="A91" s="11" t="s">
        <v>2399</v>
      </c>
      <c r="B91" s="11" t="s">
        <v>2074</v>
      </c>
      <c r="C91" s="11" t="s">
        <v>127</v>
      </c>
      <c r="D91" s="11" t="s">
        <v>2096</v>
      </c>
      <c r="E91" s="28">
        <v>46104</v>
      </c>
      <c r="F91" s="28">
        <v>46105</v>
      </c>
      <c r="G91" s="45">
        <v>44.38</v>
      </c>
      <c r="H91" s="67">
        <v>1.0141013678628963E-2</v>
      </c>
      <c r="I91" s="67">
        <v>9.9474486426920361E-3</v>
      </c>
      <c r="J91" s="45">
        <v>46.47</v>
      </c>
      <c r="K91" s="5" t="s">
        <v>2045</v>
      </c>
    </row>
    <row r="92" spans="1:11">
      <c r="A92" s="11" t="s">
        <v>2400</v>
      </c>
      <c r="B92" s="11" t="s">
        <v>2075</v>
      </c>
      <c r="C92" s="11" t="s">
        <v>102</v>
      </c>
      <c r="D92" s="11" t="s">
        <v>2313</v>
      </c>
      <c r="E92" s="28">
        <v>46105</v>
      </c>
      <c r="F92" s="28">
        <v>46108</v>
      </c>
      <c r="G92" s="45">
        <v>228.57</v>
      </c>
      <c r="H92" s="67">
        <v>2.9384880934609003E-2</v>
      </c>
      <c r="I92" s="67">
        <v>1.6091709000058962E-2</v>
      </c>
      <c r="J92" s="45">
        <v>239.14</v>
      </c>
      <c r="K92" s="5" t="s">
        <v>2045</v>
      </c>
    </row>
    <row r="93" spans="1:11">
      <c r="A93" s="11" t="s">
        <v>2401</v>
      </c>
      <c r="B93" s="11" t="s">
        <v>2076</v>
      </c>
      <c r="C93" s="11" t="s">
        <v>105</v>
      </c>
      <c r="D93" s="11" t="s">
        <v>2044</v>
      </c>
      <c r="E93" s="28">
        <v>46107</v>
      </c>
      <c r="F93" s="28">
        <v>46107</v>
      </c>
      <c r="G93" s="45">
        <v>237.38</v>
      </c>
      <c r="H93" s="67">
        <v>1.9725585106760035E-2</v>
      </c>
      <c r="I93" s="67">
        <v>2.7703858915018031E-2</v>
      </c>
      <c r="J93" s="45">
        <v>243.25</v>
      </c>
      <c r="K93" s="5" t="s">
        <v>2045</v>
      </c>
    </row>
    <row r="94" spans="1:11">
      <c r="A94" s="11" t="s">
        <v>2402</v>
      </c>
      <c r="B94" s="11" t="s">
        <v>2077</v>
      </c>
      <c r="C94" s="11" t="s">
        <v>172</v>
      </c>
      <c r="D94" s="11" t="s">
        <v>2096</v>
      </c>
      <c r="E94" s="28">
        <v>46108</v>
      </c>
      <c r="F94" s="28">
        <v>46111</v>
      </c>
      <c r="G94" s="45">
        <v>54.74</v>
      </c>
      <c r="H94" s="67">
        <v>1.3389640717069051E-2</v>
      </c>
      <c r="I94" s="67">
        <v>3.868607543874969E-3</v>
      </c>
      <c r="J94" s="45">
        <v>56.49</v>
      </c>
      <c r="K94" s="5" t="s">
        <v>2045</v>
      </c>
    </row>
    <row r="95" spans="1:11">
      <c r="A95" s="11" t="s">
        <v>2403</v>
      </c>
      <c r="B95" s="11" t="s">
        <v>2078</v>
      </c>
      <c r="C95" s="11" t="s">
        <v>109</v>
      </c>
      <c r="D95" s="11" t="s">
        <v>2317</v>
      </c>
      <c r="E95" s="28">
        <v>46109</v>
      </c>
      <c r="F95" s="28">
        <v>46111</v>
      </c>
      <c r="G95" s="45">
        <v>294.74</v>
      </c>
      <c r="H95" s="67">
        <v>1.2744419611524949E-2</v>
      </c>
      <c r="I95" s="67">
        <v>3.2079020894599797E-3</v>
      </c>
      <c r="J95" s="45">
        <v>300.95999999999998</v>
      </c>
      <c r="K95" s="5" t="s">
        <v>2045</v>
      </c>
    </row>
    <row r="96" spans="1:11">
      <c r="A96" s="11" t="s">
        <v>2404</v>
      </c>
      <c r="B96" s="11" t="s">
        <v>2079</v>
      </c>
      <c r="C96" s="11" t="s">
        <v>120</v>
      </c>
      <c r="D96" s="11" t="s">
        <v>2307</v>
      </c>
      <c r="E96" s="28">
        <v>46082</v>
      </c>
      <c r="F96" s="28">
        <v>46083</v>
      </c>
      <c r="G96" s="45">
        <v>278.44</v>
      </c>
      <c r="H96" s="67">
        <v>1.7262609485304004E-2</v>
      </c>
      <c r="I96" s="67">
        <v>1.5207554399967016E-2</v>
      </c>
      <c r="J96" s="45">
        <v>288.73</v>
      </c>
      <c r="K96" s="5" t="s">
        <v>2308</v>
      </c>
    </row>
    <row r="97" spans="1:11">
      <c r="A97" s="11" t="s">
        <v>2405</v>
      </c>
      <c r="B97" s="11" t="s">
        <v>2080</v>
      </c>
      <c r="C97" s="11" t="s">
        <v>137</v>
      </c>
      <c r="D97" s="11" t="s">
        <v>2311</v>
      </c>
      <c r="E97" s="28">
        <v>46082</v>
      </c>
      <c r="F97" s="28">
        <v>46083</v>
      </c>
      <c r="G97" s="45">
        <v>36.369999999999997</v>
      </c>
      <c r="H97" s="67">
        <v>2.216815066989497E-2</v>
      </c>
      <c r="I97" s="67">
        <v>2.6147835949668963E-2</v>
      </c>
      <c r="J97" s="45">
        <v>37.270000000000003</v>
      </c>
      <c r="K97" s="5" t="s">
        <v>2308</v>
      </c>
    </row>
    <row r="98" spans="1:11">
      <c r="A98" s="11" t="s">
        <v>2406</v>
      </c>
      <c r="B98" s="11" t="s">
        <v>2081</v>
      </c>
      <c r="C98" s="11" t="s">
        <v>122</v>
      </c>
      <c r="D98" s="11" t="s">
        <v>2044</v>
      </c>
      <c r="E98" s="28">
        <v>46083</v>
      </c>
      <c r="F98" s="28">
        <v>46084</v>
      </c>
      <c r="G98" s="45">
        <v>226.93</v>
      </c>
      <c r="H98" s="67">
        <v>8.2286942501089699E-3</v>
      </c>
      <c r="I98" s="67">
        <v>4.4506909283810181E-3</v>
      </c>
      <c r="J98" s="45">
        <v>237.85</v>
      </c>
      <c r="K98" s="5" t="s">
        <v>2308</v>
      </c>
    </row>
    <row r="99" spans="1:11">
      <c r="A99" s="11" t="s">
        <v>2407</v>
      </c>
      <c r="B99" s="11" t="s">
        <v>2082</v>
      </c>
      <c r="C99" s="11" t="s">
        <v>123</v>
      </c>
      <c r="D99" s="11" t="s">
        <v>2313</v>
      </c>
      <c r="E99" s="28">
        <v>46084</v>
      </c>
      <c r="F99" s="28">
        <v>46086</v>
      </c>
      <c r="G99" s="45">
        <v>302.47000000000003</v>
      </c>
      <c r="H99" s="67">
        <v>1.7695539953653028E-2</v>
      </c>
      <c r="I99" s="67">
        <v>1.7795382663374992E-2</v>
      </c>
      <c r="J99" s="45">
        <v>305.57</v>
      </c>
      <c r="K99" s="5" t="s">
        <v>2308</v>
      </c>
    </row>
    <row r="100" spans="1:11">
      <c r="A100" s="11" t="s">
        <v>2408</v>
      </c>
      <c r="B100" s="11" t="s">
        <v>2083</v>
      </c>
      <c r="C100" s="11" t="s">
        <v>124</v>
      </c>
      <c r="D100" s="11" t="s">
        <v>2044</v>
      </c>
      <c r="E100" s="28">
        <v>46084</v>
      </c>
      <c r="F100" s="28">
        <v>46086</v>
      </c>
      <c r="G100" s="45">
        <v>289.31</v>
      </c>
      <c r="H100" s="67">
        <v>2.7411829608260052E-2</v>
      </c>
      <c r="I100" s="67">
        <v>1.4832717302254994E-2</v>
      </c>
      <c r="J100" s="45">
        <v>301</v>
      </c>
      <c r="K100" s="5" t="s">
        <v>2308</v>
      </c>
    </row>
    <row r="101" spans="1:11">
      <c r="A101" s="11" t="s">
        <v>2409</v>
      </c>
      <c r="B101" s="11" t="s">
        <v>2085</v>
      </c>
      <c r="C101" s="11" t="s">
        <v>125</v>
      </c>
      <c r="D101" s="11" t="s">
        <v>2044</v>
      </c>
      <c r="E101" s="28">
        <v>46086</v>
      </c>
      <c r="F101" s="28">
        <v>46086</v>
      </c>
      <c r="G101" s="45">
        <v>241.65</v>
      </c>
      <c r="H101" s="67">
        <v>5.6637232247740421E-3</v>
      </c>
      <c r="I101" s="67">
        <v>1.3054745734901951E-2</v>
      </c>
      <c r="J101" s="45">
        <v>248.59</v>
      </c>
      <c r="K101" s="5" t="s">
        <v>2308</v>
      </c>
    </row>
    <row r="102" spans="1:11">
      <c r="A102" s="11" t="s">
        <v>2410</v>
      </c>
      <c r="B102" s="11" t="s">
        <v>2086</v>
      </c>
      <c r="C102" s="11" t="s">
        <v>129</v>
      </c>
      <c r="D102" s="11" t="s">
        <v>2094</v>
      </c>
      <c r="E102" s="28">
        <v>46087</v>
      </c>
      <c r="F102" s="28">
        <v>46087</v>
      </c>
      <c r="G102" s="45">
        <v>9.1300000000000008</v>
      </c>
      <c r="H102" s="67">
        <v>6.9839397633909561E-3</v>
      </c>
      <c r="I102" s="67">
        <v>1.3488687841686997E-2</v>
      </c>
      <c r="J102" s="45">
        <v>9.23</v>
      </c>
      <c r="K102" s="5" t="s">
        <v>2308</v>
      </c>
    </row>
    <row r="103" spans="1:11">
      <c r="A103" s="11" t="s">
        <v>2411</v>
      </c>
      <c r="B103" s="11" t="s">
        <v>2087</v>
      </c>
      <c r="C103" s="11" t="s">
        <v>130</v>
      </c>
      <c r="D103" s="11" t="s">
        <v>2044</v>
      </c>
      <c r="E103" s="28">
        <v>46088</v>
      </c>
      <c r="F103" s="28">
        <v>46091</v>
      </c>
      <c r="G103" s="45">
        <v>265.16000000000003</v>
      </c>
      <c r="H103" s="67">
        <v>2.5038397026713954E-2</v>
      </c>
      <c r="I103" s="67">
        <v>1.7964919804362989E-2</v>
      </c>
      <c r="J103" s="45">
        <v>269.02999999999997</v>
      </c>
      <c r="K103" s="5" t="s">
        <v>2308</v>
      </c>
    </row>
    <row r="104" spans="1:11">
      <c r="A104" s="11" t="s">
        <v>2412</v>
      </c>
      <c r="B104" s="11" t="s">
        <v>2088</v>
      </c>
      <c r="C104" s="11" t="s">
        <v>131</v>
      </c>
      <c r="D104" s="11" t="s">
        <v>2047</v>
      </c>
      <c r="E104" s="28">
        <v>46088</v>
      </c>
      <c r="F104" s="28">
        <v>46090</v>
      </c>
      <c r="G104" s="45">
        <v>231.3</v>
      </c>
      <c r="H104" s="67">
        <v>2.9671445654240181E-3</v>
      </c>
      <c r="I104" s="67">
        <v>2.3461791088804973E-2</v>
      </c>
      <c r="J104" s="45">
        <v>238.83</v>
      </c>
      <c r="K104" s="5" t="s">
        <v>2308</v>
      </c>
    </row>
    <row r="105" spans="1:11">
      <c r="A105" s="1"/>
      <c r="B105" s="10"/>
      <c r="C105" s="10"/>
      <c r="D105" s="10"/>
      <c r="E105" s="18"/>
      <c r="F105" s="18"/>
      <c r="G105" s="43"/>
      <c r="H105" s="66"/>
      <c r="I105" s="66"/>
      <c r="J105" s="43">
        <f>SUM(J5:J104)</f>
        <v>22277.420000000002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241C-7AF0-E04E-A839-392F8E3819A0}">
  <sheetPr codeName="Sheet16">
    <tabColor rgb="FF92D050"/>
  </sheetPr>
  <dimension ref="A1:G364"/>
  <sheetViews>
    <sheetView topLeftCell="A4" workbookViewId="0">
      <selection activeCell="G13" sqref="G13"/>
    </sheetView>
  </sheetViews>
  <sheetFormatPr defaultColWidth="11.5546875" defaultRowHeight="15.95"/>
  <cols>
    <col min="1" max="1" width="26.33203125" bestFit="1" customWidth="1"/>
    <col min="2" max="2" width="14.109375" bestFit="1" customWidth="1"/>
    <col min="3" max="3" width="9.77734375" bestFit="1" customWidth="1"/>
    <col min="4" max="4" width="22.109375" bestFit="1" customWidth="1"/>
    <col min="5" max="5" width="8.77734375" bestFit="1" customWidth="1"/>
    <col min="6" max="6" width="8.109375" bestFit="1" customWidth="1"/>
    <col min="7" max="7" width="11.109375" bestFit="1" customWidth="1"/>
  </cols>
  <sheetData>
    <row r="1" spans="1:7">
      <c r="A1" s="33" t="s">
        <v>1267</v>
      </c>
      <c r="B1" s="33">
        <v>64.98</v>
      </c>
    </row>
    <row r="2" spans="1:7">
      <c r="A2" s="33" t="s">
        <v>2413</v>
      </c>
      <c r="B2" s="69" t="s">
        <v>2414</v>
      </c>
    </row>
    <row r="3" spans="1:7">
      <c r="A3" s="33" t="s">
        <v>1269</v>
      </c>
      <c r="B3" s="33">
        <v>360</v>
      </c>
    </row>
    <row r="4" spans="1:7" ht="51">
      <c r="A4" s="14" t="s">
        <v>2415</v>
      </c>
      <c r="B4" s="15" t="s">
        <v>2416</v>
      </c>
      <c r="C4" s="27" t="s">
        <v>2417</v>
      </c>
      <c r="D4" s="15" t="s">
        <v>2418</v>
      </c>
      <c r="E4" s="27" t="s">
        <v>1974</v>
      </c>
      <c r="F4" s="27" t="s">
        <v>2419</v>
      </c>
      <c r="G4" s="27" t="s">
        <v>2042</v>
      </c>
    </row>
    <row r="5" spans="1:7">
      <c r="A5" s="11" t="s">
        <v>2420</v>
      </c>
      <c r="B5" s="11" t="s">
        <v>2306</v>
      </c>
      <c r="C5" s="7" t="s">
        <v>1539</v>
      </c>
      <c r="D5" s="11" t="s">
        <v>165</v>
      </c>
      <c r="E5" s="45">
        <v>65.63</v>
      </c>
      <c r="F5" s="7" t="s">
        <v>1544</v>
      </c>
      <c r="G5" s="5" t="s">
        <v>2421</v>
      </c>
    </row>
    <row r="6" spans="1:7">
      <c r="A6" s="11" t="s">
        <v>2422</v>
      </c>
      <c r="B6" s="11" t="s">
        <v>2306</v>
      </c>
      <c r="C6" s="7" t="s">
        <v>1583</v>
      </c>
      <c r="D6" s="11" t="s">
        <v>188</v>
      </c>
      <c r="E6" s="45">
        <v>62.38</v>
      </c>
      <c r="F6" s="7" t="s">
        <v>1600</v>
      </c>
      <c r="G6" s="5" t="s">
        <v>2421</v>
      </c>
    </row>
    <row r="7" spans="1:7">
      <c r="A7" s="11" t="s">
        <v>2423</v>
      </c>
      <c r="B7" s="11" t="s">
        <v>2306</v>
      </c>
      <c r="C7" s="7" t="s">
        <v>1655</v>
      </c>
      <c r="D7" s="11" t="s">
        <v>198</v>
      </c>
      <c r="E7" s="45">
        <v>66.28</v>
      </c>
      <c r="F7" s="7" t="s">
        <v>2424</v>
      </c>
      <c r="G7" s="5" t="s">
        <v>2421</v>
      </c>
    </row>
    <row r="8" spans="1:7">
      <c r="A8" s="11" t="s">
        <v>2425</v>
      </c>
      <c r="B8" s="11" t="s">
        <v>2306</v>
      </c>
      <c r="C8" s="7" t="s">
        <v>2426</v>
      </c>
      <c r="D8" s="11" t="s">
        <v>157</v>
      </c>
      <c r="E8" s="45">
        <v>63.03</v>
      </c>
      <c r="F8" s="7" t="s">
        <v>2427</v>
      </c>
      <c r="G8" s="5" t="s">
        <v>2421</v>
      </c>
    </row>
    <row r="9" spans="1:7">
      <c r="A9" s="11" t="s">
        <v>2428</v>
      </c>
      <c r="B9" s="11" t="s">
        <v>2309</v>
      </c>
      <c r="C9" s="7" t="s">
        <v>2429</v>
      </c>
      <c r="D9" s="11" t="s">
        <v>178</v>
      </c>
      <c r="E9" s="45">
        <v>66.930000000000007</v>
      </c>
      <c r="F9" s="7" t="s">
        <v>2430</v>
      </c>
      <c r="G9" s="5" t="s">
        <v>2421</v>
      </c>
    </row>
    <row r="10" spans="1:7">
      <c r="A10" s="11" t="s">
        <v>2431</v>
      </c>
      <c r="B10" s="11" t="s">
        <v>2309</v>
      </c>
      <c r="C10" s="7" t="s">
        <v>1557</v>
      </c>
      <c r="D10" s="11" t="s">
        <v>2139</v>
      </c>
      <c r="E10" s="45">
        <v>63.68</v>
      </c>
      <c r="F10" s="7" t="s">
        <v>1581</v>
      </c>
      <c r="G10" s="5" t="s">
        <v>2432</v>
      </c>
    </row>
    <row r="11" spans="1:7">
      <c r="A11" s="11" t="s">
        <v>2433</v>
      </c>
      <c r="B11" s="11" t="s">
        <v>2309</v>
      </c>
      <c r="C11" s="7" t="s">
        <v>1581</v>
      </c>
      <c r="D11" s="11" t="s">
        <v>2124</v>
      </c>
      <c r="E11" s="45">
        <v>67.58</v>
      </c>
      <c r="F11" s="7" t="s">
        <v>1594</v>
      </c>
      <c r="G11" s="5" t="s">
        <v>2432</v>
      </c>
    </row>
    <row r="12" spans="1:7">
      <c r="A12" s="11" t="s">
        <v>2434</v>
      </c>
      <c r="B12" s="11" t="s">
        <v>2309</v>
      </c>
      <c r="C12" s="7" t="s">
        <v>1552</v>
      </c>
      <c r="D12" s="11" t="s">
        <v>163</v>
      </c>
      <c r="E12" s="45">
        <v>64.33</v>
      </c>
      <c r="F12" s="7" t="s">
        <v>2435</v>
      </c>
      <c r="G12" s="5" t="s">
        <v>2432</v>
      </c>
    </row>
    <row r="13" spans="1:7">
      <c r="A13" s="11" t="s">
        <v>2436</v>
      </c>
      <c r="B13" s="11" t="s">
        <v>2310</v>
      </c>
      <c r="C13" s="7" t="s">
        <v>1563</v>
      </c>
      <c r="D13" s="11" t="s">
        <v>184</v>
      </c>
      <c r="E13" s="45">
        <v>68.23</v>
      </c>
      <c r="F13" s="7" t="s">
        <v>2437</v>
      </c>
      <c r="G13" s="5" t="s">
        <v>2432</v>
      </c>
    </row>
    <row r="14" spans="1:7">
      <c r="A14" s="11" t="s">
        <v>2438</v>
      </c>
      <c r="B14" s="11" t="s">
        <v>2310</v>
      </c>
      <c r="C14" s="7" t="s">
        <v>2424</v>
      </c>
      <c r="D14" s="11" t="s">
        <v>174</v>
      </c>
      <c r="E14" s="45">
        <v>64.98</v>
      </c>
      <c r="F14" s="7" t="s">
        <v>2439</v>
      </c>
      <c r="G14" s="5" t="s">
        <v>2432</v>
      </c>
    </row>
    <row r="15" spans="1:7">
      <c r="A15" s="11" t="s">
        <v>2440</v>
      </c>
      <c r="B15" s="11" t="s">
        <v>2310</v>
      </c>
      <c r="C15" s="7" t="s">
        <v>1597</v>
      </c>
      <c r="D15" s="11" t="s">
        <v>152</v>
      </c>
      <c r="E15" s="45">
        <v>61.73</v>
      </c>
      <c r="F15" s="7" t="s">
        <v>1707</v>
      </c>
      <c r="G15" s="5" t="s">
        <v>2432</v>
      </c>
    </row>
    <row r="16" spans="1:7">
      <c r="A16" s="11" t="s">
        <v>2441</v>
      </c>
      <c r="B16" s="11" t="s">
        <v>2310</v>
      </c>
      <c r="C16" s="7" t="s">
        <v>1585</v>
      </c>
      <c r="D16" s="11" t="s">
        <v>176</v>
      </c>
      <c r="E16" s="45">
        <v>65.63</v>
      </c>
      <c r="F16" s="7" t="s">
        <v>1552</v>
      </c>
      <c r="G16" s="5" t="s">
        <v>2442</v>
      </c>
    </row>
    <row r="17" spans="1:7">
      <c r="A17" s="11" t="s">
        <v>2443</v>
      </c>
      <c r="B17" s="11" t="s">
        <v>2312</v>
      </c>
      <c r="C17" s="7" t="s">
        <v>1652</v>
      </c>
      <c r="D17" s="11" t="s">
        <v>190</v>
      </c>
      <c r="E17" s="45">
        <v>62.38</v>
      </c>
      <c r="F17" s="7" t="s">
        <v>2444</v>
      </c>
      <c r="G17" s="5" t="s">
        <v>2442</v>
      </c>
    </row>
    <row r="18" spans="1:7">
      <c r="A18" s="11" t="s">
        <v>2445</v>
      </c>
      <c r="B18" s="11" t="s">
        <v>2312</v>
      </c>
      <c r="C18" s="7" t="s">
        <v>1660</v>
      </c>
      <c r="D18" s="11" t="s">
        <v>199</v>
      </c>
      <c r="E18" s="45">
        <v>66.28</v>
      </c>
      <c r="F18" s="7" t="s">
        <v>2446</v>
      </c>
      <c r="G18" s="5" t="s">
        <v>2442</v>
      </c>
    </row>
    <row r="19" spans="1:7">
      <c r="A19" s="11" t="s">
        <v>2447</v>
      </c>
      <c r="B19" s="11" t="s">
        <v>2312</v>
      </c>
      <c r="C19" s="7" t="s">
        <v>2448</v>
      </c>
      <c r="D19" s="11" t="s">
        <v>158</v>
      </c>
      <c r="E19" s="45">
        <v>63.03</v>
      </c>
      <c r="F19" s="7" t="s">
        <v>2449</v>
      </c>
      <c r="G19" s="5" t="s">
        <v>2442</v>
      </c>
    </row>
    <row r="20" spans="1:7">
      <c r="A20" s="11" t="s">
        <v>2450</v>
      </c>
      <c r="B20" s="11" t="s">
        <v>2312</v>
      </c>
      <c r="C20" s="7" t="s">
        <v>1559</v>
      </c>
      <c r="D20" s="11" t="s">
        <v>182</v>
      </c>
      <c r="E20" s="45">
        <v>66.930000000000007</v>
      </c>
      <c r="F20" s="7" t="s">
        <v>1655</v>
      </c>
      <c r="G20" s="5" t="s">
        <v>2442</v>
      </c>
    </row>
    <row r="21" spans="1:7">
      <c r="A21" s="11" t="s">
        <v>2451</v>
      </c>
      <c r="B21" s="11" t="s">
        <v>2314</v>
      </c>
      <c r="C21" s="7" t="s">
        <v>1707</v>
      </c>
      <c r="D21" s="11" t="s">
        <v>169</v>
      </c>
      <c r="E21" s="45">
        <v>63.68</v>
      </c>
      <c r="F21" s="7" t="s">
        <v>1589</v>
      </c>
      <c r="G21" s="5" t="s">
        <v>2452</v>
      </c>
    </row>
    <row r="22" spans="1:7">
      <c r="A22" s="11" t="s">
        <v>2453</v>
      </c>
      <c r="B22" s="11" t="s">
        <v>2314</v>
      </c>
      <c r="C22" s="7" t="s">
        <v>1589</v>
      </c>
      <c r="D22" s="11" t="s">
        <v>2128</v>
      </c>
      <c r="E22" s="45">
        <v>67.58</v>
      </c>
      <c r="F22" s="7" t="s">
        <v>1563</v>
      </c>
      <c r="G22" s="5" t="s">
        <v>2452</v>
      </c>
    </row>
    <row r="23" spans="1:7">
      <c r="A23" s="11" t="s">
        <v>2454</v>
      </c>
      <c r="B23" s="11" t="s">
        <v>2314</v>
      </c>
      <c r="C23" s="7" t="s">
        <v>1600</v>
      </c>
      <c r="D23" s="11" t="s">
        <v>165</v>
      </c>
      <c r="E23" s="45">
        <v>64.33</v>
      </c>
      <c r="F23" s="7" t="s">
        <v>2455</v>
      </c>
      <c r="G23" s="5" t="s">
        <v>2456</v>
      </c>
    </row>
    <row r="24" spans="1:7">
      <c r="A24" s="11" t="s">
        <v>2457</v>
      </c>
      <c r="B24" s="11" t="s">
        <v>2314</v>
      </c>
      <c r="C24" s="7" t="s">
        <v>2435</v>
      </c>
      <c r="D24" s="11" t="s">
        <v>188</v>
      </c>
      <c r="E24" s="45">
        <v>68.23</v>
      </c>
      <c r="F24" s="7" t="s">
        <v>2458</v>
      </c>
      <c r="G24" s="5" t="s">
        <v>2421</v>
      </c>
    </row>
    <row r="25" spans="1:7">
      <c r="A25" s="11" t="s">
        <v>2459</v>
      </c>
      <c r="B25" s="11" t="s">
        <v>2315</v>
      </c>
      <c r="C25" s="7" t="s">
        <v>1529</v>
      </c>
      <c r="D25" s="11" t="s">
        <v>175</v>
      </c>
      <c r="E25" s="45">
        <v>64.98</v>
      </c>
      <c r="F25" s="7" t="s">
        <v>1652</v>
      </c>
      <c r="G25" s="5" t="s">
        <v>2421</v>
      </c>
    </row>
    <row r="26" spans="1:7">
      <c r="A26" s="11" t="s">
        <v>2460</v>
      </c>
      <c r="B26" s="11" t="s">
        <v>2315</v>
      </c>
      <c r="C26" s="7" t="s">
        <v>1615</v>
      </c>
      <c r="D26" s="11" t="s">
        <v>155</v>
      </c>
      <c r="E26" s="45">
        <v>61.73</v>
      </c>
      <c r="F26" s="7" t="s">
        <v>1544</v>
      </c>
      <c r="G26" s="5" t="s">
        <v>2421</v>
      </c>
    </row>
    <row r="27" spans="1:7">
      <c r="A27" s="11" t="s">
        <v>2461</v>
      </c>
      <c r="B27" s="11" t="s">
        <v>2315</v>
      </c>
      <c r="C27" s="7" t="s">
        <v>1548</v>
      </c>
      <c r="D27" s="11" t="s">
        <v>178</v>
      </c>
      <c r="E27" s="45">
        <v>65.63</v>
      </c>
      <c r="F27" s="7" t="s">
        <v>1600</v>
      </c>
      <c r="G27" s="5" t="s">
        <v>2421</v>
      </c>
    </row>
    <row r="28" spans="1:7">
      <c r="A28" s="11" t="s">
        <v>2462</v>
      </c>
      <c r="B28" s="11" t="s">
        <v>2315</v>
      </c>
      <c r="C28" s="7" t="s">
        <v>1561</v>
      </c>
      <c r="D28" s="11" t="s">
        <v>2139</v>
      </c>
      <c r="E28" s="45">
        <v>62.38</v>
      </c>
      <c r="F28" s="7" t="s">
        <v>2424</v>
      </c>
      <c r="G28" s="5" t="s">
        <v>2421</v>
      </c>
    </row>
    <row r="29" spans="1:7">
      <c r="A29" s="11" t="s">
        <v>2463</v>
      </c>
      <c r="B29" s="11" t="s">
        <v>2316</v>
      </c>
      <c r="C29" s="7" t="s">
        <v>2464</v>
      </c>
      <c r="D29" s="11" t="s">
        <v>150</v>
      </c>
      <c r="E29" s="45">
        <v>66.28</v>
      </c>
      <c r="F29" s="7" t="s">
        <v>2427</v>
      </c>
      <c r="G29" s="5" t="s">
        <v>2421</v>
      </c>
    </row>
    <row r="30" spans="1:7">
      <c r="A30" s="11" t="s">
        <v>2465</v>
      </c>
      <c r="B30" s="11" t="s">
        <v>2316</v>
      </c>
      <c r="C30" s="7" t="s">
        <v>1555</v>
      </c>
      <c r="D30" s="11" t="s">
        <v>160</v>
      </c>
      <c r="E30" s="45">
        <v>63.03</v>
      </c>
      <c r="F30" s="7" t="s">
        <v>1548</v>
      </c>
      <c r="G30" s="5" t="s">
        <v>2432</v>
      </c>
    </row>
    <row r="31" spans="1:7">
      <c r="A31" s="11" t="s">
        <v>2466</v>
      </c>
      <c r="B31" s="11" t="s">
        <v>2316</v>
      </c>
      <c r="C31" s="7" t="s">
        <v>1535</v>
      </c>
      <c r="D31" s="11" t="s">
        <v>184</v>
      </c>
      <c r="E31" s="45">
        <v>66.930000000000007</v>
      </c>
      <c r="F31" s="7" t="s">
        <v>1660</v>
      </c>
      <c r="G31" s="5" t="s">
        <v>2432</v>
      </c>
    </row>
    <row r="32" spans="1:7">
      <c r="A32" s="11" t="s">
        <v>2467</v>
      </c>
      <c r="B32" s="11" t="s">
        <v>2316</v>
      </c>
      <c r="C32" s="7" t="s">
        <v>1544</v>
      </c>
      <c r="D32" s="11" t="s">
        <v>174</v>
      </c>
      <c r="E32" s="45">
        <v>63.68</v>
      </c>
      <c r="F32" s="7" t="s">
        <v>1594</v>
      </c>
      <c r="G32" s="5" t="s">
        <v>2432</v>
      </c>
    </row>
    <row r="33" spans="1:7">
      <c r="A33" s="11" t="s">
        <v>2468</v>
      </c>
      <c r="B33" s="11" t="s">
        <v>2318</v>
      </c>
      <c r="C33" s="7" t="s">
        <v>1594</v>
      </c>
      <c r="D33" s="11" t="s">
        <v>2155</v>
      </c>
      <c r="E33" s="45">
        <v>67.58</v>
      </c>
      <c r="F33" s="7" t="s">
        <v>2435</v>
      </c>
      <c r="G33" s="5" t="s">
        <v>2432</v>
      </c>
    </row>
    <row r="34" spans="1:7">
      <c r="A34" s="11" t="s">
        <v>2469</v>
      </c>
      <c r="B34" s="11" t="s">
        <v>2318</v>
      </c>
      <c r="C34" s="7" t="s">
        <v>2444</v>
      </c>
      <c r="D34" s="11" t="s">
        <v>167</v>
      </c>
      <c r="E34" s="45">
        <v>64.33</v>
      </c>
      <c r="F34" s="7" t="s">
        <v>2437</v>
      </c>
      <c r="G34" s="5" t="s">
        <v>2432</v>
      </c>
    </row>
    <row r="35" spans="1:7">
      <c r="A35" s="11" t="s">
        <v>2470</v>
      </c>
      <c r="B35" s="11" t="s">
        <v>2318</v>
      </c>
      <c r="C35" s="7" t="s">
        <v>1521</v>
      </c>
      <c r="D35" s="11" t="s">
        <v>190</v>
      </c>
      <c r="E35" s="45">
        <v>68.23</v>
      </c>
      <c r="F35" s="7" t="s">
        <v>1583</v>
      </c>
      <c r="G35" s="5" t="s">
        <v>2432</v>
      </c>
    </row>
    <row r="36" spans="1:7">
      <c r="A36" s="11" t="s">
        <v>2471</v>
      </c>
      <c r="B36" s="11" t="s">
        <v>2318</v>
      </c>
      <c r="C36" s="7" t="s">
        <v>1539</v>
      </c>
      <c r="D36" s="11" t="s">
        <v>199</v>
      </c>
      <c r="E36" s="45">
        <v>64.98</v>
      </c>
      <c r="F36" s="7" t="s">
        <v>1561</v>
      </c>
      <c r="G36" s="5" t="s">
        <v>2442</v>
      </c>
    </row>
    <row r="37" spans="1:7">
      <c r="A37" s="11" t="s">
        <v>2472</v>
      </c>
      <c r="B37" s="11" t="s">
        <v>2319</v>
      </c>
      <c r="C37" s="7" t="s">
        <v>1583</v>
      </c>
      <c r="D37" s="11" t="s">
        <v>157</v>
      </c>
      <c r="E37" s="45">
        <v>61.73</v>
      </c>
      <c r="F37" s="7" t="s">
        <v>1552</v>
      </c>
      <c r="G37" s="5" t="s">
        <v>2442</v>
      </c>
    </row>
    <row r="38" spans="1:7">
      <c r="A38" s="11" t="s">
        <v>2473</v>
      </c>
      <c r="B38" s="11" t="s">
        <v>2319</v>
      </c>
      <c r="C38" s="7" t="s">
        <v>1655</v>
      </c>
      <c r="D38" s="11" t="s">
        <v>180</v>
      </c>
      <c r="E38" s="45">
        <v>65.63</v>
      </c>
      <c r="F38" s="7" t="s">
        <v>2444</v>
      </c>
      <c r="G38" s="5" t="s">
        <v>2442</v>
      </c>
    </row>
    <row r="39" spans="1:7">
      <c r="A39" s="11" t="s">
        <v>2474</v>
      </c>
      <c r="B39" s="11" t="s">
        <v>2319</v>
      </c>
      <c r="C39" s="7" t="s">
        <v>2426</v>
      </c>
      <c r="D39" s="11" t="s">
        <v>169</v>
      </c>
      <c r="E39" s="45">
        <v>62.38</v>
      </c>
      <c r="F39" s="7" t="s">
        <v>2446</v>
      </c>
      <c r="G39" s="5" t="s">
        <v>2442</v>
      </c>
    </row>
    <row r="40" spans="1:7">
      <c r="A40" s="11" t="s">
        <v>2475</v>
      </c>
      <c r="B40" s="11" t="s">
        <v>2319</v>
      </c>
      <c r="C40" s="7" t="s">
        <v>2429</v>
      </c>
      <c r="D40" s="11" t="s">
        <v>2128</v>
      </c>
      <c r="E40" s="45">
        <v>66.28</v>
      </c>
      <c r="F40" s="7" t="s">
        <v>2449</v>
      </c>
      <c r="G40" s="5" t="s">
        <v>2442</v>
      </c>
    </row>
    <row r="41" spans="1:7">
      <c r="A41" s="11" t="s">
        <v>2476</v>
      </c>
      <c r="B41" s="11" t="s">
        <v>2320</v>
      </c>
      <c r="C41" s="7" t="s">
        <v>1557</v>
      </c>
      <c r="D41" s="11" t="s">
        <v>163</v>
      </c>
      <c r="E41" s="45">
        <v>63.03</v>
      </c>
      <c r="F41" s="7" t="s">
        <v>1655</v>
      </c>
      <c r="G41" s="5" t="s">
        <v>2452</v>
      </c>
    </row>
    <row r="42" spans="1:7">
      <c r="A42" s="11" t="s">
        <v>2477</v>
      </c>
      <c r="B42" s="11" t="s">
        <v>2320</v>
      </c>
      <c r="C42" s="7" t="s">
        <v>1581</v>
      </c>
      <c r="D42" s="11" t="s">
        <v>186</v>
      </c>
      <c r="E42" s="45">
        <v>66.930000000000007</v>
      </c>
      <c r="F42" s="7" t="s">
        <v>2464</v>
      </c>
      <c r="G42" s="5" t="s">
        <v>2452</v>
      </c>
    </row>
    <row r="43" spans="1:7">
      <c r="A43" s="11" t="s">
        <v>2478</v>
      </c>
      <c r="B43" s="11" t="s">
        <v>2320</v>
      </c>
      <c r="C43" s="7" t="s">
        <v>1552</v>
      </c>
      <c r="D43" s="11" t="s">
        <v>175</v>
      </c>
      <c r="E43" s="45">
        <v>63.68</v>
      </c>
      <c r="F43" s="7" t="s">
        <v>1563</v>
      </c>
      <c r="G43" s="5" t="s">
        <v>2456</v>
      </c>
    </row>
    <row r="44" spans="1:7">
      <c r="A44" s="11" t="s">
        <v>2479</v>
      </c>
      <c r="B44" s="11" t="s">
        <v>2320</v>
      </c>
      <c r="C44" s="7" t="s">
        <v>1563</v>
      </c>
      <c r="D44" s="11" t="s">
        <v>155</v>
      </c>
      <c r="E44" s="45">
        <v>67.58</v>
      </c>
      <c r="F44" s="7" t="s">
        <v>2455</v>
      </c>
      <c r="G44" s="5" t="s">
        <v>2421</v>
      </c>
    </row>
    <row r="45" spans="1:7">
      <c r="A45" s="11" t="s">
        <v>2480</v>
      </c>
      <c r="B45" s="11" t="s">
        <v>2321</v>
      </c>
      <c r="C45" s="7" t="s">
        <v>2424</v>
      </c>
      <c r="D45" s="11" t="s">
        <v>176</v>
      </c>
      <c r="E45" s="45">
        <v>64.33</v>
      </c>
      <c r="F45" s="7" t="s">
        <v>2458</v>
      </c>
      <c r="G45" s="5" t="s">
        <v>2421</v>
      </c>
    </row>
    <row r="46" spans="1:7">
      <c r="A46" s="11" t="s">
        <v>2481</v>
      </c>
      <c r="B46" s="11" t="s">
        <v>2321</v>
      </c>
      <c r="C46" s="7" t="s">
        <v>1597</v>
      </c>
      <c r="D46" s="11" t="s">
        <v>2160</v>
      </c>
      <c r="E46" s="45">
        <v>68.23</v>
      </c>
      <c r="F46" s="7" t="s">
        <v>1652</v>
      </c>
      <c r="G46" s="5" t="s">
        <v>2421</v>
      </c>
    </row>
    <row r="47" spans="1:7">
      <c r="A47" s="11" t="s">
        <v>2482</v>
      </c>
      <c r="B47" s="11" t="s">
        <v>2321</v>
      </c>
      <c r="C47" s="7" t="s">
        <v>1585</v>
      </c>
      <c r="D47" s="11" t="s">
        <v>150</v>
      </c>
      <c r="E47" s="45">
        <v>64.98</v>
      </c>
      <c r="F47" s="7" t="s">
        <v>2426</v>
      </c>
      <c r="G47" s="5" t="s">
        <v>2421</v>
      </c>
    </row>
    <row r="48" spans="1:7">
      <c r="A48" s="11" t="s">
        <v>2483</v>
      </c>
      <c r="B48" s="11" t="s">
        <v>2321</v>
      </c>
      <c r="C48" s="7" t="s">
        <v>1652</v>
      </c>
      <c r="D48" s="11" t="s">
        <v>160</v>
      </c>
      <c r="E48" s="45">
        <v>61.73</v>
      </c>
      <c r="F48" s="7" t="s">
        <v>1600</v>
      </c>
      <c r="G48" s="5" t="s">
        <v>2421</v>
      </c>
    </row>
    <row r="49" spans="1:7">
      <c r="A49" s="11" t="s">
        <v>2484</v>
      </c>
      <c r="B49" s="11" t="s">
        <v>2323</v>
      </c>
      <c r="C49" s="7" t="s">
        <v>1660</v>
      </c>
      <c r="D49" s="11" t="s">
        <v>182</v>
      </c>
      <c r="E49" s="45">
        <v>65.63</v>
      </c>
      <c r="F49" s="7" t="s">
        <v>2424</v>
      </c>
      <c r="G49" s="5" t="s">
        <v>2421</v>
      </c>
    </row>
    <row r="50" spans="1:7">
      <c r="A50" s="11" t="s">
        <v>2485</v>
      </c>
      <c r="B50" s="11" t="s">
        <v>2323</v>
      </c>
      <c r="C50" s="7" t="s">
        <v>2448</v>
      </c>
      <c r="D50" s="11" t="s">
        <v>172</v>
      </c>
      <c r="E50" s="45">
        <v>62.38</v>
      </c>
      <c r="F50" s="7" t="s">
        <v>2427</v>
      </c>
      <c r="G50" s="5" t="s">
        <v>2432</v>
      </c>
    </row>
    <row r="51" spans="1:7">
      <c r="A51" s="11" t="s">
        <v>2486</v>
      </c>
      <c r="B51" s="11" t="s">
        <v>2323</v>
      </c>
      <c r="C51" s="7" t="s">
        <v>1559</v>
      </c>
      <c r="D51" s="11" t="s">
        <v>2155</v>
      </c>
      <c r="E51" s="45">
        <v>66.28</v>
      </c>
      <c r="F51" s="7" t="s">
        <v>1548</v>
      </c>
      <c r="G51" s="5" t="s">
        <v>2432</v>
      </c>
    </row>
    <row r="52" spans="1:7">
      <c r="A52" s="11" t="s">
        <v>2487</v>
      </c>
      <c r="B52" s="11" t="s">
        <v>2323</v>
      </c>
      <c r="C52" s="7" t="s">
        <v>1707</v>
      </c>
      <c r="D52" s="11" t="s">
        <v>167</v>
      </c>
      <c r="E52" s="45">
        <v>63.03</v>
      </c>
      <c r="F52" s="7" t="s">
        <v>1660</v>
      </c>
      <c r="G52" s="5" t="s">
        <v>2432</v>
      </c>
    </row>
    <row r="53" spans="1:7">
      <c r="A53" s="11" t="s">
        <v>2488</v>
      </c>
      <c r="B53" s="11" t="s">
        <v>2324</v>
      </c>
      <c r="C53" s="7" t="s">
        <v>1589</v>
      </c>
      <c r="D53" s="11" t="s">
        <v>188</v>
      </c>
      <c r="E53" s="45">
        <v>66.930000000000007</v>
      </c>
      <c r="F53" s="7" t="s">
        <v>2429</v>
      </c>
      <c r="G53" s="5" t="s">
        <v>2432</v>
      </c>
    </row>
    <row r="54" spans="1:7">
      <c r="A54" s="11" t="s">
        <v>2489</v>
      </c>
      <c r="B54" s="11" t="s">
        <v>2324</v>
      </c>
      <c r="C54" s="7" t="s">
        <v>1600</v>
      </c>
      <c r="D54" s="11" t="s">
        <v>198</v>
      </c>
      <c r="E54" s="45">
        <v>63.68</v>
      </c>
      <c r="F54" s="7" t="s">
        <v>2435</v>
      </c>
      <c r="G54" s="5" t="s">
        <v>2432</v>
      </c>
    </row>
    <row r="55" spans="1:7">
      <c r="A55" s="11" t="s">
        <v>2490</v>
      </c>
      <c r="B55" s="11" t="s">
        <v>2324</v>
      </c>
      <c r="C55" s="7" t="s">
        <v>2435</v>
      </c>
      <c r="D55" s="11" t="s">
        <v>157</v>
      </c>
      <c r="E55" s="45">
        <v>67.58</v>
      </c>
      <c r="F55" s="7" t="s">
        <v>2437</v>
      </c>
      <c r="G55" s="5" t="s">
        <v>2432</v>
      </c>
    </row>
    <row r="56" spans="1:7">
      <c r="A56" s="11" t="s">
        <v>2491</v>
      </c>
      <c r="B56" s="11" t="s">
        <v>2324</v>
      </c>
      <c r="C56" s="7" t="s">
        <v>1529</v>
      </c>
      <c r="D56" s="11" t="s">
        <v>180</v>
      </c>
      <c r="E56" s="45">
        <v>64.33</v>
      </c>
      <c r="F56" s="7" t="s">
        <v>1583</v>
      </c>
      <c r="G56" s="5" t="s">
        <v>2442</v>
      </c>
    </row>
    <row r="57" spans="1:7">
      <c r="A57" s="11" t="s">
        <v>2492</v>
      </c>
      <c r="B57" s="11" t="s">
        <v>2325</v>
      </c>
      <c r="C57" s="7" t="s">
        <v>1615</v>
      </c>
      <c r="D57" s="11" t="s">
        <v>2139</v>
      </c>
      <c r="E57" s="45">
        <v>68.23</v>
      </c>
      <c r="F57" s="7" t="s">
        <v>1561</v>
      </c>
      <c r="G57" s="5" t="s">
        <v>2442</v>
      </c>
    </row>
    <row r="58" spans="1:7">
      <c r="A58" s="11" t="s">
        <v>2493</v>
      </c>
      <c r="B58" s="11" t="s">
        <v>2325</v>
      </c>
      <c r="C58" s="7" t="s">
        <v>1548</v>
      </c>
      <c r="D58" s="11" t="s">
        <v>2124</v>
      </c>
      <c r="E58" s="45">
        <v>64.98</v>
      </c>
      <c r="F58" s="7" t="s">
        <v>2448</v>
      </c>
      <c r="G58" s="5" t="s">
        <v>2442</v>
      </c>
    </row>
    <row r="59" spans="1:7">
      <c r="A59" s="11" t="s">
        <v>2494</v>
      </c>
      <c r="B59" s="11" t="s">
        <v>2325</v>
      </c>
      <c r="C59" s="7" t="s">
        <v>1561</v>
      </c>
      <c r="D59" s="11" t="s">
        <v>163</v>
      </c>
      <c r="E59" s="45">
        <v>61.73</v>
      </c>
      <c r="F59" s="7" t="s">
        <v>2444</v>
      </c>
      <c r="G59" s="5" t="s">
        <v>2442</v>
      </c>
    </row>
    <row r="60" spans="1:7">
      <c r="A60" s="11" t="s">
        <v>2495</v>
      </c>
      <c r="B60" s="11" t="s">
        <v>2325</v>
      </c>
      <c r="C60" s="7" t="s">
        <v>2464</v>
      </c>
      <c r="D60" s="11" t="s">
        <v>186</v>
      </c>
      <c r="E60" s="45">
        <v>65.63</v>
      </c>
      <c r="F60" s="7" t="s">
        <v>2446</v>
      </c>
      <c r="G60" s="5" t="s">
        <v>2442</v>
      </c>
    </row>
    <row r="61" spans="1:7">
      <c r="A61" s="11" t="s">
        <v>2496</v>
      </c>
      <c r="B61" s="11" t="s">
        <v>2326</v>
      </c>
      <c r="C61" s="7" t="s">
        <v>1555</v>
      </c>
      <c r="D61" s="11" t="s">
        <v>174</v>
      </c>
      <c r="E61" s="45">
        <v>62.38</v>
      </c>
      <c r="F61" s="7" t="s">
        <v>1585</v>
      </c>
      <c r="G61" s="5" t="s">
        <v>2452</v>
      </c>
    </row>
    <row r="62" spans="1:7">
      <c r="A62" s="11" t="s">
        <v>2497</v>
      </c>
      <c r="B62" s="11" t="s">
        <v>2326</v>
      </c>
      <c r="C62" s="7" t="s">
        <v>1535</v>
      </c>
      <c r="D62" s="11" t="s">
        <v>152</v>
      </c>
      <c r="E62" s="45">
        <v>66.28</v>
      </c>
      <c r="F62" s="7" t="s">
        <v>1655</v>
      </c>
      <c r="G62" s="5" t="s">
        <v>2452</v>
      </c>
    </row>
    <row r="63" spans="1:7">
      <c r="A63" s="11" t="s">
        <v>2498</v>
      </c>
      <c r="B63" s="11" t="s">
        <v>2326</v>
      </c>
      <c r="C63" s="7" t="s">
        <v>1544</v>
      </c>
      <c r="D63" s="11" t="s">
        <v>176</v>
      </c>
      <c r="E63" s="45">
        <v>63.03</v>
      </c>
      <c r="F63" s="7" t="s">
        <v>2464</v>
      </c>
      <c r="G63" s="5" t="s">
        <v>2456</v>
      </c>
    </row>
    <row r="64" spans="1:7">
      <c r="A64" s="11" t="s">
        <v>2499</v>
      </c>
      <c r="B64" s="11" t="s">
        <v>2326</v>
      </c>
      <c r="C64" s="7" t="s">
        <v>1594</v>
      </c>
      <c r="D64" s="11" t="s">
        <v>2160</v>
      </c>
      <c r="E64" s="45">
        <v>66.930000000000007</v>
      </c>
      <c r="F64" s="7" t="s">
        <v>2500</v>
      </c>
      <c r="G64" s="5" t="s">
        <v>2421</v>
      </c>
    </row>
    <row r="65" spans="1:7">
      <c r="A65" s="11" t="s">
        <v>2501</v>
      </c>
      <c r="B65" s="11" t="s">
        <v>2328</v>
      </c>
      <c r="C65" s="7" t="s">
        <v>2444</v>
      </c>
      <c r="D65" s="11" t="s">
        <v>199</v>
      </c>
      <c r="E65" s="45">
        <v>63.68</v>
      </c>
      <c r="F65" s="7" t="s">
        <v>2455</v>
      </c>
      <c r="G65" s="5" t="s">
        <v>2421</v>
      </c>
    </row>
    <row r="66" spans="1:7">
      <c r="A66" s="11" t="s">
        <v>2502</v>
      </c>
      <c r="B66" s="11" t="s">
        <v>2328</v>
      </c>
      <c r="C66" s="7" t="s">
        <v>1521</v>
      </c>
      <c r="D66" s="11" t="s">
        <v>158</v>
      </c>
      <c r="E66" s="45">
        <v>67.58</v>
      </c>
      <c r="F66" s="7" t="s">
        <v>1615</v>
      </c>
      <c r="G66" s="5" t="s">
        <v>2421</v>
      </c>
    </row>
    <row r="67" spans="1:7">
      <c r="A67" s="11" t="s">
        <v>2503</v>
      </c>
      <c r="B67" s="11" t="s">
        <v>2328</v>
      </c>
      <c r="C67" s="7" t="s">
        <v>1539</v>
      </c>
      <c r="D67" s="11" t="s">
        <v>182</v>
      </c>
      <c r="E67" s="45">
        <v>64.33</v>
      </c>
      <c r="F67" s="7" t="s">
        <v>1652</v>
      </c>
      <c r="G67" s="5" t="s">
        <v>2421</v>
      </c>
    </row>
    <row r="68" spans="1:7">
      <c r="A68" s="11" t="s">
        <v>2504</v>
      </c>
      <c r="B68" s="11" t="s">
        <v>2328</v>
      </c>
      <c r="C68" s="7" t="s">
        <v>1583</v>
      </c>
      <c r="D68" s="11" t="s">
        <v>172</v>
      </c>
      <c r="E68" s="45">
        <v>68.23</v>
      </c>
      <c r="F68" s="7" t="s">
        <v>2426</v>
      </c>
      <c r="G68" s="5" t="s">
        <v>2421</v>
      </c>
    </row>
    <row r="69" spans="1:7">
      <c r="A69" s="11" t="s">
        <v>2505</v>
      </c>
      <c r="B69" s="11" t="s">
        <v>2329</v>
      </c>
      <c r="C69" s="7" t="s">
        <v>1655</v>
      </c>
      <c r="D69" s="11" t="s">
        <v>2128</v>
      </c>
      <c r="E69" s="45">
        <v>64.98</v>
      </c>
      <c r="F69" s="7" t="s">
        <v>2506</v>
      </c>
      <c r="G69" s="5" t="s">
        <v>2421</v>
      </c>
    </row>
    <row r="70" spans="1:7">
      <c r="A70" s="11" t="s">
        <v>2507</v>
      </c>
      <c r="B70" s="11" t="s">
        <v>2329</v>
      </c>
      <c r="C70" s="7" t="s">
        <v>2426</v>
      </c>
      <c r="D70" s="11" t="s">
        <v>165</v>
      </c>
      <c r="E70" s="45">
        <v>61.73</v>
      </c>
      <c r="F70" s="7" t="s">
        <v>2424</v>
      </c>
      <c r="G70" s="5" t="s">
        <v>2432</v>
      </c>
    </row>
    <row r="71" spans="1:7">
      <c r="A71" s="11" t="s">
        <v>2508</v>
      </c>
      <c r="B71" s="11" t="s">
        <v>2329</v>
      </c>
      <c r="C71" s="7" t="s">
        <v>2429</v>
      </c>
      <c r="D71" s="11" t="s">
        <v>188</v>
      </c>
      <c r="E71" s="45">
        <v>65.63</v>
      </c>
      <c r="F71" s="7" t="s">
        <v>2427</v>
      </c>
      <c r="G71" s="5" t="s">
        <v>2432</v>
      </c>
    </row>
    <row r="72" spans="1:7">
      <c r="A72" s="11" t="s">
        <v>2509</v>
      </c>
      <c r="B72" s="11" t="s">
        <v>2329</v>
      </c>
      <c r="C72" s="7" t="s">
        <v>1557</v>
      </c>
      <c r="D72" s="11" t="s">
        <v>198</v>
      </c>
      <c r="E72" s="45">
        <v>62.38</v>
      </c>
      <c r="F72" s="7" t="s">
        <v>1548</v>
      </c>
      <c r="G72" s="5" t="s">
        <v>2432</v>
      </c>
    </row>
    <row r="73" spans="1:7">
      <c r="A73" s="11" t="s">
        <v>2510</v>
      </c>
      <c r="B73" s="11" t="s">
        <v>2330</v>
      </c>
      <c r="C73" s="7" t="s">
        <v>1581</v>
      </c>
      <c r="D73" s="11" t="s">
        <v>155</v>
      </c>
      <c r="E73" s="45">
        <v>66.28</v>
      </c>
      <c r="F73" s="7" t="s">
        <v>1660</v>
      </c>
      <c r="G73" s="5" t="s">
        <v>2432</v>
      </c>
    </row>
    <row r="74" spans="1:7">
      <c r="A74" s="11" t="s">
        <v>2511</v>
      </c>
      <c r="B74" s="11" t="s">
        <v>2330</v>
      </c>
      <c r="C74" s="7" t="s">
        <v>1552</v>
      </c>
      <c r="D74" s="11" t="s">
        <v>178</v>
      </c>
      <c r="E74" s="45">
        <v>63.03</v>
      </c>
      <c r="F74" s="7" t="s">
        <v>2429</v>
      </c>
      <c r="G74" s="5" t="s">
        <v>2432</v>
      </c>
    </row>
    <row r="75" spans="1:7">
      <c r="A75" s="11" t="s">
        <v>2512</v>
      </c>
      <c r="B75" s="11" t="s">
        <v>2330</v>
      </c>
      <c r="C75" s="7" t="s">
        <v>1563</v>
      </c>
      <c r="D75" s="11" t="s">
        <v>2139</v>
      </c>
      <c r="E75" s="45">
        <v>66.930000000000007</v>
      </c>
      <c r="F75" s="7" t="s">
        <v>2513</v>
      </c>
      <c r="G75" s="5" t="s">
        <v>2432</v>
      </c>
    </row>
    <row r="76" spans="1:7">
      <c r="A76" s="11" t="s">
        <v>2514</v>
      </c>
      <c r="B76" s="11" t="s">
        <v>2330</v>
      </c>
      <c r="C76" s="7" t="s">
        <v>2424</v>
      </c>
      <c r="D76" s="11" t="s">
        <v>2124</v>
      </c>
      <c r="E76" s="45">
        <v>63.68</v>
      </c>
      <c r="F76" s="7" t="s">
        <v>2437</v>
      </c>
      <c r="G76" s="5" t="s">
        <v>2442</v>
      </c>
    </row>
    <row r="77" spans="1:7">
      <c r="A77" s="11" t="s">
        <v>2515</v>
      </c>
      <c r="B77" s="11" t="s">
        <v>2331</v>
      </c>
      <c r="C77" s="7" t="s">
        <v>1597</v>
      </c>
      <c r="D77" s="11" t="s">
        <v>160</v>
      </c>
      <c r="E77" s="45">
        <v>67.58</v>
      </c>
      <c r="F77" s="7" t="s">
        <v>1583</v>
      </c>
      <c r="G77" s="5" t="s">
        <v>2442</v>
      </c>
    </row>
    <row r="78" spans="1:7">
      <c r="A78" s="11" t="s">
        <v>2516</v>
      </c>
      <c r="B78" s="11" t="s">
        <v>2331</v>
      </c>
      <c r="C78" s="7" t="s">
        <v>1585</v>
      </c>
      <c r="D78" s="11" t="s">
        <v>184</v>
      </c>
      <c r="E78" s="45">
        <v>64.33</v>
      </c>
      <c r="F78" s="7" t="s">
        <v>1561</v>
      </c>
      <c r="G78" s="5" t="s">
        <v>2442</v>
      </c>
    </row>
    <row r="79" spans="1:7">
      <c r="A79" s="11" t="s">
        <v>2517</v>
      </c>
      <c r="B79" s="11" t="s">
        <v>2331</v>
      </c>
      <c r="C79" s="7" t="s">
        <v>1652</v>
      </c>
      <c r="D79" s="11" t="s">
        <v>174</v>
      </c>
      <c r="E79" s="45">
        <v>68.23</v>
      </c>
      <c r="F79" s="7" t="s">
        <v>2448</v>
      </c>
      <c r="G79" s="5" t="s">
        <v>2442</v>
      </c>
    </row>
    <row r="80" spans="1:7">
      <c r="A80" s="11" t="s">
        <v>2518</v>
      </c>
      <c r="B80" s="11" t="s">
        <v>2331</v>
      </c>
      <c r="C80" s="7" t="s">
        <v>1660</v>
      </c>
      <c r="D80" s="11" t="s">
        <v>152</v>
      </c>
      <c r="E80" s="45">
        <v>64.98</v>
      </c>
      <c r="F80" s="7" t="s">
        <v>2519</v>
      </c>
      <c r="G80" s="5" t="s">
        <v>2442</v>
      </c>
    </row>
    <row r="81" spans="1:7">
      <c r="A81" s="11" t="s">
        <v>2520</v>
      </c>
      <c r="B81" s="11" t="s">
        <v>2332</v>
      </c>
      <c r="C81" s="7" t="s">
        <v>2448</v>
      </c>
      <c r="D81" s="11" t="s">
        <v>167</v>
      </c>
      <c r="E81" s="45">
        <v>61.73</v>
      </c>
      <c r="F81" s="7" t="s">
        <v>2446</v>
      </c>
      <c r="G81" s="5" t="s">
        <v>2452</v>
      </c>
    </row>
    <row r="82" spans="1:7">
      <c r="A82" s="11" t="s">
        <v>2521</v>
      </c>
      <c r="B82" s="11" t="s">
        <v>2332</v>
      </c>
      <c r="C82" s="7" t="s">
        <v>1559</v>
      </c>
      <c r="D82" s="11" t="s">
        <v>190</v>
      </c>
      <c r="E82" s="45">
        <v>65.63</v>
      </c>
      <c r="F82" s="7" t="s">
        <v>1585</v>
      </c>
      <c r="G82" s="5" t="s">
        <v>2452</v>
      </c>
    </row>
    <row r="83" spans="1:7">
      <c r="A83" s="11" t="s">
        <v>2522</v>
      </c>
      <c r="B83" s="11" t="s">
        <v>2332</v>
      </c>
      <c r="C83" s="7" t="s">
        <v>1707</v>
      </c>
      <c r="D83" s="11" t="s">
        <v>199</v>
      </c>
      <c r="E83" s="45">
        <v>62.38</v>
      </c>
      <c r="F83" s="7" t="s">
        <v>1655</v>
      </c>
      <c r="G83" s="5" t="s">
        <v>2456</v>
      </c>
    </row>
    <row r="84" spans="1:7">
      <c r="A84" s="11" t="s">
        <v>2523</v>
      </c>
      <c r="B84" s="11" t="s">
        <v>2332</v>
      </c>
      <c r="C84" s="7" t="s">
        <v>1589</v>
      </c>
      <c r="D84" s="11" t="s">
        <v>158</v>
      </c>
      <c r="E84" s="45">
        <v>66.28</v>
      </c>
      <c r="F84" s="7" t="s">
        <v>2464</v>
      </c>
      <c r="G84" s="5" t="s">
        <v>2421</v>
      </c>
    </row>
    <row r="85" spans="1:7">
      <c r="A85" s="11" t="s">
        <v>2524</v>
      </c>
      <c r="B85" s="11" t="s">
        <v>2333</v>
      </c>
      <c r="C85" s="7" t="s">
        <v>1600</v>
      </c>
      <c r="D85" s="11" t="s">
        <v>180</v>
      </c>
      <c r="E85" s="45">
        <v>63.03</v>
      </c>
      <c r="F85" s="7" t="s">
        <v>2500</v>
      </c>
      <c r="G85" s="5" t="s">
        <v>2421</v>
      </c>
    </row>
    <row r="86" spans="1:7">
      <c r="A86" s="11" t="s">
        <v>2525</v>
      </c>
      <c r="B86" s="11" t="s">
        <v>2333</v>
      </c>
      <c r="C86" s="7" t="s">
        <v>2435</v>
      </c>
      <c r="D86" s="11" t="s">
        <v>169</v>
      </c>
      <c r="E86" s="45">
        <v>66.930000000000007</v>
      </c>
      <c r="F86" s="7" t="s">
        <v>2526</v>
      </c>
      <c r="G86" s="5" t="s">
        <v>2421</v>
      </c>
    </row>
    <row r="87" spans="1:7">
      <c r="A87" s="11" t="s">
        <v>2527</v>
      </c>
      <c r="B87" s="11" t="s">
        <v>2333</v>
      </c>
      <c r="C87" s="7" t="s">
        <v>1529</v>
      </c>
      <c r="D87" s="11" t="s">
        <v>2128</v>
      </c>
      <c r="E87" s="45">
        <v>63.68</v>
      </c>
      <c r="F87" s="7" t="s">
        <v>1615</v>
      </c>
      <c r="G87" s="5" t="s">
        <v>2421</v>
      </c>
    </row>
    <row r="88" spans="1:7">
      <c r="A88" s="11" t="s">
        <v>2528</v>
      </c>
      <c r="B88" s="11" t="s">
        <v>2333</v>
      </c>
      <c r="C88" s="7" t="s">
        <v>1615</v>
      </c>
      <c r="D88" s="11" t="s">
        <v>165</v>
      </c>
      <c r="E88" s="45">
        <v>67.58</v>
      </c>
      <c r="F88" s="7" t="s">
        <v>1652</v>
      </c>
      <c r="G88" s="5" t="s">
        <v>2421</v>
      </c>
    </row>
    <row r="89" spans="1:7">
      <c r="A89" s="11" t="s">
        <v>2529</v>
      </c>
      <c r="B89" s="11" t="s">
        <v>2334</v>
      </c>
      <c r="C89" s="7" t="s">
        <v>1548</v>
      </c>
      <c r="D89" s="11" t="s">
        <v>186</v>
      </c>
      <c r="E89" s="45">
        <v>64.33</v>
      </c>
      <c r="F89" s="7" t="s">
        <v>2426</v>
      </c>
      <c r="G89" s="5" t="s">
        <v>2421</v>
      </c>
    </row>
    <row r="90" spans="1:7">
      <c r="A90" s="11" t="s">
        <v>2530</v>
      </c>
      <c r="B90" s="11" t="s">
        <v>2334</v>
      </c>
      <c r="C90" s="7" t="s">
        <v>1561</v>
      </c>
      <c r="D90" s="11" t="s">
        <v>175</v>
      </c>
      <c r="E90" s="45">
        <v>68.23</v>
      </c>
      <c r="F90" s="7" t="s">
        <v>2506</v>
      </c>
      <c r="G90" s="5" t="s">
        <v>2432</v>
      </c>
    </row>
    <row r="91" spans="1:7">
      <c r="A91" s="11" t="s">
        <v>2531</v>
      </c>
      <c r="B91" s="11" t="s">
        <v>2334</v>
      </c>
      <c r="C91" s="7" t="s">
        <v>2464</v>
      </c>
      <c r="D91" s="11" t="s">
        <v>155</v>
      </c>
      <c r="E91" s="45">
        <v>64.98</v>
      </c>
      <c r="F91" s="7" t="s">
        <v>2532</v>
      </c>
      <c r="G91" s="5" t="s">
        <v>2432</v>
      </c>
    </row>
    <row r="92" spans="1:7">
      <c r="A92" s="11" t="s">
        <v>2533</v>
      </c>
      <c r="B92" s="11" t="s">
        <v>2334</v>
      </c>
      <c r="C92" s="7" t="s">
        <v>1555</v>
      </c>
      <c r="D92" s="11" t="s">
        <v>178</v>
      </c>
      <c r="E92" s="45">
        <v>61.73</v>
      </c>
      <c r="F92" s="7" t="s">
        <v>1539</v>
      </c>
      <c r="G92" s="5" t="s">
        <v>2432</v>
      </c>
    </row>
    <row r="93" spans="1:7">
      <c r="A93" s="11" t="s">
        <v>2534</v>
      </c>
      <c r="B93" s="11" t="s">
        <v>2335</v>
      </c>
      <c r="C93" s="7" t="s">
        <v>1535</v>
      </c>
      <c r="D93" s="11" t="s">
        <v>2160</v>
      </c>
      <c r="E93" s="45">
        <v>65.63</v>
      </c>
      <c r="F93" s="7" t="s">
        <v>1548</v>
      </c>
      <c r="G93" s="5" t="s">
        <v>2432</v>
      </c>
    </row>
    <row r="94" spans="1:7">
      <c r="A94" s="11" t="s">
        <v>2535</v>
      </c>
      <c r="B94" s="11" t="s">
        <v>2335</v>
      </c>
      <c r="C94" s="7" t="s">
        <v>1544</v>
      </c>
      <c r="D94" s="11" t="s">
        <v>150</v>
      </c>
      <c r="E94" s="45">
        <v>62.38</v>
      </c>
      <c r="F94" s="7" t="s">
        <v>1660</v>
      </c>
      <c r="G94" s="5" t="s">
        <v>2432</v>
      </c>
    </row>
    <row r="95" spans="1:7">
      <c r="A95" s="11" t="s">
        <v>2536</v>
      </c>
      <c r="B95" s="11" t="s">
        <v>2335</v>
      </c>
      <c r="C95" s="7" t="s">
        <v>1594</v>
      </c>
      <c r="D95" s="11" t="s">
        <v>160</v>
      </c>
      <c r="E95" s="45">
        <v>66.28</v>
      </c>
      <c r="F95" s="7" t="s">
        <v>2429</v>
      </c>
      <c r="G95" s="5" t="s">
        <v>2432</v>
      </c>
    </row>
    <row r="96" spans="1:7">
      <c r="A96" s="11" t="s">
        <v>2537</v>
      </c>
      <c r="B96" s="11" t="s">
        <v>2335</v>
      </c>
      <c r="C96" s="7" t="s">
        <v>2444</v>
      </c>
      <c r="D96" s="11" t="s">
        <v>184</v>
      </c>
      <c r="E96" s="45">
        <v>63.03</v>
      </c>
      <c r="F96" s="7" t="s">
        <v>2513</v>
      </c>
      <c r="G96" s="5" t="s">
        <v>2442</v>
      </c>
    </row>
    <row r="97" spans="1:7">
      <c r="A97" s="11" t="s">
        <v>2538</v>
      </c>
      <c r="B97" s="11" t="s">
        <v>2336</v>
      </c>
      <c r="C97" s="7" t="s">
        <v>1521</v>
      </c>
      <c r="D97" s="11" t="s">
        <v>172</v>
      </c>
      <c r="E97" s="45">
        <v>66.930000000000007</v>
      </c>
      <c r="F97" s="7" t="s">
        <v>1589</v>
      </c>
      <c r="G97" s="5" t="s">
        <v>2442</v>
      </c>
    </row>
    <row r="98" spans="1:7">
      <c r="A98" s="11" t="s">
        <v>2539</v>
      </c>
      <c r="B98" s="11" t="s">
        <v>2336</v>
      </c>
      <c r="C98" s="7" t="s">
        <v>1539</v>
      </c>
      <c r="D98" s="11" t="s">
        <v>2155</v>
      </c>
      <c r="E98" s="45">
        <v>63.68</v>
      </c>
      <c r="F98" s="7" t="s">
        <v>1583</v>
      </c>
      <c r="G98" s="5" t="s">
        <v>2442</v>
      </c>
    </row>
    <row r="99" spans="1:7">
      <c r="A99" s="11" t="s">
        <v>2540</v>
      </c>
      <c r="B99" s="11" t="s">
        <v>2336</v>
      </c>
      <c r="C99" s="7" t="s">
        <v>1583</v>
      </c>
      <c r="D99" s="11" t="s">
        <v>167</v>
      </c>
      <c r="E99" s="45">
        <v>67.58</v>
      </c>
      <c r="F99" s="7" t="s">
        <v>1561</v>
      </c>
      <c r="G99" s="5" t="s">
        <v>2442</v>
      </c>
    </row>
    <row r="100" spans="1:7">
      <c r="A100" s="11" t="s">
        <v>2541</v>
      </c>
      <c r="B100" s="11" t="s">
        <v>2336</v>
      </c>
      <c r="C100" s="7" t="s">
        <v>1655</v>
      </c>
      <c r="D100" s="11" t="s">
        <v>190</v>
      </c>
      <c r="E100" s="45">
        <v>64.33</v>
      </c>
      <c r="F100" s="7" t="s">
        <v>2448</v>
      </c>
      <c r="G100" s="5" t="s">
        <v>2442</v>
      </c>
    </row>
    <row r="101" spans="1:7">
      <c r="A101" s="11" t="s">
        <v>2542</v>
      </c>
      <c r="B101" s="11" t="s">
        <v>2337</v>
      </c>
      <c r="C101" s="7" t="s">
        <v>2426</v>
      </c>
      <c r="D101" s="11" t="s">
        <v>198</v>
      </c>
      <c r="E101" s="45">
        <v>68.23</v>
      </c>
      <c r="F101" s="7" t="s">
        <v>2519</v>
      </c>
      <c r="G101" s="5" t="s">
        <v>2452</v>
      </c>
    </row>
    <row r="102" spans="1:7">
      <c r="A102" s="11" t="s">
        <v>2543</v>
      </c>
      <c r="B102" s="11" t="s">
        <v>2337</v>
      </c>
      <c r="C102" s="7" t="s">
        <v>2429</v>
      </c>
      <c r="D102" s="11" t="s">
        <v>157</v>
      </c>
      <c r="E102" s="45">
        <v>64.98</v>
      </c>
      <c r="F102" s="7" t="s">
        <v>2544</v>
      </c>
      <c r="G102" s="5" t="s">
        <v>2452</v>
      </c>
    </row>
    <row r="103" spans="1:7">
      <c r="A103" s="11" t="s">
        <v>2545</v>
      </c>
      <c r="B103" s="11" t="s">
        <v>2337</v>
      </c>
      <c r="C103" s="7" t="s">
        <v>1557</v>
      </c>
      <c r="D103" s="11" t="s">
        <v>180</v>
      </c>
      <c r="E103" s="45">
        <v>61.73</v>
      </c>
      <c r="F103" s="7" t="s">
        <v>1585</v>
      </c>
      <c r="G103" s="5" t="s">
        <v>2456</v>
      </c>
    </row>
    <row r="104" spans="1:7">
      <c r="A104" s="11" t="s">
        <v>2546</v>
      </c>
      <c r="B104" s="11" t="s">
        <v>2337</v>
      </c>
      <c r="C104" s="7" t="s">
        <v>1581</v>
      </c>
      <c r="D104" s="11" t="s">
        <v>169</v>
      </c>
      <c r="E104" s="45">
        <v>65.63</v>
      </c>
      <c r="F104" s="7" t="s">
        <v>1655</v>
      </c>
      <c r="G104" s="5" t="s">
        <v>2421</v>
      </c>
    </row>
    <row r="105" spans="1:7">
      <c r="A105" s="11" t="s">
        <v>2547</v>
      </c>
      <c r="B105" s="11" t="s">
        <v>2338</v>
      </c>
      <c r="C105" s="7" t="s">
        <v>1552</v>
      </c>
      <c r="D105" s="11" t="s">
        <v>2124</v>
      </c>
      <c r="E105" s="45">
        <v>62.38</v>
      </c>
      <c r="F105" s="7" t="s">
        <v>2464</v>
      </c>
      <c r="G105" s="5" t="s">
        <v>2421</v>
      </c>
    </row>
    <row r="106" spans="1:7">
      <c r="A106" s="11" t="s">
        <v>2548</v>
      </c>
      <c r="B106" s="11" t="s">
        <v>2338</v>
      </c>
      <c r="C106" s="7" t="s">
        <v>1563</v>
      </c>
      <c r="D106" s="11" t="s">
        <v>163</v>
      </c>
      <c r="E106" s="45">
        <v>66.28</v>
      </c>
      <c r="F106" s="7" t="s">
        <v>2500</v>
      </c>
      <c r="G106" s="5" t="s">
        <v>2421</v>
      </c>
    </row>
    <row r="107" spans="1:7">
      <c r="A107" s="11" t="s">
        <v>2549</v>
      </c>
      <c r="B107" s="11" t="s">
        <v>2338</v>
      </c>
      <c r="C107" s="7" t="s">
        <v>2424</v>
      </c>
      <c r="D107" s="11" t="s">
        <v>186</v>
      </c>
      <c r="E107" s="45">
        <v>63.03</v>
      </c>
      <c r="F107" s="7" t="s">
        <v>2526</v>
      </c>
      <c r="G107" s="5" t="s">
        <v>2421</v>
      </c>
    </row>
    <row r="108" spans="1:7">
      <c r="A108" s="11" t="s">
        <v>2550</v>
      </c>
      <c r="B108" s="11" t="s">
        <v>2338</v>
      </c>
      <c r="C108" s="7" t="s">
        <v>1597</v>
      </c>
      <c r="D108" s="11" t="s">
        <v>175</v>
      </c>
      <c r="E108" s="45">
        <v>66.930000000000007</v>
      </c>
      <c r="F108" s="7" t="s">
        <v>1594</v>
      </c>
      <c r="G108" s="5" t="s">
        <v>2421</v>
      </c>
    </row>
    <row r="109" spans="1:7">
      <c r="A109" s="11" t="s">
        <v>2551</v>
      </c>
      <c r="B109" s="11" t="s">
        <v>2339</v>
      </c>
      <c r="C109" s="7" t="s">
        <v>1585</v>
      </c>
      <c r="D109" s="11" t="s">
        <v>152</v>
      </c>
      <c r="E109" s="45">
        <v>63.68</v>
      </c>
      <c r="F109" s="7" t="s">
        <v>1652</v>
      </c>
      <c r="G109" s="5" t="s">
        <v>2421</v>
      </c>
    </row>
    <row r="110" spans="1:7">
      <c r="A110" s="11" t="s">
        <v>2552</v>
      </c>
      <c r="B110" s="11" t="s">
        <v>2339</v>
      </c>
      <c r="C110" s="7" t="s">
        <v>1652</v>
      </c>
      <c r="D110" s="11" t="s">
        <v>176</v>
      </c>
      <c r="E110" s="45">
        <v>67.58</v>
      </c>
      <c r="F110" s="7" t="s">
        <v>2426</v>
      </c>
      <c r="G110" s="5" t="s">
        <v>2432</v>
      </c>
    </row>
    <row r="111" spans="1:7">
      <c r="A111" s="11" t="s">
        <v>2553</v>
      </c>
      <c r="B111" s="11" t="s">
        <v>2339</v>
      </c>
      <c r="C111" s="7" t="s">
        <v>1660</v>
      </c>
      <c r="D111" s="11" t="s">
        <v>2160</v>
      </c>
      <c r="E111" s="45">
        <v>64.33</v>
      </c>
      <c r="F111" s="7" t="s">
        <v>2506</v>
      </c>
      <c r="G111" s="5" t="s">
        <v>2432</v>
      </c>
    </row>
    <row r="112" spans="1:7">
      <c r="A112" s="11" t="s">
        <v>2554</v>
      </c>
      <c r="B112" s="11" t="s">
        <v>2339</v>
      </c>
      <c r="C112" s="7" t="s">
        <v>2448</v>
      </c>
      <c r="D112" s="11" t="s">
        <v>150</v>
      </c>
      <c r="E112" s="45">
        <v>68.23</v>
      </c>
      <c r="F112" s="7" t="s">
        <v>2532</v>
      </c>
      <c r="G112" s="5" t="s">
        <v>2432</v>
      </c>
    </row>
    <row r="113" spans="1:7">
      <c r="A113" s="11" t="s">
        <v>2555</v>
      </c>
      <c r="B113" s="11" t="s">
        <v>2340</v>
      </c>
      <c r="C113" s="7" t="s">
        <v>1559</v>
      </c>
      <c r="D113" s="11" t="s">
        <v>158</v>
      </c>
      <c r="E113" s="45">
        <v>64.98</v>
      </c>
      <c r="F113" s="7" t="s">
        <v>1552</v>
      </c>
      <c r="G113" s="5" t="s">
        <v>2432</v>
      </c>
    </row>
    <row r="114" spans="1:7">
      <c r="A114" s="11" t="s">
        <v>2556</v>
      </c>
      <c r="B114" s="11" t="s">
        <v>2340</v>
      </c>
      <c r="C114" s="7" t="s">
        <v>1707</v>
      </c>
      <c r="D114" s="11" t="s">
        <v>182</v>
      </c>
      <c r="E114" s="45">
        <v>61.73</v>
      </c>
      <c r="F114" s="7" t="s">
        <v>1548</v>
      </c>
      <c r="G114" s="5" t="s">
        <v>2432</v>
      </c>
    </row>
    <row r="115" spans="1:7">
      <c r="A115" s="11" t="s">
        <v>2557</v>
      </c>
      <c r="B115" s="11" t="s">
        <v>2340</v>
      </c>
      <c r="C115" s="7" t="s">
        <v>1589</v>
      </c>
      <c r="D115" s="11" t="s">
        <v>172</v>
      </c>
      <c r="E115" s="45">
        <v>65.63</v>
      </c>
      <c r="F115" s="7" t="s">
        <v>1660</v>
      </c>
      <c r="G115" s="5" t="s">
        <v>2432</v>
      </c>
    </row>
    <row r="116" spans="1:7">
      <c r="A116" s="11" t="s">
        <v>2558</v>
      </c>
      <c r="B116" s="11" t="s">
        <v>2340</v>
      </c>
      <c r="C116" s="7" t="s">
        <v>1600</v>
      </c>
      <c r="D116" s="11" t="s">
        <v>2155</v>
      </c>
      <c r="E116" s="45">
        <v>62.38</v>
      </c>
      <c r="F116" s="7" t="s">
        <v>2429</v>
      </c>
      <c r="G116" s="5" t="s">
        <v>2442</v>
      </c>
    </row>
    <row r="117" spans="1:7">
      <c r="A117" s="11" t="s">
        <v>2559</v>
      </c>
      <c r="B117" s="11" t="s">
        <v>2341</v>
      </c>
      <c r="C117" s="7" t="s">
        <v>2435</v>
      </c>
      <c r="D117" s="11" t="s">
        <v>165</v>
      </c>
      <c r="E117" s="45">
        <v>66.28</v>
      </c>
      <c r="F117" s="7" t="s">
        <v>2513</v>
      </c>
      <c r="G117" s="5" t="s">
        <v>2442</v>
      </c>
    </row>
    <row r="118" spans="1:7">
      <c r="A118" s="11" t="s">
        <v>2560</v>
      </c>
      <c r="B118" s="11" t="s">
        <v>2341</v>
      </c>
      <c r="C118" s="7" t="s">
        <v>1529</v>
      </c>
      <c r="D118" s="11" t="s">
        <v>188</v>
      </c>
      <c r="E118" s="45">
        <v>63.03</v>
      </c>
      <c r="F118" s="7" t="s">
        <v>1589</v>
      </c>
      <c r="G118" s="5" t="s">
        <v>2442</v>
      </c>
    </row>
    <row r="119" spans="1:7">
      <c r="A119" s="11" t="s">
        <v>2561</v>
      </c>
      <c r="B119" s="11" t="s">
        <v>2341</v>
      </c>
      <c r="C119" s="7" t="s">
        <v>1615</v>
      </c>
      <c r="D119" s="11" t="s">
        <v>198</v>
      </c>
      <c r="E119" s="45">
        <v>66.930000000000007</v>
      </c>
      <c r="F119" s="7" t="s">
        <v>1563</v>
      </c>
      <c r="G119" s="5" t="s">
        <v>2442</v>
      </c>
    </row>
    <row r="120" spans="1:7">
      <c r="A120" s="11" t="s">
        <v>2562</v>
      </c>
      <c r="B120" s="11" t="s">
        <v>2341</v>
      </c>
      <c r="C120" s="7" t="s">
        <v>1548</v>
      </c>
      <c r="D120" s="11" t="s">
        <v>157</v>
      </c>
      <c r="E120" s="45">
        <v>63.68</v>
      </c>
      <c r="F120" s="7" t="s">
        <v>1561</v>
      </c>
      <c r="G120" s="5" t="s">
        <v>2442</v>
      </c>
    </row>
    <row r="121" spans="1:7">
      <c r="A121" s="11" t="s">
        <v>2563</v>
      </c>
      <c r="B121" s="11" t="s">
        <v>2342</v>
      </c>
      <c r="C121" s="7" t="s">
        <v>1561</v>
      </c>
      <c r="D121" s="11" t="s">
        <v>178</v>
      </c>
      <c r="E121" s="45">
        <v>67.58</v>
      </c>
      <c r="F121" s="7" t="s">
        <v>2448</v>
      </c>
      <c r="G121" s="5" t="s">
        <v>2452</v>
      </c>
    </row>
    <row r="122" spans="1:7">
      <c r="A122" s="11" t="s">
        <v>2564</v>
      </c>
      <c r="B122" s="11" t="s">
        <v>2342</v>
      </c>
      <c r="C122" s="7" t="s">
        <v>2464</v>
      </c>
      <c r="D122" s="11" t="s">
        <v>2139</v>
      </c>
      <c r="E122" s="45">
        <v>64.33</v>
      </c>
      <c r="F122" s="7" t="s">
        <v>2519</v>
      </c>
      <c r="G122" s="5" t="s">
        <v>2452</v>
      </c>
    </row>
    <row r="123" spans="1:7">
      <c r="A123" s="11" t="s">
        <v>2565</v>
      </c>
      <c r="B123" s="11" t="s">
        <v>2342</v>
      </c>
      <c r="C123" s="7" t="s">
        <v>1555</v>
      </c>
      <c r="D123" s="11" t="s">
        <v>2124</v>
      </c>
      <c r="E123" s="45">
        <v>68.23</v>
      </c>
      <c r="F123" s="7" t="s">
        <v>1544</v>
      </c>
      <c r="G123" s="5" t="s">
        <v>2456</v>
      </c>
    </row>
    <row r="124" spans="1:7">
      <c r="A124" s="11" t="s">
        <v>2566</v>
      </c>
      <c r="B124" s="11" t="s">
        <v>2342</v>
      </c>
      <c r="C124" s="7" t="s">
        <v>1535</v>
      </c>
      <c r="D124" s="11" t="s">
        <v>163</v>
      </c>
      <c r="E124" s="45">
        <v>64.98</v>
      </c>
      <c r="F124" s="7" t="s">
        <v>1600</v>
      </c>
      <c r="G124" s="5" t="s">
        <v>2421</v>
      </c>
    </row>
    <row r="125" spans="1:7">
      <c r="A125" s="11" t="s">
        <v>2567</v>
      </c>
      <c r="B125" s="11" t="s">
        <v>2343</v>
      </c>
      <c r="C125" s="7" t="s">
        <v>1544</v>
      </c>
      <c r="D125" s="11" t="s">
        <v>184</v>
      </c>
      <c r="E125" s="45">
        <v>61.73</v>
      </c>
      <c r="F125" s="7" t="s">
        <v>1655</v>
      </c>
      <c r="G125" s="5" t="s">
        <v>2421</v>
      </c>
    </row>
    <row r="126" spans="1:7">
      <c r="A126" s="11" t="s">
        <v>2568</v>
      </c>
      <c r="B126" s="11" t="s">
        <v>2343</v>
      </c>
      <c r="C126" s="7" t="s">
        <v>1594</v>
      </c>
      <c r="D126" s="11" t="s">
        <v>174</v>
      </c>
      <c r="E126" s="45">
        <v>65.63</v>
      </c>
      <c r="F126" s="7" t="s">
        <v>2464</v>
      </c>
      <c r="G126" s="5" t="s">
        <v>2421</v>
      </c>
    </row>
    <row r="127" spans="1:7">
      <c r="A127" s="11" t="s">
        <v>2569</v>
      </c>
      <c r="B127" s="11" t="s">
        <v>2343</v>
      </c>
      <c r="C127" s="7" t="s">
        <v>2444</v>
      </c>
      <c r="D127" s="11" t="s">
        <v>152</v>
      </c>
      <c r="E127" s="45">
        <v>62.38</v>
      </c>
      <c r="F127" s="7" t="s">
        <v>2500</v>
      </c>
      <c r="G127" s="5" t="s">
        <v>2421</v>
      </c>
    </row>
    <row r="128" spans="1:7">
      <c r="A128" s="11" t="s">
        <v>2570</v>
      </c>
      <c r="B128" s="11" t="s">
        <v>2343</v>
      </c>
      <c r="C128" s="7" t="s">
        <v>1521</v>
      </c>
      <c r="D128" s="11" t="s">
        <v>176</v>
      </c>
      <c r="E128" s="45">
        <v>66.28</v>
      </c>
      <c r="F128" s="7" t="s">
        <v>1581</v>
      </c>
      <c r="G128" s="5" t="s">
        <v>2421</v>
      </c>
    </row>
    <row r="129" spans="1:7">
      <c r="A129" s="11" t="s">
        <v>2571</v>
      </c>
      <c r="B129" s="11" t="s">
        <v>2344</v>
      </c>
      <c r="C129" s="7" t="s">
        <v>1539</v>
      </c>
      <c r="D129" s="11" t="s">
        <v>190</v>
      </c>
      <c r="E129" s="45">
        <v>63.03</v>
      </c>
      <c r="F129" s="7" t="s">
        <v>1594</v>
      </c>
      <c r="G129" s="5" t="s">
        <v>2421</v>
      </c>
    </row>
    <row r="130" spans="1:7">
      <c r="A130" s="11" t="s">
        <v>2572</v>
      </c>
      <c r="B130" s="11" t="s">
        <v>2344</v>
      </c>
      <c r="C130" s="7" t="s">
        <v>1583</v>
      </c>
      <c r="D130" s="11" t="s">
        <v>199</v>
      </c>
      <c r="E130" s="45">
        <v>66.930000000000007</v>
      </c>
      <c r="F130" s="7" t="s">
        <v>2435</v>
      </c>
      <c r="G130" s="5" t="s">
        <v>2432</v>
      </c>
    </row>
    <row r="131" spans="1:7">
      <c r="A131" s="11" t="s">
        <v>2573</v>
      </c>
      <c r="B131" s="11" t="s">
        <v>2344</v>
      </c>
      <c r="C131" s="7" t="s">
        <v>1655</v>
      </c>
      <c r="D131" s="11" t="s">
        <v>158</v>
      </c>
      <c r="E131" s="45">
        <v>63.68</v>
      </c>
      <c r="F131" s="7" t="s">
        <v>2426</v>
      </c>
      <c r="G131" s="5" t="s">
        <v>2432</v>
      </c>
    </row>
    <row r="132" spans="1:7">
      <c r="A132" s="11" t="s">
        <v>2574</v>
      </c>
      <c r="B132" s="11" t="s">
        <v>2344</v>
      </c>
      <c r="C132" s="7" t="s">
        <v>2426</v>
      </c>
      <c r="D132" s="11" t="s">
        <v>182</v>
      </c>
      <c r="E132" s="45">
        <v>67.58</v>
      </c>
      <c r="F132" s="7" t="s">
        <v>2506</v>
      </c>
      <c r="G132" s="5" t="s">
        <v>2432</v>
      </c>
    </row>
    <row r="133" spans="1:7">
      <c r="A133" s="11" t="s">
        <v>2575</v>
      </c>
      <c r="B133" s="11" t="s">
        <v>2345</v>
      </c>
      <c r="C133" s="7" t="s">
        <v>2429</v>
      </c>
      <c r="D133" s="11" t="s">
        <v>169</v>
      </c>
      <c r="E133" s="45">
        <v>64.33</v>
      </c>
      <c r="F133" s="7" t="s">
        <v>2532</v>
      </c>
      <c r="G133" s="5" t="s">
        <v>2432</v>
      </c>
    </row>
    <row r="134" spans="1:7">
      <c r="A134" s="11" t="s">
        <v>2576</v>
      </c>
      <c r="B134" s="11" t="s">
        <v>2345</v>
      </c>
      <c r="C134" s="7" t="s">
        <v>1557</v>
      </c>
      <c r="D134" s="11" t="s">
        <v>2128</v>
      </c>
      <c r="E134" s="45">
        <v>68.23</v>
      </c>
      <c r="F134" s="7" t="s">
        <v>1552</v>
      </c>
      <c r="G134" s="5" t="s">
        <v>2432</v>
      </c>
    </row>
    <row r="135" spans="1:7">
      <c r="A135" s="11" t="s">
        <v>2577</v>
      </c>
      <c r="B135" s="11" t="s">
        <v>2345</v>
      </c>
      <c r="C135" s="7" t="s">
        <v>1581</v>
      </c>
      <c r="D135" s="11" t="s">
        <v>165</v>
      </c>
      <c r="E135" s="45">
        <v>64.98</v>
      </c>
      <c r="F135" s="7" t="s">
        <v>2444</v>
      </c>
      <c r="G135" s="5" t="s">
        <v>2432</v>
      </c>
    </row>
    <row r="136" spans="1:7">
      <c r="A136" s="11" t="s">
        <v>2578</v>
      </c>
      <c r="B136" s="11" t="s">
        <v>2345</v>
      </c>
      <c r="C136" s="7" t="s">
        <v>1552</v>
      </c>
      <c r="D136" s="11" t="s">
        <v>188</v>
      </c>
      <c r="E136" s="45">
        <v>61.73</v>
      </c>
      <c r="F136" s="7" t="s">
        <v>1660</v>
      </c>
      <c r="G136" s="5" t="s">
        <v>2442</v>
      </c>
    </row>
    <row r="137" spans="1:7">
      <c r="A137" s="11" t="s">
        <v>2579</v>
      </c>
      <c r="B137" s="11" t="s">
        <v>2346</v>
      </c>
      <c r="C137" s="7" t="s">
        <v>1563</v>
      </c>
      <c r="D137" s="11" t="s">
        <v>175</v>
      </c>
      <c r="E137" s="45">
        <v>65.63</v>
      </c>
      <c r="F137" s="7" t="s">
        <v>2429</v>
      </c>
      <c r="G137" s="5" t="s">
        <v>2442</v>
      </c>
    </row>
    <row r="138" spans="1:7">
      <c r="A138" s="11" t="s">
        <v>2580</v>
      </c>
      <c r="B138" s="11" t="s">
        <v>2346</v>
      </c>
      <c r="C138" s="7" t="s">
        <v>2424</v>
      </c>
      <c r="D138" s="11" t="s">
        <v>155</v>
      </c>
      <c r="E138" s="45">
        <v>62.38</v>
      </c>
      <c r="F138" s="7" t="s">
        <v>2513</v>
      </c>
      <c r="G138" s="5" t="s">
        <v>2442</v>
      </c>
    </row>
    <row r="139" spans="1:7">
      <c r="A139" s="11" t="s">
        <v>2581</v>
      </c>
      <c r="B139" s="11" t="s">
        <v>2346</v>
      </c>
      <c r="C139" s="7" t="s">
        <v>1597</v>
      </c>
      <c r="D139" s="11" t="s">
        <v>178</v>
      </c>
      <c r="E139" s="45">
        <v>66.28</v>
      </c>
      <c r="F139" s="7" t="s">
        <v>1589</v>
      </c>
      <c r="G139" s="5" t="s">
        <v>2442</v>
      </c>
    </row>
    <row r="140" spans="1:7">
      <c r="A140" s="11" t="s">
        <v>2582</v>
      </c>
      <c r="B140" s="11" t="s">
        <v>2346</v>
      </c>
      <c r="C140" s="7" t="s">
        <v>1585</v>
      </c>
      <c r="D140" s="11" t="s">
        <v>2139</v>
      </c>
      <c r="E140" s="45">
        <v>63.03</v>
      </c>
      <c r="F140" s="7" t="s">
        <v>1563</v>
      </c>
      <c r="G140" s="5" t="s">
        <v>2442</v>
      </c>
    </row>
    <row r="141" spans="1:7">
      <c r="A141" s="11" t="s">
        <v>2583</v>
      </c>
      <c r="B141" s="11" t="s">
        <v>2347</v>
      </c>
      <c r="C141" s="7" t="s">
        <v>1652</v>
      </c>
      <c r="D141" s="11" t="s">
        <v>150</v>
      </c>
      <c r="E141" s="45">
        <v>66.930000000000007</v>
      </c>
      <c r="F141" s="7" t="s">
        <v>2455</v>
      </c>
      <c r="G141" s="5" t="s">
        <v>2452</v>
      </c>
    </row>
    <row r="142" spans="1:7">
      <c r="A142" s="11" t="s">
        <v>2584</v>
      </c>
      <c r="B142" s="11" t="s">
        <v>2347</v>
      </c>
      <c r="C142" s="7" t="s">
        <v>1660</v>
      </c>
      <c r="D142" s="11" t="s">
        <v>160</v>
      </c>
      <c r="E142" s="45">
        <v>63.68</v>
      </c>
      <c r="F142" s="7" t="s">
        <v>2448</v>
      </c>
      <c r="G142" s="5" t="s">
        <v>2452</v>
      </c>
    </row>
    <row r="143" spans="1:7">
      <c r="A143" s="11" t="s">
        <v>2585</v>
      </c>
      <c r="B143" s="11" t="s">
        <v>2347</v>
      </c>
      <c r="C143" s="7" t="s">
        <v>2448</v>
      </c>
      <c r="D143" s="11" t="s">
        <v>184</v>
      </c>
      <c r="E143" s="45">
        <v>67.58</v>
      </c>
      <c r="F143" s="7" t="s">
        <v>2519</v>
      </c>
      <c r="G143" s="5" t="s">
        <v>2456</v>
      </c>
    </row>
    <row r="144" spans="1:7">
      <c r="A144" s="11" t="s">
        <v>2586</v>
      </c>
      <c r="B144" s="11" t="s">
        <v>2347</v>
      </c>
      <c r="C144" s="7" t="s">
        <v>1559</v>
      </c>
      <c r="D144" s="11" t="s">
        <v>174</v>
      </c>
      <c r="E144" s="45">
        <v>64.33</v>
      </c>
      <c r="F144" s="7" t="s">
        <v>1544</v>
      </c>
      <c r="G144" s="5" t="s">
        <v>2421</v>
      </c>
    </row>
    <row r="145" spans="1:7">
      <c r="A145" s="11" t="s">
        <v>2587</v>
      </c>
      <c r="B145" s="11" t="s">
        <v>2348</v>
      </c>
      <c r="C145" s="7" t="s">
        <v>1707</v>
      </c>
      <c r="D145" s="11" t="s">
        <v>2155</v>
      </c>
      <c r="E145" s="45">
        <v>68.23</v>
      </c>
      <c r="F145" s="7" t="s">
        <v>1600</v>
      </c>
      <c r="G145" s="5" t="s">
        <v>2421</v>
      </c>
    </row>
    <row r="146" spans="1:7">
      <c r="A146" s="11" t="s">
        <v>2588</v>
      </c>
      <c r="B146" s="11" t="s">
        <v>2348</v>
      </c>
      <c r="C146" s="7" t="s">
        <v>1589</v>
      </c>
      <c r="D146" s="11" t="s">
        <v>167</v>
      </c>
      <c r="E146" s="45">
        <v>64.98</v>
      </c>
      <c r="F146" s="7" t="s">
        <v>2424</v>
      </c>
      <c r="G146" s="5" t="s">
        <v>2421</v>
      </c>
    </row>
    <row r="147" spans="1:7">
      <c r="A147" s="11" t="s">
        <v>2589</v>
      </c>
      <c r="B147" s="11" t="s">
        <v>2348</v>
      </c>
      <c r="C147" s="7" t="s">
        <v>1600</v>
      </c>
      <c r="D147" s="11" t="s">
        <v>190</v>
      </c>
      <c r="E147" s="45">
        <v>61.73</v>
      </c>
      <c r="F147" s="7" t="s">
        <v>2464</v>
      </c>
      <c r="G147" s="5" t="s">
        <v>2421</v>
      </c>
    </row>
    <row r="148" spans="1:7">
      <c r="A148" s="11" t="s">
        <v>2590</v>
      </c>
      <c r="B148" s="11" t="s">
        <v>2348</v>
      </c>
      <c r="C148" s="7" t="s">
        <v>2435</v>
      </c>
      <c r="D148" s="11" t="s">
        <v>199</v>
      </c>
      <c r="E148" s="45">
        <v>65.63</v>
      </c>
      <c r="F148" s="7" t="s">
        <v>2500</v>
      </c>
      <c r="G148" s="5" t="s">
        <v>2421</v>
      </c>
    </row>
    <row r="149" spans="1:7">
      <c r="A149" s="11" t="s">
        <v>2591</v>
      </c>
      <c r="B149" s="11" t="s">
        <v>2349</v>
      </c>
      <c r="C149" s="7" t="s">
        <v>1529</v>
      </c>
      <c r="D149" s="11" t="s">
        <v>157</v>
      </c>
      <c r="E149" s="45">
        <v>62.38</v>
      </c>
      <c r="F149" s="7" t="s">
        <v>1581</v>
      </c>
      <c r="G149" s="5" t="s">
        <v>2421</v>
      </c>
    </row>
    <row r="150" spans="1:7">
      <c r="A150" s="11" t="s">
        <v>2592</v>
      </c>
      <c r="B150" s="11" t="s">
        <v>2349</v>
      </c>
      <c r="C150" s="7" t="s">
        <v>1615</v>
      </c>
      <c r="D150" s="11" t="s">
        <v>180</v>
      </c>
      <c r="E150" s="45">
        <v>66.28</v>
      </c>
      <c r="F150" s="7" t="s">
        <v>1594</v>
      </c>
      <c r="G150" s="5" t="s">
        <v>2432</v>
      </c>
    </row>
    <row r="151" spans="1:7">
      <c r="A151" s="11" t="s">
        <v>2593</v>
      </c>
      <c r="B151" s="11" t="s">
        <v>2349</v>
      </c>
      <c r="C151" s="7" t="s">
        <v>1548</v>
      </c>
      <c r="D151" s="11" t="s">
        <v>169</v>
      </c>
      <c r="E151" s="45">
        <v>63.03</v>
      </c>
      <c r="F151" s="7" t="s">
        <v>2435</v>
      </c>
      <c r="G151" s="5" t="s">
        <v>2432</v>
      </c>
    </row>
    <row r="152" spans="1:7">
      <c r="A152" s="11" t="s">
        <v>2594</v>
      </c>
      <c r="B152" s="11" t="s">
        <v>2349</v>
      </c>
      <c r="C152" s="7" t="s">
        <v>1561</v>
      </c>
      <c r="D152" s="11" t="s">
        <v>2128</v>
      </c>
      <c r="E152" s="45">
        <v>66.930000000000007</v>
      </c>
      <c r="F152" s="7" t="s">
        <v>2437</v>
      </c>
      <c r="G152" s="5" t="s">
        <v>2432</v>
      </c>
    </row>
    <row r="153" spans="1:7">
      <c r="A153" s="11" t="s">
        <v>2595</v>
      </c>
      <c r="B153" s="11" t="s">
        <v>2350</v>
      </c>
      <c r="C153" s="7" t="s">
        <v>2464</v>
      </c>
      <c r="D153" s="11" t="s">
        <v>163</v>
      </c>
      <c r="E153" s="45">
        <v>63.68</v>
      </c>
      <c r="F153" s="7" t="s">
        <v>2506</v>
      </c>
      <c r="G153" s="5" t="s">
        <v>2432</v>
      </c>
    </row>
    <row r="154" spans="1:7">
      <c r="A154" s="11" t="s">
        <v>2596</v>
      </c>
      <c r="B154" s="11" t="s">
        <v>2350</v>
      </c>
      <c r="C154" s="7" t="s">
        <v>1555</v>
      </c>
      <c r="D154" s="11" t="s">
        <v>186</v>
      </c>
      <c r="E154" s="45">
        <v>67.58</v>
      </c>
      <c r="F154" s="7" t="s">
        <v>1707</v>
      </c>
      <c r="G154" s="5" t="s">
        <v>2432</v>
      </c>
    </row>
    <row r="155" spans="1:7">
      <c r="A155" s="11" t="s">
        <v>2597</v>
      </c>
      <c r="B155" s="11" t="s">
        <v>2350</v>
      </c>
      <c r="C155" s="7" t="s">
        <v>1535</v>
      </c>
      <c r="D155" s="11" t="s">
        <v>175</v>
      </c>
      <c r="E155" s="45">
        <v>64.33</v>
      </c>
      <c r="F155" s="7" t="s">
        <v>1552</v>
      </c>
      <c r="G155" s="5" t="s">
        <v>2432</v>
      </c>
    </row>
    <row r="156" spans="1:7">
      <c r="A156" s="11" t="s">
        <v>2598</v>
      </c>
      <c r="B156" s="11" t="s">
        <v>2350</v>
      </c>
      <c r="C156" s="7" t="s">
        <v>1544</v>
      </c>
      <c r="D156" s="11" t="s">
        <v>155</v>
      </c>
      <c r="E156" s="45">
        <v>68.23</v>
      </c>
      <c r="F156" s="7" t="s">
        <v>2444</v>
      </c>
      <c r="G156" s="5" t="s">
        <v>2442</v>
      </c>
    </row>
    <row r="157" spans="1:7">
      <c r="A157" s="11" t="s">
        <v>2599</v>
      </c>
      <c r="B157" s="11" t="s">
        <v>2351</v>
      </c>
      <c r="C157" s="7" t="s">
        <v>1594</v>
      </c>
      <c r="D157" s="11" t="s">
        <v>176</v>
      </c>
      <c r="E157" s="45">
        <v>64.98</v>
      </c>
      <c r="F157" s="7" t="s">
        <v>2446</v>
      </c>
      <c r="G157" s="5" t="s">
        <v>2442</v>
      </c>
    </row>
    <row r="158" spans="1:7">
      <c r="A158" s="11" t="s">
        <v>2600</v>
      </c>
      <c r="B158" s="11" t="s">
        <v>2351</v>
      </c>
      <c r="C158" s="7" t="s">
        <v>2444</v>
      </c>
      <c r="D158" s="11" t="s">
        <v>2160</v>
      </c>
      <c r="E158" s="45">
        <v>61.73</v>
      </c>
      <c r="F158" s="7" t="s">
        <v>2429</v>
      </c>
      <c r="G158" s="5" t="s">
        <v>2442</v>
      </c>
    </row>
    <row r="159" spans="1:7">
      <c r="A159" s="11" t="s">
        <v>2601</v>
      </c>
      <c r="B159" s="11" t="s">
        <v>2351</v>
      </c>
      <c r="C159" s="7" t="s">
        <v>1521</v>
      </c>
      <c r="D159" s="11" t="s">
        <v>150</v>
      </c>
      <c r="E159" s="45">
        <v>65.63</v>
      </c>
      <c r="F159" s="7" t="s">
        <v>1535</v>
      </c>
      <c r="G159" s="5" t="s">
        <v>2442</v>
      </c>
    </row>
    <row r="160" spans="1:7">
      <c r="A160" s="11" t="s">
        <v>2602</v>
      </c>
      <c r="B160" s="11" t="s">
        <v>2351</v>
      </c>
      <c r="C160" s="7" t="s">
        <v>1539</v>
      </c>
      <c r="D160" s="11" t="s">
        <v>160</v>
      </c>
      <c r="E160" s="45">
        <v>62.38</v>
      </c>
      <c r="F160" s="7" t="s">
        <v>1589</v>
      </c>
      <c r="G160" s="5" t="s">
        <v>2442</v>
      </c>
    </row>
    <row r="161" spans="1:7">
      <c r="A161" s="11" t="s">
        <v>2603</v>
      </c>
      <c r="B161" s="11" t="s">
        <v>2352</v>
      </c>
      <c r="C161" s="7" t="s">
        <v>1583</v>
      </c>
      <c r="D161" s="11" t="s">
        <v>182</v>
      </c>
      <c r="E161" s="45">
        <v>66.28</v>
      </c>
      <c r="F161" s="7" t="s">
        <v>1563</v>
      </c>
      <c r="G161" s="5" t="s">
        <v>2452</v>
      </c>
    </row>
    <row r="162" spans="1:7">
      <c r="A162" s="11" t="s">
        <v>2604</v>
      </c>
      <c r="B162" s="11" t="s">
        <v>2352</v>
      </c>
      <c r="C162" s="7" t="s">
        <v>1655</v>
      </c>
      <c r="D162" s="11" t="s">
        <v>172</v>
      </c>
      <c r="E162" s="45">
        <v>63.03</v>
      </c>
      <c r="F162" s="7" t="s">
        <v>2455</v>
      </c>
      <c r="G162" s="5" t="s">
        <v>2452</v>
      </c>
    </row>
    <row r="163" spans="1:7">
      <c r="A163" s="11" t="s">
        <v>2605</v>
      </c>
      <c r="B163" s="11" t="s">
        <v>2352</v>
      </c>
      <c r="C163" s="7" t="s">
        <v>2426</v>
      </c>
      <c r="D163" s="11" t="s">
        <v>2155</v>
      </c>
      <c r="E163" s="45">
        <v>66.930000000000007</v>
      </c>
      <c r="F163" s="7" t="s">
        <v>2458</v>
      </c>
      <c r="G163" s="5" t="s">
        <v>2456</v>
      </c>
    </row>
    <row r="164" spans="1:7">
      <c r="A164" s="11" t="s">
        <v>2606</v>
      </c>
      <c r="B164" s="11" t="s">
        <v>2352</v>
      </c>
      <c r="C164" s="7" t="s">
        <v>2429</v>
      </c>
      <c r="D164" s="11" t="s">
        <v>167</v>
      </c>
      <c r="E164" s="45">
        <v>63.68</v>
      </c>
      <c r="F164" s="7" t="s">
        <v>2519</v>
      </c>
      <c r="G164" s="5" t="s">
        <v>2421</v>
      </c>
    </row>
    <row r="165" spans="1:7">
      <c r="A165" s="11" t="s">
        <v>2607</v>
      </c>
      <c r="B165" s="11" t="s">
        <v>2353</v>
      </c>
      <c r="C165" s="7" t="s">
        <v>1557</v>
      </c>
      <c r="D165" s="11" t="s">
        <v>188</v>
      </c>
      <c r="E165" s="45">
        <v>67.58</v>
      </c>
      <c r="F165" s="7" t="s">
        <v>1544</v>
      </c>
      <c r="G165" s="5" t="s">
        <v>2421</v>
      </c>
    </row>
    <row r="166" spans="1:7">
      <c r="A166" s="11" t="s">
        <v>2608</v>
      </c>
      <c r="B166" s="11" t="s">
        <v>2353</v>
      </c>
      <c r="C166" s="7" t="s">
        <v>1581</v>
      </c>
      <c r="D166" s="11" t="s">
        <v>198</v>
      </c>
      <c r="E166" s="45">
        <v>64.33</v>
      </c>
      <c r="F166" s="7" t="s">
        <v>1600</v>
      </c>
      <c r="G166" s="5" t="s">
        <v>2421</v>
      </c>
    </row>
    <row r="167" spans="1:7">
      <c r="A167" s="11" t="s">
        <v>2609</v>
      </c>
      <c r="B167" s="11" t="s">
        <v>2353</v>
      </c>
      <c r="C167" s="7" t="s">
        <v>1552</v>
      </c>
      <c r="D167" s="11" t="s">
        <v>157</v>
      </c>
      <c r="E167" s="45">
        <v>68.23</v>
      </c>
      <c r="F167" s="7" t="s">
        <v>2424</v>
      </c>
      <c r="G167" s="5" t="s">
        <v>2421</v>
      </c>
    </row>
    <row r="168" spans="1:7">
      <c r="A168" s="11" t="s">
        <v>2610</v>
      </c>
      <c r="B168" s="11" t="s">
        <v>2353</v>
      </c>
      <c r="C168" s="7" t="s">
        <v>1563</v>
      </c>
      <c r="D168" s="11" t="s">
        <v>180</v>
      </c>
      <c r="E168" s="45">
        <v>64.98</v>
      </c>
      <c r="F168" s="7" t="s">
        <v>2427</v>
      </c>
      <c r="G168" s="5" t="s">
        <v>2421</v>
      </c>
    </row>
    <row r="169" spans="1:7">
      <c r="A169" s="11" t="s">
        <v>2611</v>
      </c>
      <c r="B169" s="11" t="s">
        <v>2354</v>
      </c>
      <c r="C169" s="7" t="s">
        <v>2424</v>
      </c>
      <c r="D169" s="11" t="s">
        <v>2139</v>
      </c>
      <c r="E169" s="45">
        <v>61.73</v>
      </c>
      <c r="F169" s="7" t="s">
        <v>2500</v>
      </c>
      <c r="G169" s="5" t="s">
        <v>2421</v>
      </c>
    </row>
    <row r="170" spans="1:7">
      <c r="A170" s="11" t="s">
        <v>2612</v>
      </c>
      <c r="B170" s="11" t="s">
        <v>2354</v>
      </c>
      <c r="C170" s="7" t="s">
        <v>1597</v>
      </c>
      <c r="D170" s="11" t="s">
        <v>2124</v>
      </c>
      <c r="E170" s="45">
        <v>65.63</v>
      </c>
      <c r="F170" s="7" t="s">
        <v>1581</v>
      </c>
      <c r="G170" s="5" t="s">
        <v>2432</v>
      </c>
    </row>
    <row r="171" spans="1:7">
      <c r="A171" s="11" t="s">
        <v>2613</v>
      </c>
      <c r="B171" s="11" t="s">
        <v>2354</v>
      </c>
      <c r="C171" s="7" t="s">
        <v>1585</v>
      </c>
      <c r="D171" s="11" t="s">
        <v>163</v>
      </c>
      <c r="E171" s="45">
        <v>62.38</v>
      </c>
      <c r="F171" s="7" t="s">
        <v>1594</v>
      </c>
      <c r="G171" s="5" t="s">
        <v>2432</v>
      </c>
    </row>
    <row r="172" spans="1:7">
      <c r="A172" s="11" t="s">
        <v>2614</v>
      </c>
      <c r="B172" s="11" t="s">
        <v>2354</v>
      </c>
      <c r="C172" s="7" t="s">
        <v>1652</v>
      </c>
      <c r="D172" s="11" t="s">
        <v>186</v>
      </c>
      <c r="E172" s="45">
        <v>66.28</v>
      </c>
      <c r="F172" s="7" t="s">
        <v>2435</v>
      </c>
      <c r="G172" s="5" t="s">
        <v>2432</v>
      </c>
    </row>
    <row r="173" spans="1:7">
      <c r="A173" s="11" t="s">
        <v>2615</v>
      </c>
      <c r="B173" s="11" t="s">
        <v>2355</v>
      </c>
      <c r="C173" s="7" t="s">
        <v>1660</v>
      </c>
      <c r="D173" s="11" t="s">
        <v>174</v>
      </c>
      <c r="E173" s="45">
        <v>63.03</v>
      </c>
      <c r="F173" s="7" t="s">
        <v>2437</v>
      </c>
      <c r="G173" s="5" t="s">
        <v>2432</v>
      </c>
    </row>
    <row r="174" spans="1:7">
      <c r="A174" s="11" t="s">
        <v>2616</v>
      </c>
      <c r="B174" s="11" t="s">
        <v>2355</v>
      </c>
      <c r="C174" s="7" t="s">
        <v>2448</v>
      </c>
      <c r="D174" s="11" t="s">
        <v>152</v>
      </c>
      <c r="E174" s="45">
        <v>66.930000000000007</v>
      </c>
      <c r="F174" s="7" t="s">
        <v>2439</v>
      </c>
      <c r="G174" s="5" t="s">
        <v>2432</v>
      </c>
    </row>
    <row r="175" spans="1:7">
      <c r="A175" s="11" t="s">
        <v>2617</v>
      </c>
      <c r="B175" s="11" t="s">
        <v>2355</v>
      </c>
      <c r="C175" s="7" t="s">
        <v>1559</v>
      </c>
      <c r="D175" s="11" t="s">
        <v>176</v>
      </c>
      <c r="E175" s="45">
        <v>63.68</v>
      </c>
      <c r="F175" s="7" t="s">
        <v>1707</v>
      </c>
      <c r="G175" s="5" t="s">
        <v>2432</v>
      </c>
    </row>
    <row r="176" spans="1:7">
      <c r="A176" s="11" t="s">
        <v>2618</v>
      </c>
      <c r="B176" s="11" t="s">
        <v>2355</v>
      </c>
      <c r="C176" s="7" t="s">
        <v>1707</v>
      </c>
      <c r="D176" s="11" t="s">
        <v>2160</v>
      </c>
      <c r="E176" s="45">
        <v>67.58</v>
      </c>
      <c r="F176" s="7" t="s">
        <v>1552</v>
      </c>
      <c r="G176" s="5" t="s">
        <v>2442</v>
      </c>
    </row>
    <row r="177" spans="1:7">
      <c r="A177" s="11" t="s">
        <v>2619</v>
      </c>
      <c r="B177" s="11" t="s">
        <v>2356</v>
      </c>
      <c r="C177" s="7" t="s">
        <v>1589</v>
      </c>
      <c r="D177" s="11" t="s">
        <v>199</v>
      </c>
      <c r="E177" s="45">
        <v>64.33</v>
      </c>
      <c r="F177" s="7" t="s">
        <v>2444</v>
      </c>
      <c r="G177" s="5" t="s">
        <v>2442</v>
      </c>
    </row>
    <row r="178" spans="1:7">
      <c r="A178" s="11" t="s">
        <v>2620</v>
      </c>
      <c r="B178" s="11" t="s">
        <v>2356</v>
      </c>
      <c r="C178" s="7" t="s">
        <v>1600</v>
      </c>
      <c r="D178" s="11" t="s">
        <v>158</v>
      </c>
      <c r="E178" s="45">
        <v>68.23</v>
      </c>
      <c r="F178" s="7" t="s">
        <v>2446</v>
      </c>
      <c r="G178" s="5" t="s">
        <v>2442</v>
      </c>
    </row>
    <row r="179" spans="1:7">
      <c r="A179" s="11" t="s">
        <v>2621</v>
      </c>
      <c r="B179" s="11" t="s">
        <v>2356</v>
      </c>
      <c r="C179" s="7" t="s">
        <v>2435</v>
      </c>
      <c r="D179" s="11" t="s">
        <v>182</v>
      </c>
      <c r="E179" s="45">
        <v>64.98</v>
      </c>
      <c r="F179" s="7" t="s">
        <v>2449</v>
      </c>
      <c r="G179" s="5" t="s">
        <v>2442</v>
      </c>
    </row>
    <row r="180" spans="1:7">
      <c r="A180" s="11" t="s">
        <v>2622</v>
      </c>
      <c r="B180" s="11" t="s">
        <v>2356</v>
      </c>
      <c r="C180" s="7" t="s">
        <v>1529</v>
      </c>
      <c r="D180" s="11" t="s">
        <v>172</v>
      </c>
      <c r="E180" s="45">
        <v>61.73</v>
      </c>
      <c r="F180" s="7" t="s">
        <v>1535</v>
      </c>
      <c r="G180" s="5" t="s">
        <v>2442</v>
      </c>
    </row>
    <row r="181" spans="1:7">
      <c r="A181" s="11" t="s">
        <v>2623</v>
      </c>
      <c r="B181" s="11" t="s">
        <v>2357</v>
      </c>
      <c r="C181" s="7" t="s">
        <v>1615</v>
      </c>
      <c r="D181" s="11" t="s">
        <v>2128</v>
      </c>
      <c r="E181" s="45">
        <v>65.63</v>
      </c>
      <c r="F181" s="7" t="s">
        <v>1589</v>
      </c>
      <c r="G181" s="5" t="s">
        <v>2452</v>
      </c>
    </row>
    <row r="182" spans="1:7">
      <c r="A182" s="11" t="s">
        <v>2624</v>
      </c>
      <c r="B182" s="11" t="s">
        <v>2357</v>
      </c>
      <c r="C182" s="7" t="s">
        <v>1548</v>
      </c>
      <c r="D182" s="11" t="s">
        <v>165</v>
      </c>
      <c r="E182" s="45">
        <v>62.38</v>
      </c>
      <c r="F182" s="7" t="s">
        <v>1563</v>
      </c>
      <c r="G182" s="5" t="s">
        <v>2452</v>
      </c>
    </row>
    <row r="183" spans="1:7">
      <c r="A183" s="11" t="s">
        <v>2625</v>
      </c>
      <c r="B183" s="11" t="s">
        <v>2357</v>
      </c>
      <c r="C183" s="7" t="s">
        <v>1561</v>
      </c>
      <c r="D183" s="11" t="s">
        <v>188</v>
      </c>
      <c r="E183" s="45">
        <v>66.28</v>
      </c>
      <c r="F183" s="7" t="s">
        <v>2455</v>
      </c>
      <c r="G183" s="5" t="s">
        <v>2456</v>
      </c>
    </row>
    <row r="184" spans="1:7">
      <c r="A184" s="11" t="s">
        <v>2626</v>
      </c>
      <c r="B184" s="11" t="s">
        <v>2357</v>
      </c>
      <c r="C184" s="7" t="s">
        <v>2464</v>
      </c>
      <c r="D184" s="11" t="s">
        <v>198</v>
      </c>
      <c r="E184" s="45">
        <v>63.03</v>
      </c>
      <c r="F184" s="7" t="s">
        <v>2458</v>
      </c>
      <c r="G184" s="5" t="s">
        <v>2421</v>
      </c>
    </row>
    <row r="185" spans="1:7">
      <c r="A185" s="11" t="s">
        <v>2627</v>
      </c>
      <c r="B185" s="11" t="s">
        <v>2358</v>
      </c>
      <c r="C185" s="7" t="s">
        <v>1555</v>
      </c>
      <c r="D185" s="11" t="s">
        <v>155</v>
      </c>
      <c r="E185" s="45">
        <v>66.930000000000007</v>
      </c>
      <c r="F185" s="7" t="s">
        <v>1652</v>
      </c>
      <c r="G185" s="5" t="s">
        <v>2421</v>
      </c>
    </row>
    <row r="186" spans="1:7">
      <c r="A186" s="11" t="s">
        <v>2628</v>
      </c>
      <c r="B186" s="11" t="s">
        <v>2358</v>
      </c>
      <c r="C186" s="7" t="s">
        <v>1535</v>
      </c>
      <c r="D186" s="11" t="s">
        <v>178</v>
      </c>
      <c r="E186" s="45">
        <v>63.68</v>
      </c>
      <c r="F186" s="7" t="s">
        <v>1544</v>
      </c>
      <c r="G186" s="5" t="s">
        <v>2421</v>
      </c>
    </row>
    <row r="187" spans="1:7">
      <c r="A187" s="11" t="s">
        <v>2629</v>
      </c>
      <c r="B187" s="11" t="s">
        <v>2358</v>
      </c>
      <c r="C187" s="7" t="s">
        <v>1544</v>
      </c>
      <c r="D187" s="11" t="s">
        <v>2139</v>
      </c>
      <c r="E187" s="45">
        <v>67.58</v>
      </c>
      <c r="F187" s="7" t="s">
        <v>1600</v>
      </c>
      <c r="G187" s="5" t="s">
        <v>2421</v>
      </c>
    </row>
    <row r="188" spans="1:7">
      <c r="A188" s="11" t="s">
        <v>2630</v>
      </c>
      <c r="B188" s="11" t="s">
        <v>2358</v>
      </c>
      <c r="C188" s="7" t="s">
        <v>1594</v>
      </c>
      <c r="D188" s="11" t="s">
        <v>2124</v>
      </c>
      <c r="E188" s="45">
        <v>64.33</v>
      </c>
      <c r="F188" s="7" t="s">
        <v>2424</v>
      </c>
      <c r="G188" s="5" t="s">
        <v>2421</v>
      </c>
    </row>
    <row r="189" spans="1:7">
      <c r="A189" s="11" t="s">
        <v>2631</v>
      </c>
      <c r="B189" s="11" t="s">
        <v>2359</v>
      </c>
      <c r="C189" s="7" t="s">
        <v>2444</v>
      </c>
      <c r="D189" s="11" t="s">
        <v>160</v>
      </c>
      <c r="E189" s="45">
        <v>68.23</v>
      </c>
      <c r="F189" s="7" t="s">
        <v>2427</v>
      </c>
      <c r="G189" s="5" t="s">
        <v>2421</v>
      </c>
    </row>
    <row r="190" spans="1:7">
      <c r="A190" s="11" t="s">
        <v>2632</v>
      </c>
      <c r="B190" s="11" t="s">
        <v>2359</v>
      </c>
      <c r="C190" s="7" t="s">
        <v>1521</v>
      </c>
      <c r="D190" s="11" t="s">
        <v>184</v>
      </c>
      <c r="E190" s="45">
        <v>64.98</v>
      </c>
      <c r="F190" s="7" t="s">
        <v>1548</v>
      </c>
      <c r="G190" s="5" t="s">
        <v>2432</v>
      </c>
    </row>
    <row r="191" spans="1:7">
      <c r="A191" s="11" t="s">
        <v>2633</v>
      </c>
      <c r="B191" s="11" t="s">
        <v>2359</v>
      </c>
      <c r="C191" s="7" t="s">
        <v>1539</v>
      </c>
      <c r="D191" s="11" t="s">
        <v>174</v>
      </c>
      <c r="E191" s="45">
        <v>61.73</v>
      </c>
      <c r="F191" s="7" t="s">
        <v>1581</v>
      </c>
      <c r="G191" s="5" t="s">
        <v>2432</v>
      </c>
    </row>
    <row r="192" spans="1:7">
      <c r="A192" s="11" t="s">
        <v>2634</v>
      </c>
      <c r="B192" s="11" t="s">
        <v>2359</v>
      </c>
      <c r="C192" s="7" t="s">
        <v>1583</v>
      </c>
      <c r="D192" s="11" t="s">
        <v>152</v>
      </c>
      <c r="E192" s="45">
        <v>65.63</v>
      </c>
      <c r="F192" s="7" t="s">
        <v>1594</v>
      </c>
      <c r="G192" s="5" t="s">
        <v>2432</v>
      </c>
    </row>
    <row r="193" spans="1:7">
      <c r="A193" s="11" t="s">
        <v>2635</v>
      </c>
      <c r="B193" s="11" t="s">
        <v>2360</v>
      </c>
      <c r="C193" s="7" t="s">
        <v>1655</v>
      </c>
      <c r="D193" s="11" t="s">
        <v>167</v>
      </c>
      <c r="E193" s="45">
        <v>62.38</v>
      </c>
      <c r="F193" s="7" t="s">
        <v>2435</v>
      </c>
      <c r="G193" s="5" t="s">
        <v>2432</v>
      </c>
    </row>
    <row r="194" spans="1:7">
      <c r="A194" s="11" t="s">
        <v>2636</v>
      </c>
      <c r="B194" s="11" t="s">
        <v>2360</v>
      </c>
      <c r="C194" s="7" t="s">
        <v>2426</v>
      </c>
      <c r="D194" s="11" t="s">
        <v>190</v>
      </c>
      <c r="E194" s="45">
        <v>66.28</v>
      </c>
      <c r="F194" s="7" t="s">
        <v>2437</v>
      </c>
      <c r="G194" s="5" t="s">
        <v>2432</v>
      </c>
    </row>
    <row r="195" spans="1:7">
      <c r="A195" s="11" t="s">
        <v>2637</v>
      </c>
      <c r="B195" s="11" t="s">
        <v>2360</v>
      </c>
      <c r="C195" s="7" t="s">
        <v>2429</v>
      </c>
      <c r="D195" s="11" t="s">
        <v>199</v>
      </c>
      <c r="E195" s="45">
        <v>63.03</v>
      </c>
      <c r="F195" s="7" t="s">
        <v>2439</v>
      </c>
      <c r="G195" s="5" t="s">
        <v>2432</v>
      </c>
    </row>
    <row r="196" spans="1:7">
      <c r="A196" s="11" t="s">
        <v>2638</v>
      </c>
      <c r="B196" s="11" t="s">
        <v>2360</v>
      </c>
      <c r="C196" s="7" t="s">
        <v>1557</v>
      </c>
      <c r="D196" s="11" t="s">
        <v>158</v>
      </c>
      <c r="E196" s="45">
        <v>66.930000000000007</v>
      </c>
      <c r="F196" s="7" t="s">
        <v>1561</v>
      </c>
      <c r="G196" s="5" t="s">
        <v>2442</v>
      </c>
    </row>
    <row r="197" spans="1:7">
      <c r="A197" s="11" t="s">
        <v>2639</v>
      </c>
      <c r="B197" s="11" t="s">
        <v>2361</v>
      </c>
      <c r="C197" s="7" t="s">
        <v>1581</v>
      </c>
      <c r="D197" s="11" t="s">
        <v>180</v>
      </c>
      <c r="E197" s="45">
        <v>63.68</v>
      </c>
      <c r="F197" s="7" t="s">
        <v>1552</v>
      </c>
      <c r="G197" s="5" t="s">
        <v>2442</v>
      </c>
    </row>
    <row r="198" spans="1:7">
      <c r="A198" s="11" t="s">
        <v>2640</v>
      </c>
      <c r="B198" s="11" t="s">
        <v>2361</v>
      </c>
      <c r="C198" s="7" t="s">
        <v>1552</v>
      </c>
      <c r="D198" s="11" t="s">
        <v>169</v>
      </c>
      <c r="E198" s="45">
        <v>67.58</v>
      </c>
      <c r="F198" s="7" t="s">
        <v>2444</v>
      </c>
      <c r="G198" s="5" t="s">
        <v>2442</v>
      </c>
    </row>
    <row r="199" spans="1:7">
      <c r="A199" s="11" t="s">
        <v>2641</v>
      </c>
      <c r="B199" s="11" t="s">
        <v>2361</v>
      </c>
      <c r="C199" s="7" t="s">
        <v>1563</v>
      </c>
      <c r="D199" s="11" t="s">
        <v>2128</v>
      </c>
      <c r="E199" s="45">
        <v>64.33</v>
      </c>
      <c r="F199" s="7" t="s">
        <v>2446</v>
      </c>
      <c r="G199" s="5" t="s">
        <v>2442</v>
      </c>
    </row>
    <row r="200" spans="1:7">
      <c r="A200" s="11" t="s">
        <v>2642</v>
      </c>
      <c r="B200" s="11" t="s">
        <v>2361</v>
      </c>
      <c r="C200" s="7" t="s">
        <v>2424</v>
      </c>
      <c r="D200" s="11" t="s">
        <v>165</v>
      </c>
      <c r="E200" s="45">
        <v>68.23</v>
      </c>
      <c r="F200" s="7" t="s">
        <v>2449</v>
      </c>
      <c r="G200" s="5" t="s">
        <v>2442</v>
      </c>
    </row>
    <row r="201" spans="1:7">
      <c r="A201" s="11" t="s">
        <v>2643</v>
      </c>
      <c r="B201" s="11" t="s">
        <v>2362</v>
      </c>
      <c r="C201" s="7" t="s">
        <v>1597</v>
      </c>
      <c r="D201" s="11" t="s">
        <v>186</v>
      </c>
      <c r="E201" s="45">
        <v>64.98</v>
      </c>
      <c r="F201" s="7" t="s">
        <v>1655</v>
      </c>
      <c r="G201" s="5" t="s">
        <v>2452</v>
      </c>
    </row>
    <row r="202" spans="1:7">
      <c r="A202" s="11" t="s">
        <v>2644</v>
      </c>
      <c r="B202" s="11" t="s">
        <v>2362</v>
      </c>
      <c r="C202" s="7" t="s">
        <v>1585</v>
      </c>
      <c r="D202" s="11" t="s">
        <v>175</v>
      </c>
      <c r="E202" s="45">
        <v>61.73</v>
      </c>
      <c r="F202" s="7" t="s">
        <v>1589</v>
      </c>
      <c r="G202" s="5" t="s">
        <v>2452</v>
      </c>
    </row>
    <row r="203" spans="1:7">
      <c r="A203" s="11" t="s">
        <v>2645</v>
      </c>
      <c r="B203" s="11" t="s">
        <v>2362</v>
      </c>
      <c r="C203" s="7" t="s">
        <v>1652</v>
      </c>
      <c r="D203" s="11" t="s">
        <v>155</v>
      </c>
      <c r="E203" s="45">
        <v>65.63</v>
      </c>
      <c r="F203" s="7" t="s">
        <v>1563</v>
      </c>
      <c r="G203" s="5" t="s">
        <v>2456</v>
      </c>
    </row>
    <row r="204" spans="1:7">
      <c r="A204" s="11" t="s">
        <v>2646</v>
      </c>
      <c r="B204" s="11" t="s">
        <v>2362</v>
      </c>
      <c r="C204" s="7" t="s">
        <v>1660</v>
      </c>
      <c r="D204" s="11" t="s">
        <v>178</v>
      </c>
      <c r="E204" s="45">
        <v>62.38</v>
      </c>
      <c r="F204" s="7" t="s">
        <v>2455</v>
      </c>
      <c r="G204" s="5" t="s">
        <v>2421</v>
      </c>
    </row>
    <row r="205" spans="1:7">
      <c r="A205" s="11" t="s">
        <v>2647</v>
      </c>
      <c r="B205" s="11" t="s">
        <v>2363</v>
      </c>
      <c r="C205" s="7" t="s">
        <v>2448</v>
      </c>
      <c r="D205" s="11" t="s">
        <v>2160</v>
      </c>
      <c r="E205" s="45">
        <v>66.28</v>
      </c>
      <c r="F205" s="7" t="s">
        <v>2458</v>
      </c>
      <c r="G205" s="5" t="s">
        <v>2421</v>
      </c>
    </row>
    <row r="206" spans="1:7">
      <c r="A206" s="11" t="s">
        <v>2648</v>
      </c>
      <c r="B206" s="11" t="s">
        <v>2363</v>
      </c>
      <c r="C206" s="7" t="s">
        <v>1559</v>
      </c>
      <c r="D206" s="11" t="s">
        <v>150</v>
      </c>
      <c r="E206" s="45">
        <v>63.03</v>
      </c>
      <c r="F206" s="7" t="s">
        <v>1652</v>
      </c>
      <c r="G206" s="5" t="s">
        <v>2421</v>
      </c>
    </row>
    <row r="207" spans="1:7">
      <c r="A207" s="11" t="s">
        <v>2649</v>
      </c>
      <c r="B207" s="11" t="s">
        <v>2363</v>
      </c>
      <c r="C207" s="7" t="s">
        <v>1707</v>
      </c>
      <c r="D207" s="11" t="s">
        <v>160</v>
      </c>
      <c r="E207" s="45">
        <v>66.930000000000007</v>
      </c>
      <c r="F207" s="7" t="s">
        <v>2426</v>
      </c>
      <c r="G207" s="5" t="s">
        <v>2421</v>
      </c>
    </row>
    <row r="208" spans="1:7">
      <c r="A208" s="11" t="s">
        <v>2650</v>
      </c>
      <c r="B208" s="11" t="s">
        <v>2363</v>
      </c>
      <c r="C208" s="7" t="s">
        <v>1589</v>
      </c>
      <c r="D208" s="11" t="s">
        <v>184</v>
      </c>
      <c r="E208" s="45">
        <v>63.68</v>
      </c>
      <c r="F208" s="7" t="s">
        <v>1600</v>
      </c>
      <c r="G208" s="5" t="s">
        <v>2421</v>
      </c>
    </row>
    <row r="209" spans="1:7">
      <c r="A209" s="11" t="s">
        <v>2651</v>
      </c>
      <c r="B209" s="11" t="s">
        <v>2364</v>
      </c>
      <c r="C209" s="7" t="s">
        <v>1600</v>
      </c>
      <c r="D209" s="11" t="s">
        <v>172</v>
      </c>
      <c r="E209" s="45">
        <v>67.58</v>
      </c>
      <c r="F209" s="7" t="s">
        <v>2424</v>
      </c>
      <c r="G209" s="5" t="s">
        <v>2421</v>
      </c>
    </row>
    <row r="210" spans="1:7">
      <c r="A210" s="11" t="s">
        <v>2652</v>
      </c>
      <c r="B210" s="11" t="s">
        <v>2364</v>
      </c>
      <c r="C210" s="7" t="s">
        <v>2435</v>
      </c>
      <c r="D210" s="11" t="s">
        <v>2155</v>
      </c>
      <c r="E210" s="45">
        <v>64.33</v>
      </c>
      <c r="F210" s="7" t="s">
        <v>2427</v>
      </c>
      <c r="G210" s="5" t="s">
        <v>2432</v>
      </c>
    </row>
    <row r="211" spans="1:7">
      <c r="A211" s="11" t="s">
        <v>2653</v>
      </c>
      <c r="B211" s="11" t="s">
        <v>2364</v>
      </c>
      <c r="C211" s="7" t="s">
        <v>1529</v>
      </c>
      <c r="D211" s="11" t="s">
        <v>167</v>
      </c>
      <c r="E211" s="45">
        <v>68.23</v>
      </c>
      <c r="F211" s="7" t="s">
        <v>1548</v>
      </c>
      <c r="G211" s="5" t="s">
        <v>2432</v>
      </c>
    </row>
    <row r="212" spans="1:7">
      <c r="A212" s="11" t="s">
        <v>2654</v>
      </c>
      <c r="B212" s="11" t="s">
        <v>2364</v>
      </c>
      <c r="C212" s="7" t="s">
        <v>1615</v>
      </c>
      <c r="D212" s="11" t="s">
        <v>190</v>
      </c>
      <c r="E212" s="45">
        <v>64.98</v>
      </c>
      <c r="F212" s="7" t="s">
        <v>1660</v>
      </c>
      <c r="G212" s="5" t="s">
        <v>2432</v>
      </c>
    </row>
    <row r="213" spans="1:7">
      <c r="A213" s="11" t="s">
        <v>2655</v>
      </c>
      <c r="B213" s="11" t="s">
        <v>2365</v>
      </c>
      <c r="C213" s="7" t="s">
        <v>1548</v>
      </c>
      <c r="D213" s="11" t="s">
        <v>198</v>
      </c>
      <c r="E213" s="45">
        <v>61.73</v>
      </c>
      <c r="F213" s="7" t="s">
        <v>1594</v>
      </c>
      <c r="G213" s="5" t="s">
        <v>2432</v>
      </c>
    </row>
    <row r="214" spans="1:7">
      <c r="A214" s="11" t="s">
        <v>2656</v>
      </c>
      <c r="B214" s="11" t="s">
        <v>2365</v>
      </c>
      <c r="C214" s="7" t="s">
        <v>1561</v>
      </c>
      <c r="D214" s="11" t="s">
        <v>157</v>
      </c>
      <c r="E214" s="45">
        <v>65.63</v>
      </c>
      <c r="F214" s="7" t="s">
        <v>2435</v>
      </c>
      <c r="G214" s="5" t="s">
        <v>2432</v>
      </c>
    </row>
    <row r="215" spans="1:7">
      <c r="A215" s="11" t="s">
        <v>2657</v>
      </c>
      <c r="B215" s="11" t="s">
        <v>2365</v>
      </c>
      <c r="C215" s="7" t="s">
        <v>2464</v>
      </c>
      <c r="D215" s="11" t="s">
        <v>180</v>
      </c>
      <c r="E215" s="45">
        <v>62.38</v>
      </c>
      <c r="F215" s="7" t="s">
        <v>2437</v>
      </c>
      <c r="G215" s="5" t="s">
        <v>2432</v>
      </c>
    </row>
    <row r="216" spans="1:7">
      <c r="A216" s="11" t="s">
        <v>2658</v>
      </c>
      <c r="B216" s="11" t="s">
        <v>2365</v>
      </c>
      <c r="C216" s="7" t="s">
        <v>1555</v>
      </c>
      <c r="D216" s="11" t="s">
        <v>169</v>
      </c>
      <c r="E216" s="45">
        <v>66.28</v>
      </c>
      <c r="F216" s="7" t="s">
        <v>1583</v>
      </c>
      <c r="G216" s="5" t="s">
        <v>2442</v>
      </c>
    </row>
    <row r="217" spans="1:7">
      <c r="A217" s="11" t="s">
        <v>2659</v>
      </c>
      <c r="B217" s="11" t="s">
        <v>2366</v>
      </c>
      <c r="C217" s="7" t="s">
        <v>1535</v>
      </c>
      <c r="D217" s="11" t="s">
        <v>2124</v>
      </c>
      <c r="E217" s="45">
        <v>63.03</v>
      </c>
      <c r="F217" s="7" t="s">
        <v>1561</v>
      </c>
      <c r="G217" s="5" t="s">
        <v>2442</v>
      </c>
    </row>
    <row r="218" spans="1:7">
      <c r="A218" s="11" t="s">
        <v>2660</v>
      </c>
      <c r="B218" s="11" t="s">
        <v>2366</v>
      </c>
      <c r="C218" s="7" t="s">
        <v>1544</v>
      </c>
      <c r="D218" s="11" t="s">
        <v>163</v>
      </c>
      <c r="E218" s="45">
        <v>66.930000000000007</v>
      </c>
      <c r="F218" s="7" t="s">
        <v>2448</v>
      </c>
      <c r="G218" s="5" t="s">
        <v>2442</v>
      </c>
    </row>
    <row r="219" spans="1:7">
      <c r="A219" s="11" t="s">
        <v>2661</v>
      </c>
      <c r="B219" s="11" t="s">
        <v>2366</v>
      </c>
      <c r="C219" s="7" t="s">
        <v>1594</v>
      </c>
      <c r="D219" s="11" t="s">
        <v>186</v>
      </c>
      <c r="E219" s="45">
        <v>63.68</v>
      </c>
      <c r="F219" s="7" t="s">
        <v>2444</v>
      </c>
      <c r="G219" s="5" t="s">
        <v>2442</v>
      </c>
    </row>
    <row r="220" spans="1:7">
      <c r="A220" s="11" t="s">
        <v>2662</v>
      </c>
      <c r="B220" s="11" t="s">
        <v>2366</v>
      </c>
      <c r="C220" s="7" t="s">
        <v>2444</v>
      </c>
      <c r="D220" s="11" t="s">
        <v>175</v>
      </c>
      <c r="E220" s="45">
        <v>67.58</v>
      </c>
      <c r="F220" s="7" t="s">
        <v>2446</v>
      </c>
      <c r="G220" s="5" t="s">
        <v>2442</v>
      </c>
    </row>
    <row r="221" spans="1:7">
      <c r="A221" s="11" t="s">
        <v>2663</v>
      </c>
      <c r="B221" s="11" t="s">
        <v>2367</v>
      </c>
      <c r="C221" s="7" t="s">
        <v>1521</v>
      </c>
      <c r="D221" s="11" t="s">
        <v>152</v>
      </c>
      <c r="E221" s="45">
        <v>64.33</v>
      </c>
      <c r="F221" s="7" t="s">
        <v>1585</v>
      </c>
      <c r="G221" s="5" t="s">
        <v>2452</v>
      </c>
    </row>
    <row r="222" spans="1:7">
      <c r="A222" s="11" t="s">
        <v>2664</v>
      </c>
      <c r="B222" s="11" t="s">
        <v>2367</v>
      </c>
      <c r="C222" s="7" t="s">
        <v>1539</v>
      </c>
      <c r="D222" s="11" t="s">
        <v>176</v>
      </c>
      <c r="E222" s="45">
        <v>68.23</v>
      </c>
      <c r="F222" s="7" t="s">
        <v>1655</v>
      </c>
      <c r="G222" s="5" t="s">
        <v>2452</v>
      </c>
    </row>
    <row r="223" spans="1:7">
      <c r="A223" s="11" t="s">
        <v>2665</v>
      </c>
      <c r="B223" s="11" t="s">
        <v>2367</v>
      </c>
      <c r="C223" s="7" t="s">
        <v>1583</v>
      </c>
      <c r="D223" s="11" t="s">
        <v>2160</v>
      </c>
      <c r="E223" s="45">
        <v>64.98</v>
      </c>
      <c r="F223" s="7" t="s">
        <v>2464</v>
      </c>
      <c r="G223" s="5" t="s">
        <v>2456</v>
      </c>
    </row>
    <row r="224" spans="1:7">
      <c r="A224" s="11" t="s">
        <v>2666</v>
      </c>
      <c r="B224" s="11" t="s">
        <v>2367</v>
      </c>
      <c r="C224" s="7" t="s">
        <v>1655</v>
      </c>
      <c r="D224" s="11" t="s">
        <v>150</v>
      </c>
      <c r="E224" s="45">
        <v>61.73</v>
      </c>
      <c r="F224" s="7" t="s">
        <v>1563</v>
      </c>
      <c r="G224" s="5" t="s">
        <v>2421</v>
      </c>
    </row>
    <row r="225" spans="1:7">
      <c r="A225" s="11" t="s">
        <v>2667</v>
      </c>
      <c r="B225" s="11" t="s">
        <v>2368</v>
      </c>
      <c r="C225" s="7" t="s">
        <v>2426</v>
      </c>
      <c r="D225" s="11" t="s">
        <v>158</v>
      </c>
      <c r="E225" s="45">
        <v>65.63</v>
      </c>
      <c r="F225" s="7" t="s">
        <v>2455</v>
      </c>
      <c r="G225" s="5" t="s">
        <v>2421</v>
      </c>
    </row>
    <row r="226" spans="1:7">
      <c r="A226" s="11" t="s">
        <v>2668</v>
      </c>
      <c r="B226" s="11" t="s">
        <v>2368</v>
      </c>
      <c r="C226" s="7" t="s">
        <v>2429</v>
      </c>
      <c r="D226" s="11" t="s">
        <v>182</v>
      </c>
      <c r="E226" s="45">
        <v>62.38</v>
      </c>
      <c r="F226" s="7" t="s">
        <v>2458</v>
      </c>
      <c r="G226" s="5" t="s">
        <v>2421</v>
      </c>
    </row>
    <row r="227" spans="1:7">
      <c r="A227" s="11" t="s">
        <v>2669</v>
      </c>
      <c r="B227" s="11" t="s">
        <v>2368</v>
      </c>
      <c r="C227" s="7" t="s">
        <v>1557</v>
      </c>
      <c r="D227" s="11" t="s">
        <v>172</v>
      </c>
      <c r="E227" s="45">
        <v>66.28</v>
      </c>
      <c r="F227" s="7" t="s">
        <v>1652</v>
      </c>
      <c r="G227" s="5" t="s">
        <v>2421</v>
      </c>
    </row>
    <row r="228" spans="1:7">
      <c r="A228" s="11" t="s">
        <v>2670</v>
      </c>
      <c r="B228" s="11" t="s">
        <v>2368</v>
      </c>
      <c r="C228" s="7" t="s">
        <v>1581</v>
      </c>
      <c r="D228" s="11" t="s">
        <v>2155</v>
      </c>
      <c r="E228" s="45">
        <v>63.03</v>
      </c>
      <c r="F228" s="7" t="s">
        <v>2426</v>
      </c>
      <c r="G228" s="5" t="s">
        <v>2421</v>
      </c>
    </row>
    <row r="229" spans="1:7">
      <c r="A229" s="11" t="s">
        <v>2671</v>
      </c>
      <c r="B229" s="11" t="s">
        <v>2369</v>
      </c>
      <c r="C229" s="7" t="s">
        <v>1552</v>
      </c>
      <c r="D229" s="11" t="s">
        <v>165</v>
      </c>
      <c r="E229" s="45">
        <v>66.930000000000007</v>
      </c>
      <c r="F229" s="7" t="s">
        <v>2506</v>
      </c>
      <c r="G229" s="5" t="s">
        <v>2421</v>
      </c>
    </row>
    <row r="230" spans="1:7">
      <c r="A230" s="11" t="s">
        <v>2672</v>
      </c>
      <c r="B230" s="11" t="s">
        <v>2369</v>
      </c>
      <c r="C230" s="7" t="s">
        <v>1563</v>
      </c>
      <c r="D230" s="11" t="s">
        <v>188</v>
      </c>
      <c r="E230" s="45">
        <v>63.68</v>
      </c>
      <c r="F230" s="7" t="s">
        <v>2424</v>
      </c>
      <c r="G230" s="5" t="s">
        <v>2432</v>
      </c>
    </row>
    <row r="231" spans="1:7">
      <c r="A231" s="11" t="s">
        <v>2673</v>
      </c>
      <c r="B231" s="11" t="s">
        <v>2369</v>
      </c>
      <c r="C231" s="7" t="s">
        <v>2424</v>
      </c>
      <c r="D231" s="11" t="s">
        <v>198</v>
      </c>
      <c r="E231" s="45">
        <v>67.58</v>
      </c>
      <c r="F231" s="7" t="s">
        <v>2427</v>
      </c>
      <c r="G231" s="5" t="s">
        <v>2432</v>
      </c>
    </row>
    <row r="232" spans="1:7">
      <c r="A232" s="11" t="s">
        <v>2674</v>
      </c>
      <c r="B232" s="11" t="s">
        <v>2369</v>
      </c>
      <c r="C232" s="7" t="s">
        <v>1597</v>
      </c>
      <c r="D232" s="11" t="s">
        <v>157</v>
      </c>
      <c r="E232" s="45">
        <v>64.33</v>
      </c>
      <c r="F232" s="7" t="s">
        <v>1548</v>
      </c>
      <c r="G232" s="5" t="s">
        <v>2432</v>
      </c>
    </row>
    <row r="233" spans="1:7">
      <c r="A233" s="11" t="s">
        <v>2675</v>
      </c>
      <c r="B233" s="11" t="s">
        <v>2370</v>
      </c>
      <c r="C233" s="7" t="s">
        <v>1585</v>
      </c>
      <c r="D233" s="11" t="s">
        <v>178</v>
      </c>
      <c r="E233" s="45">
        <v>68.23</v>
      </c>
      <c r="F233" s="7" t="s">
        <v>1660</v>
      </c>
      <c r="G233" s="5" t="s">
        <v>2432</v>
      </c>
    </row>
    <row r="234" spans="1:7">
      <c r="A234" s="11" t="s">
        <v>2676</v>
      </c>
      <c r="B234" s="11" t="s">
        <v>2370</v>
      </c>
      <c r="C234" s="7" t="s">
        <v>1652</v>
      </c>
      <c r="D234" s="11" t="s">
        <v>2139</v>
      </c>
      <c r="E234" s="45">
        <v>64.98</v>
      </c>
      <c r="F234" s="7" t="s">
        <v>2429</v>
      </c>
      <c r="G234" s="5" t="s">
        <v>2432</v>
      </c>
    </row>
    <row r="235" spans="1:7">
      <c r="A235" s="11" t="s">
        <v>2677</v>
      </c>
      <c r="B235" s="11" t="s">
        <v>2370</v>
      </c>
      <c r="C235" s="7" t="s">
        <v>1660</v>
      </c>
      <c r="D235" s="11" t="s">
        <v>2124</v>
      </c>
      <c r="E235" s="45">
        <v>61.73</v>
      </c>
      <c r="F235" s="7" t="s">
        <v>2435</v>
      </c>
      <c r="G235" s="5" t="s">
        <v>2432</v>
      </c>
    </row>
    <row r="236" spans="1:7">
      <c r="A236" s="11" t="s">
        <v>2678</v>
      </c>
      <c r="B236" s="11" t="s">
        <v>2370</v>
      </c>
      <c r="C236" s="7" t="s">
        <v>2448</v>
      </c>
      <c r="D236" s="11" t="s">
        <v>163</v>
      </c>
      <c r="E236" s="45">
        <v>65.63</v>
      </c>
      <c r="F236" s="7" t="s">
        <v>2437</v>
      </c>
      <c r="G236" s="5" t="s">
        <v>2442</v>
      </c>
    </row>
    <row r="237" spans="1:7">
      <c r="A237" s="11" t="s">
        <v>2679</v>
      </c>
      <c r="B237" s="11" t="s">
        <v>2371</v>
      </c>
      <c r="C237" s="7" t="s">
        <v>1559</v>
      </c>
      <c r="D237" s="11" t="s">
        <v>184</v>
      </c>
      <c r="E237" s="45">
        <v>62.38</v>
      </c>
      <c r="F237" s="7" t="s">
        <v>1583</v>
      </c>
      <c r="G237" s="5" t="s">
        <v>2442</v>
      </c>
    </row>
    <row r="238" spans="1:7">
      <c r="A238" s="11" t="s">
        <v>2680</v>
      </c>
      <c r="B238" s="11" t="s">
        <v>2371</v>
      </c>
      <c r="C238" s="7" t="s">
        <v>1707</v>
      </c>
      <c r="D238" s="11" t="s">
        <v>174</v>
      </c>
      <c r="E238" s="45">
        <v>66.28</v>
      </c>
      <c r="F238" s="7" t="s">
        <v>1561</v>
      </c>
      <c r="G238" s="5" t="s">
        <v>2442</v>
      </c>
    </row>
    <row r="239" spans="1:7">
      <c r="A239" s="11" t="s">
        <v>2681</v>
      </c>
      <c r="B239" s="11" t="s">
        <v>2371</v>
      </c>
      <c r="C239" s="7" t="s">
        <v>1589</v>
      </c>
      <c r="D239" s="11" t="s">
        <v>152</v>
      </c>
      <c r="E239" s="45">
        <v>63.03</v>
      </c>
      <c r="F239" s="7" t="s">
        <v>2448</v>
      </c>
      <c r="G239" s="5" t="s">
        <v>2442</v>
      </c>
    </row>
    <row r="240" spans="1:7">
      <c r="A240" s="11" t="s">
        <v>2682</v>
      </c>
      <c r="B240" s="11" t="s">
        <v>2371</v>
      </c>
      <c r="C240" s="7" t="s">
        <v>1600</v>
      </c>
      <c r="D240" s="11" t="s">
        <v>176</v>
      </c>
      <c r="E240" s="45">
        <v>66.930000000000007</v>
      </c>
      <c r="F240" s="7" t="s">
        <v>2519</v>
      </c>
      <c r="G240" s="5" t="s">
        <v>2442</v>
      </c>
    </row>
    <row r="241" spans="1:7">
      <c r="A241" s="11" t="s">
        <v>2683</v>
      </c>
      <c r="B241" s="11" t="s">
        <v>2372</v>
      </c>
      <c r="C241" s="7" t="s">
        <v>2435</v>
      </c>
      <c r="D241" s="11" t="s">
        <v>190</v>
      </c>
      <c r="E241" s="45">
        <v>63.68</v>
      </c>
      <c r="F241" s="7" t="s">
        <v>2446</v>
      </c>
      <c r="G241" s="5" t="s">
        <v>2452</v>
      </c>
    </row>
    <row r="242" spans="1:7">
      <c r="A242" s="11" t="s">
        <v>2684</v>
      </c>
      <c r="B242" s="11" t="s">
        <v>2372</v>
      </c>
      <c r="C242" s="7" t="s">
        <v>1529</v>
      </c>
      <c r="D242" s="11" t="s">
        <v>199</v>
      </c>
      <c r="E242" s="45">
        <v>67.58</v>
      </c>
      <c r="F242" s="7" t="s">
        <v>1585</v>
      </c>
      <c r="G242" s="5" t="s">
        <v>2452</v>
      </c>
    </row>
    <row r="243" spans="1:7">
      <c r="A243" s="11" t="s">
        <v>2685</v>
      </c>
      <c r="B243" s="11" t="s">
        <v>2372</v>
      </c>
      <c r="C243" s="7" t="s">
        <v>1615</v>
      </c>
      <c r="D243" s="11" t="s">
        <v>158</v>
      </c>
      <c r="E243" s="45">
        <v>64.33</v>
      </c>
      <c r="F243" s="7" t="s">
        <v>1655</v>
      </c>
      <c r="G243" s="5" t="s">
        <v>2456</v>
      </c>
    </row>
    <row r="244" spans="1:7">
      <c r="A244" s="11" t="s">
        <v>2686</v>
      </c>
      <c r="B244" s="11" t="s">
        <v>2372</v>
      </c>
      <c r="C244" s="7" t="s">
        <v>1548</v>
      </c>
      <c r="D244" s="11" t="s">
        <v>182</v>
      </c>
      <c r="E244" s="45">
        <v>68.23</v>
      </c>
      <c r="F244" s="7" t="s">
        <v>2464</v>
      </c>
      <c r="G244" s="5" t="s">
        <v>2421</v>
      </c>
    </row>
    <row r="245" spans="1:7">
      <c r="A245" s="11" t="s">
        <v>2687</v>
      </c>
      <c r="B245" s="11" t="s">
        <v>2373</v>
      </c>
      <c r="C245" s="7" t="s">
        <v>1561</v>
      </c>
      <c r="D245" s="11" t="s">
        <v>169</v>
      </c>
      <c r="E245" s="45">
        <v>64.98</v>
      </c>
      <c r="F245" s="7" t="s">
        <v>2500</v>
      </c>
      <c r="G245" s="5" t="s">
        <v>2421</v>
      </c>
    </row>
    <row r="246" spans="1:7">
      <c r="A246" s="11" t="s">
        <v>2688</v>
      </c>
      <c r="B246" s="11" t="s">
        <v>2373</v>
      </c>
      <c r="C246" s="7" t="s">
        <v>2464</v>
      </c>
      <c r="D246" s="11" t="s">
        <v>2128</v>
      </c>
      <c r="E246" s="45">
        <v>61.73</v>
      </c>
      <c r="F246" s="7" t="s">
        <v>2455</v>
      </c>
      <c r="G246" s="5" t="s">
        <v>2421</v>
      </c>
    </row>
    <row r="247" spans="1:7">
      <c r="A247" s="11" t="s">
        <v>2689</v>
      </c>
      <c r="B247" s="11" t="s">
        <v>2373</v>
      </c>
      <c r="C247" s="7" t="s">
        <v>1555</v>
      </c>
      <c r="D247" s="11" t="s">
        <v>165</v>
      </c>
      <c r="E247" s="45">
        <v>65.63</v>
      </c>
      <c r="F247" s="7" t="s">
        <v>1615</v>
      </c>
      <c r="G247" s="5" t="s">
        <v>2421</v>
      </c>
    </row>
    <row r="248" spans="1:7">
      <c r="A248" s="11" t="s">
        <v>2690</v>
      </c>
      <c r="B248" s="11" t="s">
        <v>2374</v>
      </c>
      <c r="C248" s="7" t="s">
        <v>1535</v>
      </c>
      <c r="D248" s="11" t="s">
        <v>188</v>
      </c>
      <c r="E248" s="45">
        <v>62.38</v>
      </c>
      <c r="F248" s="7" t="s">
        <v>1652</v>
      </c>
      <c r="G248" s="5" t="s">
        <v>2421</v>
      </c>
    </row>
    <row r="249" spans="1:7">
      <c r="A249" s="11" t="s">
        <v>2691</v>
      </c>
      <c r="B249" s="11" t="s">
        <v>2374</v>
      </c>
      <c r="C249" s="7" t="s">
        <v>1544</v>
      </c>
      <c r="D249" s="11" t="s">
        <v>198</v>
      </c>
      <c r="E249" s="45">
        <v>66.28</v>
      </c>
      <c r="F249" s="7" t="s">
        <v>2426</v>
      </c>
      <c r="G249" s="5" t="s">
        <v>2421</v>
      </c>
    </row>
    <row r="250" spans="1:7">
      <c r="A250" s="11" t="s">
        <v>2692</v>
      </c>
      <c r="B250" s="11" t="s">
        <v>2374</v>
      </c>
      <c r="C250" s="7" t="s">
        <v>1594</v>
      </c>
      <c r="D250" s="11" t="s">
        <v>157</v>
      </c>
      <c r="E250" s="45">
        <v>63.03</v>
      </c>
      <c r="F250" s="7" t="s">
        <v>2506</v>
      </c>
      <c r="G250" s="5" t="s">
        <v>2432</v>
      </c>
    </row>
    <row r="251" spans="1:7">
      <c r="A251" s="11" t="s">
        <v>2693</v>
      </c>
      <c r="B251" s="11" t="s">
        <v>2375</v>
      </c>
      <c r="C251" s="7" t="s">
        <v>2444</v>
      </c>
      <c r="D251" s="11" t="s">
        <v>180</v>
      </c>
      <c r="E251" s="45">
        <v>66.930000000000007</v>
      </c>
      <c r="F251" s="7" t="s">
        <v>2532</v>
      </c>
      <c r="G251" s="5" t="s">
        <v>2432</v>
      </c>
    </row>
    <row r="252" spans="1:7">
      <c r="A252" s="11" t="s">
        <v>2694</v>
      </c>
      <c r="B252" s="11" t="s">
        <v>2375</v>
      </c>
      <c r="C252" s="7" t="s">
        <v>1521</v>
      </c>
      <c r="D252" s="11" t="s">
        <v>169</v>
      </c>
      <c r="E252" s="45">
        <v>63.68</v>
      </c>
      <c r="F252" s="7" t="s">
        <v>1539</v>
      </c>
      <c r="G252" s="5" t="s">
        <v>2432</v>
      </c>
    </row>
    <row r="253" spans="1:7">
      <c r="A253" s="11" t="s">
        <v>2695</v>
      </c>
      <c r="B253" s="11" t="s">
        <v>2375</v>
      </c>
      <c r="C253" s="7" t="s">
        <v>1539</v>
      </c>
      <c r="D253" s="11" t="s">
        <v>2128</v>
      </c>
      <c r="E253" s="45">
        <v>67.58</v>
      </c>
      <c r="F253" s="7" t="s">
        <v>1548</v>
      </c>
      <c r="G253" s="5" t="s">
        <v>2432</v>
      </c>
    </row>
    <row r="254" spans="1:7">
      <c r="A254" s="11" t="s">
        <v>2696</v>
      </c>
      <c r="B254" s="11" t="s">
        <v>2376</v>
      </c>
      <c r="C254" s="7" t="s">
        <v>1583</v>
      </c>
      <c r="D254" s="11" t="s">
        <v>165</v>
      </c>
      <c r="E254" s="45">
        <v>64.33</v>
      </c>
      <c r="F254" s="7" t="s">
        <v>1660</v>
      </c>
      <c r="G254" s="5" t="s">
        <v>2432</v>
      </c>
    </row>
    <row r="255" spans="1:7">
      <c r="A255" s="11" t="s">
        <v>2697</v>
      </c>
      <c r="B255" s="11" t="s">
        <v>2376</v>
      </c>
      <c r="C255" s="7" t="s">
        <v>1655</v>
      </c>
      <c r="D255" s="11" t="s">
        <v>188</v>
      </c>
      <c r="E255" s="45">
        <v>68.23</v>
      </c>
      <c r="F255" s="7" t="s">
        <v>2429</v>
      </c>
      <c r="G255" s="5" t="s">
        <v>2432</v>
      </c>
    </row>
    <row r="256" spans="1:7">
      <c r="A256" s="11" t="s">
        <v>2698</v>
      </c>
      <c r="B256" s="11" t="s">
        <v>2376</v>
      </c>
      <c r="C256" s="7" t="s">
        <v>2426</v>
      </c>
      <c r="D256" s="11" t="s">
        <v>198</v>
      </c>
      <c r="E256" s="45">
        <v>64.98</v>
      </c>
      <c r="F256" s="7" t="s">
        <v>2513</v>
      </c>
      <c r="G256" s="5" t="s">
        <v>2442</v>
      </c>
    </row>
    <row r="257" spans="1:7">
      <c r="A257" s="11" t="s">
        <v>2699</v>
      </c>
      <c r="B257" s="11" t="s">
        <v>2377</v>
      </c>
      <c r="C257" s="7" t="s">
        <v>2429</v>
      </c>
      <c r="D257" s="11" t="s">
        <v>157</v>
      </c>
      <c r="E257" s="45">
        <v>61.73</v>
      </c>
      <c r="F257" s="7" t="s">
        <v>2437</v>
      </c>
      <c r="G257" s="5" t="s">
        <v>2442</v>
      </c>
    </row>
    <row r="258" spans="1:7">
      <c r="A258" s="11" t="s">
        <v>2700</v>
      </c>
      <c r="B258" s="11" t="s">
        <v>2377</v>
      </c>
      <c r="C258" s="7" t="s">
        <v>1557</v>
      </c>
      <c r="D258" s="11" t="s">
        <v>180</v>
      </c>
      <c r="E258" s="45">
        <v>65.63</v>
      </c>
      <c r="F258" s="7" t="s">
        <v>1583</v>
      </c>
      <c r="G258" s="5" t="s">
        <v>2442</v>
      </c>
    </row>
    <row r="259" spans="1:7">
      <c r="A259" s="11" t="s">
        <v>2701</v>
      </c>
      <c r="B259" s="11" t="s">
        <v>2377</v>
      </c>
      <c r="C259" s="7" t="s">
        <v>1581</v>
      </c>
      <c r="D259" s="11" t="s">
        <v>169</v>
      </c>
      <c r="E259" s="45">
        <v>62.38</v>
      </c>
      <c r="F259" s="7" t="s">
        <v>1561</v>
      </c>
      <c r="G259" s="5" t="s">
        <v>2442</v>
      </c>
    </row>
    <row r="260" spans="1:7">
      <c r="A260" s="11" t="s">
        <v>2702</v>
      </c>
      <c r="B260" s="11" t="s">
        <v>2378</v>
      </c>
      <c r="C260" s="7" t="s">
        <v>1552</v>
      </c>
      <c r="D260" s="11" t="s">
        <v>2128</v>
      </c>
      <c r="E260" s="45">
        <v>66.28</v>
      </c>
      <c r="F260" s="7" t="s">
        <v>2448</v>
      </c>
      <c r="G260" s="5" t="s">
        <v>2442</v>
      </c>
    </row>
    <row r="261" spans="1:7">
      <c r="A261" s="11" t="s">
        <v>2703</v>
      </c>
      <c r="B261" s="11" t="s">
        <v>2378</v>
      </c>
      <c r="C261" s="7" t="s">
        <v>1563</v>
      </c>
      <c r="D261" s="11" t="s">
        <v>165</v>
      </c>
      <c r="E261" s="45">
        <v>63.03</v>
      </c>
      <c r="F261" s="7" t="s">
        <v>2519</v>
      </c>
      <c r="G261" s="5" t="s">
        <v>2452</v>
      </c>
    </row>
    <row r="262" spans="1:7">
      <c r="A262" s="11" t="s">
        <v>2704</v>
      </c>
      <c r="B262" s="11" t="s">
        <v>2378</v>
      </c>
      <c r="C262" s="7" t="s">
        <v>2424</v>
      </c>
      <c r="D262" s="11" t="s">
        <v>188</v>
      </c>
      <c r="E262" s="45">
        <v>66.930000000000007</v>
      </c>
      <c r="F262" s="7" t="s">
        <v>2544</v>
      </c>
      <c r="G262" s="5" t="s">
        <v>2452</v>
      </c>
    </row>
    <row r="263" spans="1:7">
      <c r="A263" s="11" t="s">
        <v>2705</v>
      </c>
      <c r="B263" s="11" t="s">
        <v>2379</v>
      </c>
      <c r="C263" s="7" t="s">
        <v>1597</v>
      </c>
      <c r="D263" s="11" t="s">
        <v>198</v>
      </c>
      <c r="E263" s="45">
        <v>63.68</v>
      </c>
      <c r="F263" s="7" t="s">
        <v>1585</v>
      </c>
      <c r="G263" s="5" t="s">
        <v>2456</v>
      </c>
    </row>
    <row r="264" spans="1:7">
      <c r="A264" s="11" t="s">
        <v>2706</v>
      </c>
      <c r="B264" s="11" t="s">
        <v>2379</v>
      </c>
      <c r="C264" s="7" t="s">
        <v>1585</v>
      </c>
      <c r="D264" s="11" t="s">
        <v>157</v>
      </c>
      <c r="E264" s="45">
        <v>67.58</v>
      </c>
      <c r="F264" s="7" t="s">
        <v>1655</v>
      </c>
      <c r="G264" s="5" t="s">
        <v>2421</v>
      </c>
    </row>
    <row r="265" spans="1:7">
      <c r="A265" s="11" t="s">
        <v>2707</v>
      </c>
      <c r="B265" s="11" t="s">
        <v>2379</v>
      </c>
      <c r="C265" s="7" t="s">
        <v>1652</v>
      </c>
      <c r="D265" s="11" t="s">
        <v>180</v>
      </c>
      <c r="E265" s="45">
        <v>64.33</v>
      </c>
      <c r="F265" s="7" t="s">
        <v>2464</v>
      </c>
      <c r="G265" s="5" t="s">
        <v>2421</v>
      </c>
    </row>
    <row r="266" spans="1:7">
      <c r="A266" s="11" t="s">
        <v>2708</v>
      </c>
      <c r="B266" s="11" t="s">
        <v>2380</v>
      </c>
      <c r="C266" s="7" t="s">
        <v>1660</v>
      </c>
      <c r="D266" s="11" t="s">
        <v>169</v>
      </c>
      <c r="E266" s="45">
        <v>68.23</v>
      </c>
      <c r="F266" s="7" t="s">
        <v>2500</v>
      </c>
      <c r="G266" s="5" t="s">
        <v>2421</v>
      </c>
    </row>
    <row r="267" spans="1:7">
      <c r="A267" s="11" t="s">
        <v>2709</v>
      </c>
      <c r="B267" s="11" t="s">
        <v>2380</v>
      </c>
      <c r="C267" s="7" t="s">
        <v>2448</v>
      </c>
      <c r="D267" s="11" t="s">
        <v>2128</v>
      </c>
      <c r="E267" s="45">
        <v>64.98</v>
      </c>
      <c r="F267" s="7" t="s">
        <v>2526</v>
      </c>
      <c r="G267" s="5" t="s">
        <v>2421</v>
      </c>
    </row>
    <row r="268" spans="1:7">
      <c r="A268" s="11" t="s">
        <v>2710</v>
      </c>
      <c r="B268" s="11" t="s">
        <v>2380</v>
      </c>
      <c r="C268" s="7" t="s">
        <v>1559</v>
      </c>
      <c r="D268" s="11" t="s">
        <v>165</v>
      </c>
      <c r="E268" s="45">
        <v>61.73</v>
      </c>
      <c r="F268" s="7" t="s">
        <v>1615</v>
      </c>
      <c r="G268" s="5" t="s">
        <v>2421</v>
      </c>
    </row>
    <row r="269" spans="1:7">
      <c r="A269" s="11" t="s">
        <v>2711</v>
      </c>
      <c r="B269" s="11" t="s">
        <v>2381</v>
      </c>
      <c r="C269" s="7" t="s">
        <v>1707</v>
      </c>
      <c r="D269" s="11" t="s">
        <v>188</v>
      </c>
      <c r="E269" s="45">
        <v>65.63</v>
      </c>
      <c r="F269" s="7" t="s">
        <v>1652</v>
      </c>
      <c r="G269" s="5" t="s">
        <v>2421</v>
      </c>
    </row>
    <row r="270" spans="1:7">
      <c r="A270" s="11" t="s">
        <v>2712</v>
      </c>
      <c r="B270" s="11" t="s">
        <v>2381</v>
      </c>
      <c r="C270" s="7" t="s">
        <v>1589</v>
      </c>
      <c r="D270" s="11" t="s">
        <v>198</v>
      </c>
      <c r="E270" s="45">
        <v>62.38</v>
      </c>
      <c r="F270" s="7" t="s">
        <v>2426</v>
      </c>
      <c r="G270" s="5" t="s">
        <v>2432</v>
      </c>
    </row>
    <row r="271" spans="1:7">
      <c r="A271" s="11" t="s">
        <v>2713</v>
      </c>
      <c r="B271" s="11" t="s">
        <v>2381</v>
      </c>
      <c r="C271" s="7" t="s">
        <v>1600</v>
      </c>
      <c r="D271" s="11" t="s">
        <v>157</v>
      </c>
      <c r="E271" s="45">
        <v>66.28</v>
      </c>
      <c r="F271" s="7" t="s">
        <v>2506</v>
      </c>
      <c r="G271" s="5" t="s">
        <v>2432</v>
      </c>
    </row>
    <row r="272" spans="1:7">
      <c r="A272" s="11" t="s">
        <v>2714</v>
      </c>
      <c r="B272" s="11" t="s">
        <v>2382</v>
      </c>
      <c r="C272" s="7" t="s">
        <v>2435</v>
      </c>
      <c r="D272" s="11" t="s">
        <v>180</v>
      </c>
      <c r="E272" s="45">
        <v>63.03</v>
      </c>
      <c r="F272" s="7" t="s">
        <v>2532</v>
      </c>
      <c r="G272" s="5" t="s">
        <v>2432</v>
      </c>
    </row>
    <row r="273" spans="1:7">
      <c r="A273" s="11" t="s">
        <v>2715</v>
      </c>
      <c r="B273" s="11" t="s">
        <v>2382</v>
      </c>
      <c r="C273" s="7" t="s">
        <v>1529</v>
      </c>
      <c r="D273" s="11" t="s">
        <v>169</v>
      </c>
      <c r="E273" s="45">
        <v>66.930000000000007</v>
      </c>
      <c r="F273" s="7" t="s">
        <v>1552</v>
      </c>
      <c r="G273" s="5" t="s">
        <v>2432</v>
      </c>
    </row>
    <row r="274" spans="1:7">
      <c r="A274" s="11" t="s">
        <v>2716</v>
      </c>
      <c r="B274" s="11" t="s">
        <v>2382</v>
      </c>
      <c r="C274" s="7" t="s">
        <v>1615</v>
      </c>
      <c r="D274" s="11" t="s">
        <v>2128</v>
      </c>
      <c r="E274" s="45">
        <v>63.68</v>
      </c>
      <c r="F274" s="7" t="s">
        <v>1548</v>
      </c>
      <c r="G274" s="5" t="s">
        <v>2432</v>
      </c>
    </row>
    <row r="275" spans="1:7">
      <c r="A275" s="11" t="s">
        <v>2717</v>
      </c>
      <c r="B275" s="11" t="s">
        <v>2383</v>
      </c>
      <c r="C275" s="7" t="s">
        <v>1548</v>
      </c>
      <c r="D275" s="11" t="s">
        <v>165</v>
      </c>
      <c r="E275" s="45">
        <v>67.58</v>
      </c>
      <c r="F275" s="7" t="s">
        <v>1660</v>
      </c>
      <c r="G275" s="5" t="s">
        <v>2432</v>
      </c>
    </row>
    <row r="276" spans="1:7">
      <c r="A276" s="11" t="s">
        <v>2718</v>
      </c>
      <c r="B276" s="11" t="s">
        <v>2383</v>
      </c>
      <c r="C276" s="7" t="s">
        <v>1561</v>
      </c>
      <c r="D276" s="11" t="s">
        <v>188</v>
      </c>
      <c r="E276" s="45">
        <v>64.33</v>
      </c>
      <c r="F276" s="7" t="s">
        <v>2429</v>
      </c>
      <c r="G276" s="5" t="s">
        <v>2442</v>
      </c>
    </row>
    <row r="277" spans="1:7">
      <c r="A277" s="11" t="s">
        <v>2719</v>
      </c>
      <c r="B277" s="11" t="s">
        <v>2383</v>
      </c>
      <c r="C277" s="7" t="s">
        <v>2464</v>
      </c>
      <c r="D277" s="11" t="s">
        <v>198</v>
      </c>
      <c r="E277" s="45">
        <v>68.23</v>
      </c>
      <c r="F277" s="7" t="s">
        <v>2513</v>
      </c>
      <c r="G277" s="5" t="s">
        <v>2442</v>
      </c>
    </row>
    <row r="278" spans="1:7">
      <c r="A278" s="11" t="s">
        <v>2720</v>
      </c>
      <c r="B278" s="11" t="s">
        <v>2384</v>
      </c>
      <c r="C278" s="7" t="s">
        <v>1555</v>
      </c>
      <c r="D278" s="11" t="s">
        <v>157</v>
      </c>
      <c r="E278" s="45">
        <v>64.98</v>
      </c>
      <c r="F278" s="7" t="s">
        <v>1589</v>
      </c>
      <c r="G278" s="5" t="s">
        <v>2442</v>
      </c>
    </row>
    <row r="279" spans="1:7">
      <c r="A279" s="11" t="s">
        <v>2721</v>
      </c>
      <c r="B279" s="11" t="s">
        <v>2384</v>
      </c>
      <c r="C279" s="7" t="s">
        <v>1535</v>
      </c>
      <c r="D279" s="11" t="s">
        <v>180</v>
      </c>
      <c r="E279" s="45">
        <v>61.73</v>
      </c>
      <c r="F279" s="7" t="s">
        <v>1583</v>
      </c>
      <c r="G279" s="5" t="s">
        <v>2442</v>
      </c>
    </row>
    <row r="280" spans="1:7">
      <c r="A280" s="11" t="s">
        <v>2722</v>
      </c>
      <c r="B280" s="11" t="s">
        <v>2384</v>
      </c>
      <c r="C280" s="7" t="s">
        <v>1544</v>
      </c>
      <c r="D280" s="11" t="s">
        <v>169</v>
      </c>
      <c r="E280" s="45">
        <v>65.63</v>
      </c>
      <c r="F280" s="7" t="s">
        <v>1561</v>
      </c>
      <c r="G280" s="5" t="s">
        <v>2442</v>
      </c>
    </row>
    <row r="281" spans="1:7">
      <c r="A281" s="11" t="s">
        <v>2723</v>
      </c>
      <c r="B281" s="11" t="s">
        <v>2385</v>
      </c>
      <c r="C281" s="7" t="s">
        <v>1594</v>
      </c>
      <c r="D281" s="11" t="s">
        <v>2128</v>
      </c>
      <c r="E281" s="45">
        <v>62.38</v>
      </c>
      <c r="F281" s="7" t="s">
        <v>2448</v>
      </c>
      <c r="G281" s="5" t="s">
        <v>2452</v>
      </c>
    </row>
    <row r="282" spans="1:7">
      <c r="A282" s="11" t="s">
        <v>2724</v>
      </c>
      <c r="B282" s="11" t="s">
        <v>2385</v>
      </c>
      <c r="C282" s="7" t="s">
        <v>2444</v>
      </c>
      <c r="D282" s="11" t="s">
        <v>165</v>
      </c>
      <c r="E282" s="45">
        <v>66.28</v>
      </c>
      <c r="F282" s="7" t="s">
        <v>2519</v>
      </c>
      <c r="G282" s="5" t="s">
        <v>2452</v>
      </c>
    </row>
    <row r="283" spans="1:7">
      <c r="A283" s="11" t="s">
        <v>2725</v>
      </c>
      <c r="B283" s="11" t="s">
        <v>2385</v>
      </c>
      <c r="C283" s="7" t="s">
        <v>1521</v>
      </c>
      <c r="D283" s="11" t="s">
        <v>188</v>
      </c>
      <c r="E283" s="45">
        <v>63.03</v>
      </c>
      <c r="F283" s="7" t="s">
        <v>1544</v>
      </c>
      <c r="G283" s="5" t="s">
        <v>2456</v>
      </c>
    </row>
    <row r="284" spans="1:7">
      <c r="A284" s="11" t="s">
        <v>2726</v>
      </c>
      <c r="B284" s="11" t="s">
        <v>2386</v>
      </c>
      <c r="C284" s="7" t="s">
        <v>1539</v>
      </c>
      <c r="D284" s="11" t="s">
        <v>198</v>
      </c>
      <c r="E284" s="45">
        <v>66.930000000000007</v>
      </c>
      <c r="F284" s="7" t="s">
        <v>1600</v>
      </c>
      <c r="G284" s="5" t="s">
        <v>2421</v>
      </c>
    </row>
    <row r="285" spans="1:7">
      <c r="A285" s="11" t="s">
        <v>2727</v>
      </c>
      <c r="B285" s="11" t="s">
        <v>2386</v>
      </c>
      <c r="C285" s="7" t="s">
        <v>1583</v>
      </c>
      <c r="D285" s="11" t="s">
        <v>157</v>
      </c>
      <c r="E285" s="45">
        <v>63.68</v>
      </c>
      <c r="F285" s="7" t="s">
        <v>1655</v>
      </c>
      <c r="G285" s="5" t="s">
        <v>2421</v>
      </c>
    </row>
    <row r="286" spans="1:7">
      <c r="A286" s="11" t="s">
        <v>2728</v>
      </c>
      <c r="B286" s="11" t="s">
        <v>2386</v>
      </c>
      <c r="C286" s="7" t="s">
        <v>1655</v>
      </c>
      <c r="D286" s="11" t="s">
        <v>180</v>
      </c>
      <c r="E286" s="45">
        <v>67.58</v>
      </c>
      <c r="F286" s="7" t="s">
        <v>2464</v>
      </c>
      <c r="G286" s="5" t="s">
        <v>2421</v>
      </c>
    </row>
    <row r="287" spans="1:7">
      <c r="A287" s="11" t="s">
        <v>2729</v>
      </c>
      <c r="B287" s="11" t="s">
        <v>2387</v>
      </c>
      <c r="C287" s="7" t="s">
        <v>2426</v>
      </c>
      <c r="D287" s="11" t="s">
        <v>169</v>
      </c>
      <c r="E287" s="45">
        <v>64.33</v>
      </c>
      <c r="F287" s="7" t="s">
        <v>2500</v>
      </c>
      <c r="G287" s="5" t="s">
        <v>2421</v>
      </c>
    </row>
    <row r="288" spans="1:7">
      <c r="A288" s="11" t="s">
        <v>2730</v>
      </c>
      <c r="B288" s="11" t="s">
        <v>2387</v>
      </c>
      <c r="C288" s="7" t="s">
        <v>2429</v>
      </c>
      <c r="D288" s="11" t="s">
        <v>2128</v>
      </c>
      <c r="E288" s="45">
        <v>68.23</v>
      </c>
      <c r="F288" s="7" t="s">
        <v>2526</v>
      </c>
      <c r="G288" s="5" t="s">
        <v>2421</v>
      </c>
    </row>
    <row r="289" spans="1:7">
      <c r="A289" s="11" t="s">
        <v>2731</v>
      </c>
      <c r="B289" s="11" t="s">
        <v>2387</v>
      </c>
      <c r="C289" s="7" t="s">
        <v>1557</v>
      </c>
      <c r="D289" s="11" t="s">
        <v>165</v>
      </c>
      <c r="E289" s="45">
        <v>64.98</v>
      </c>
      <c r="F289" s="7" t="s">
        <v>1594</v>
      </c>
      <c r="G289" s="5" t="s">
        <v>2421</v>
      </c>
    </row>
    <row r="290" spans="1:7">
      <c r="A290" s="11" t="s">
        <v>2732</v>
      </c>
      <c r="B290" s="11" t="s">
        <v>2388</v>
      </c>
      <c r="C290" s="7" t="s">
        <v>1581</v>
      </c>
      <c r="D290" s="11" t="s">
        <v>188</v>
      </c>
      <c r="E290" s="45">
        <v>61.73</v>
      </c>
      <c r="F290" s="7" t="s">
        <v>1652</v>
      </c>
      <c r="G290" s="5" t="s">
        <v>2432</v>
      </c>
    </row>
    <row r="291" spans="1:7">
      <c r="A291" s="11" t="s">
        <v>2733</v>
      </c>
      <c r="B291" s="11" t="s">
        <v>2388</v>
      </c>
      <c r="C291" s="7" t="s">
        <v>1552</v>
      </c>
      <c r="D291" s="11" t="s">
        <v>198</v>
      </c>
      <c r="E291" s="45">
        <v>65.63</v>
      </c>
      <c r="F291" s="7" t="s">
        <v>2426</v>
      </c>
      <c r="G291" s="5" t="s">
        <v>2432</v>
      </c>
    </row>
    <row r="292" spans="1:7">
      <c r="A292" s="11" t="s">
        <v>2734</v>
      </c>
      <c r="B292" s="11" t="s">
        <v>2388</v>
      </c>
      <c r="C292" s="7" t="s">
        <v>1563</v>
      </c>
      <c r="D292" s="11" t="s">
        <v>157</v>
      </c>
      <c r="E292" s="45">
        <v>62.38</v>
      </c>
      <c r="F292" s="7" t="s">
        <v>2506</v>
      </c>
      <c r="G292" s="5" t="s">
        <v>2432</v>
      </c>
    </row>
    <row r="293" spans="1:7">
      <c r="A293" s="11" t="s">
        <v>2735</v>
      </c>
      <c r="B293" s="11" t="s">
        <v>2389</v>
      </c>
      <c r="C293" s="7" t="s">
        <v>2424</v>
      </c>
      <c r="D293" s="11" t="s">
        <v>180</v>
      </c>
      <c r="E293" s="45">
        <v>66.28</v>
      </c>
      <c r="F293" s="7" t="s">
        <v>2532</v>
      </c>
      <c r="G293" s="5" t="s">
        <v>2432</v>
      </c>
    </row>
    <row r="294" spans="1:7">
      <c r="A294" s="11" t="s">
        <v>2736</v>
      </c>
      <c r="B294" s="11" t="s">
        <v>2389</v>
      </c>
      <c r="C294" s="7" t="s">
        <v>1597</v>
      </c>
      <c r="D294" s="11" t="s">
        <v>169</v>
      </c>
      <c r="E294" s="45">
        <v>63.03</v>
      </c>
      <c r="F294" s="7" t="s">
        <v>1552</v>
      </c>
      <c r="G294" s="5" t="s">
        <v>2432</v>
      </c>
    </row>
    <row r="295" spans="1:7">
      <c r="A295" s="11" t="s">
        <v>2737</v>
      </c>
      <c r="B295" s="11" t="s">
        <v>2389</v>
      </c>
      <c r="C295" s="7" t="s">
        <v>1585</v>
      </c>
      <c r="D295" s="11" t="s">
        <v>2128</v>
      </c>
      <c r="E295" s="45">
        <v>66.930000000000007</v>
      </c>
      <c r="F295" s="7" t="s">
        <v>2444</v>
      </c>
      <c r="G295" s="5" t="s">
        <v>2432</v>
      </c>
    </row>
    <row r="296" spans="1:7">
      <c r="A296" s="11" t="s">
        <v>2738</v>
      </c>
      <c r="B296" s="11" t="s">
        <v>2390</v>
      </c>
      <c r="C296" s="7" t="s">
        <v>1652</v>
      </c>
      <c r="D296" s="11" t="s">
        <v>165</v>
      </c>
      <c r="E296" s="45">
        <v>63.68</v>
      </c>
      <c r="F296" s="7" t="s">
        <v>1660</v>
      </c>
      <c r="G296" s="5" t="s">
        <v>2442</v>
      </c>
    </row>
    <row r="297" spans="1:7">
      <c r="A297" s="11" t="s">
        <v>2739</v>
      </c>
      <c r="B297" s="11" t="s">
        <v>2390</v>
      </c>
      <c r="C297" s="7" t="s">
        <v>1660</v>
      </c>
      <c r="D297" s="11" t="s">
        <v>188</v>
      </c>
      <c r="E297" s="45">
        <v>67.58</v>
      </c>
      <c r="F297" s="7" t="s">
        <v>2429</v>
      </c>
      <c r="G297" s="5" t="s">
        <v>2442</v>
      </c>
    </row>
    <row r="298" spans="1:7">
      <c r="A298" s="11" t="s">
        <v>2740</v>
      </c>
      <c r="B298" s="11" t="s">
        <v>2390</v>
      </c>
      <c r="C298" s="7" t="s">
        <v>2448</v>
      </c>
      <c r="D298" s="11" t="s">
        <v>198</v>
      </c>
      <c r="E298" s="45">
        <v>64.33</v>
      </c>
      <c r="F298" s="7" t="s">
        <v>2513</v>
      </c>
      <c r="G298" s="5" t="s">
        <v>2442</v>
      </c>
    </row>
    <row r="299" spans="1:7">
      <c r="A299" s="11" t="s">
        <v>2741</v>
      </c>
      <c r="B299" s="11" t="s">
        <v>2391</v>
      </c>
      <c r="C299" s="7" t="s">
        <v>1559</v>
      </c>
      <c r="D299" s="11" t="s">
        <v>157</v>
      </c>
      <c r="E299" s="45">
        <v>68.23</v>
      </c>
      <c r="F299" s="7" t="s">
        <v>1589</v>
      </c>
      <c r="G299" s="5" t="s">
        <v>2442</v>
      </c>
    </row>
    <row r="300" spans="1:7">
      <c r="A300" s="11" t="s">
        <v>2742</v>
      </c>
      <c r="B300" s="11" t="s">
        <v>2391</v>
      </c>
      <c r="C300" s="7" t="s">
        <v>1707</v>
      </c>
      <c r="D300" s="11" t="s">
        <v>180</v>
      </c>
      <c r="E300" s="45">
        <v>64.98</v>
      </c>
      <c r="F300" s="7" t="s">
        <v>1563</v>
      </c>
      <c r="G300" s="5" t="s">
        <v>2442</v>
      </c>
    </row>
    <row r="301" spans="1:7">
      <c r="A301" s="11" t="s">
        <v>2743</v>
      </c>
      <c r="B301" s="11" t="s">
        <v>2391</v>
      </c>
      <c r="C301" s="7" t="s">
        <v>1589</v>
      </c>
      <c r="D301" s="11" t="s">
        <v>169</v>
      </c>
      <c r="E301" s="45">
        <v>61.73</v>
      </c>
      <c r="F301" s="7" t="s">
        <v>1561</v>
      </c>
      <c r="G301" s="5" t="s">
        <v>2452</v>
      </c>
    </row>
    <row r="302" spans="1:7">
      <c r="A302" s="11" t="s">
        <v>2744</v>
      </c>
      <c r="B302" s="11" t="s">
        <v>2392</v>
      </c>
      <c r="C302" s="7" t="s">
        <v>1600</v>
      </c>
      <c r="D302" s="11" t="s">
        <v>2128</v>
      </c>
      <c r="E302" s="45">
        <v>65.63</v>
      </c>
      <c r="F302" s="7" t="s">
        <v>2448</v>
      </c>
      <c r="G302" s="5" t="s">
        <v>2452</v>
      </c>
    </row>
    <row r="303" spans="1:7">
      <c r="A303" s="11" t="s">
        <v>2745</v>
      </c>
      <c r="B303" s="11" t="s">
        <v>2392</v>
      </c>
      <c r="C303" s="7" t="s">
        <v>2435</v>
      </c>
      <c r="D303" s="11" t="s">
        <v>165</v>
      </c>
      <c r="E303" s="45">
        <v>62.38</v>
      </c>
      <c r="F303" s="7" t="s">
        <v>2519</v>
      </c>
      <c r="G303" s="5" t="s">
        <v>2456</v>
      </c>
    </row>
    <row r="304" spans="1:7">
      <c r="A304" s="11" t="s">
        <v>2746</v>
      </c>
      <c r="B304" s="11" t="s">
        <v>2392</v>
      </c>
      <c r="C304" s="7" t="s">
        <v>1529</v>
      </c>
      <c r="D304" s="11" t="s">
        <v>188</v>
      </c>
      <c r="E304" s="45">
        <v>66.28</v>
      </c>
      <c r="F304" s="7" t="s">
        <v>1544</v>
      </c>
      <c r="G304" s="5" t="s">
        <v>2421</v>
      </c>
    </row>
    <row r="305" spans="1:7">
      <c r="A305" s="11" t="s">
        <v>2747</v>
      </c>
      <c r="B305" s="11" t="s">
        <v>2393</v>
      </c>
      <c r="C305" s="7" t="s">
        <v>1615</v>
      </c>
      <c r="D305" s="11" t="s">
        <v>198</v>
      </c>
      <c r="E305" s="45">
        <v>63.03</v>
      </c>
      <c r="F305" s="7" t="s">
        <v>1600</v>
      </c>
      <c r="G305" s="5" t="s">
        <v>2421</v>
      </c>
    </row>
    <row r="306" spans="1:7">
      <c r="A306" s="11" t="s">
        <v>2748</v>
      </c>
      <c r="B306" s="11" t="s">
        <v>2393</v>
      </c>
      <c r="C306" s="7" t="s">
        <v>1548</v>
      </c>
      <c r="D306" s="11" t="s">
        <v>157</v>
      </c>
      <c r="E306" s="45">
        <v>66.930000000000007</v>
      </c>
      <c r="F306" s="7" t="s">
        <v>2424</v>
      </c>
      <c r="G306" s="5" t="s">
        <v>2421</v>
      </c>
    </row>
    <row r="307" spans="1:7">
      <c r="A307" s="11" t="s">
        <v>2749</v>
      </c>
      <c r="B307" s="11" t="s">
        <v>2393</v>
      </c>
      <c r="C307" s="7" t="s">
        <v>1561</v>
      </c>
      <c r="D307" s="11" t="s">
        <v>180</v>
      </c>
      <c r="E307" s="45">
        <v>63.68</v>
      </c>
      <c r="F307" s="7" t="s">
        <v>2464</v>
      </c>
      <c r="G307" s="5" t="s">
        <v>2421</v>
      </c>
    </row>
    <row r="308" spans="1:7">
      <c r="A308" s="11" t="s">
        <v>2750</v>
      </c>
      <c r="B308" s="11" t="s">
        <v>2394</v>
      </c>
      <c r="C308" s="7" t="s">
        <v>2464</v>
      </c>
      <c r="D308" s="11" t="s">
        <v>169</v>
      </c>
      <c r="E308" s="45">
        <v>67.58</v>
      </c>
      <c r="F308" s="7" t="s">
        <v>2500</v>
      </c>
      <c r="G308" s="5" t="s">
        <v>2421</v>
      </c>
    </row>
    <row r="309" spans="1:7">
      <c r="A309" s="11" t="s">
        <v>2751</v>
      </c>
      <c r="B309" s="11" t="s">
        <v>2394</v>
      </c>
      <c r="C309" s="7" t="s">
        <v>1555</v>
      </c>
      <c r="D309" s="11" t="s">
        <v>2128</v>
      </c>
      <c r="E309" s="45">
        <v>64.33</v>
      </c>
      <c r="F309" s="7" t="s">
        <v>1581</v>
      </c>
      <c r="G309" s="5" t="s">
        <v>2421</v>
      </c>
    </row>
    <row r="310" spans="1:7">
      <c r="A310" s="11" t="s">
        <v>2752</v>
      </c>
      <c r="B310" s="11" t="s">
        <v>2394</v>
      </c>
      <c r="C310" s="7" t="s">
        <v>1535</v>
      </c>
      <c r="D310" s="11" t="s">
        <v>165</v>
      </c>
      <c r="E310" s="45">
        <v>68.23</v>
      </c>
      <c r="F310" s="7" t="s">
        <v>1594</v>
      </c>
      <c r="G310" s="5" t="s">
        <v>2432</v>
      </c>
    </row>
    <row r="311" spans="1:7">
      <c r="A311" s="11" t="s">
        <v>2753</v>
      </c>
      <c r="B311" s="11" t="s">
        <v>2395</v>
      </c>
      <c r="C311" s="7" t="s">
        <v>1544</v>
      </c>
      <c r="D311" s="11" t="s">
        <v>188</v>
      </c>
      <c r="E311" s="45">
        <v>64.98</v>
      </c>
      <c r="F311" s="7" t="s">
        <v>2435</v>
      </c>
      <c r="G311" s="5" t="s">
        <v>2432</v>
      </c>
    </row>
    <row r="312" spans="1:7">
      <c r="A312" s="11" t="s">
        <v>2754</v>
      </c>
      <c r="B312" s="11" t="s">
        <v>2395</v>
      </c>
      <c r="C312" s="7" t="s">
        <v>1594</v>
      </c>
      <c r="D312" s="11" t="s">
        <v>198</v>
      </c>
      <c r="E312" s="45">
        <v>61.73</v>
      </c>
      <c r="F312" s="7" t="s">
        <v>2426</v>
      </c>
      <c r="G312" s="5" t="s">
        <v>2432</v>
      </c>
    </row>
    <row r="313" spans="1:7">
      <c r="A313" s="11" t="s">
        <v>2755</v>
      </c>
      <c r="B313" s="11" t="s">
        <v>2395</v>
      </c>
      <c r="C313" s="7" t="s">
        <v>2444</v>
      </c>
      <c r="D313" s="11" t="s">
        <v>157</v>
      </c>
      <c r="E313" s="45">
        <v>65.63</v>
      </c>
      <c r="F313" s="7" t="s">
        <v>2506</v>
      </c>
      <c r="G313" s="5" t="s">
        <v>2432</v>
      </c>
    </row>
    <row r="314" spans="1:7">
      <c r="A314" s="11" t="s">
        <v>2756</v>
      </c>
      <c r="B314" s="11" t="s">
        <v>2396</v>
      </c>
      <c r="C314" s="7" t="s">
        <v>1521</v>
      </c>
      <c r="D314" s="11" t="s">
        <v>180</v>
      </c>
      <c r="E314" s="45">
        <v>62.38</v>
      </c>
      <c r="F314" s="7" t="s">
        <v>1707</v>
      </c>
      <c r="G314" s="5" t="s">
        <v>2432</v>
      </c>
    </row>
    <row r="315" spans="1:7">
      <c r="A315" s="11" t="s">
        <v>2757</v>
      </c>
      <c r="B315" s="11" t="s">
        <v>2396</v>
      </c>
      <c r="C315" s="7" t="s">
        <v>1539</v>
      </c>
      <c r="D315" s="11" t="s">
        <v>169</v>
      </c>
      <c r="E315" s="45">
        <v>66.28</v>
      </c>
      <c r="F315" s="7" t="s">
        <v>1552</v>
      </c>
      <c r="G315" s="5" t="s">
        <v>2432</v>
      </c>
    </row>
    <row r="316" spans="1:7">
      <c r="A316" s="11" t="s">
        <v>2758</v>
      </c>
      <c r="B316" s="11" t="s">
        <v>2396</v>
      </c>
      <c r="C316" s="7" t="s">
        <v>1583</v>
      </c>
      <c r="D316" s="11" t="s">
        <v>2128</v>
      </c>
      <c r="E316" s="45">
        <v>63.03</v>
      </c>
      <c r="F316" s="7" t="s">
        <v>2444</v>
      </c>
      <c r="G316" s="5" t="s">
        <v>2442</v>
      </c>
    </row>
    <row r="317" spans="1:7">
      <c r="A317" s="11" t="s">
        <v>2759</v>
      </c>
      <c r="B317" s="11" t="s">
        <v>2397</v>
      </c>
      <c r="C317" s="7" t="s">
        <v>1655</v>
      </c>
      <c r="D317" s="11" t="s">
        <v>165</v>
      </c>
      <c r="E317" s="45">
        <v>66.930000000000007</v>
      </c>
      <c r="F317" s="7" t="s">
        <v>2446</v>
      </c>
      <c r="G317" s="5" t="s">
        <v>2442</v>
      </c>
    </row>
    <row r="318" spans="1:7">
      <c r="A318" s="11" t="s">
        <v>2760</v>
      </c>
      <c r="B318" s="11" t="s">
        <v>2397</v>
      </c>
      <c r="C318" s="7" t="s">
        <v>2426</v>
      </c>
      <c r="D318" s="11" t="s">
        <v>188</v>
      </c>
      <c r="E318" s="45">
        <v>63.68</v>
      </c>
      <c r="F318" s="7" t="s">
        <v>2429</v>
      </c>
      <c r="G318" s="5" t="s">
        <v>2442</v>
      </c>
    </row>
    <row r="319" spans="1:7">
      <c r="A319" s="11" t="s">
        <v>2761</v>
      </c>
      <c r="B319" s="11" t="s">
        <v>2397</v>
      </c>
      <c r="C319" s="7" t="s">
        <v>2429</v>
      </c>
      <c r="D319" s="11" t="s">
        <v>198</v>
      </c>
      <c r="E319" s="45">
        <v>67.58</v>
      </c>
      <c r="F319" s="7" t="s">
        <v>2513</v>
      </c>
      <c r="G319" s="5" t="s">
        <v>2442</v>
      </c>
    </row>
    <row r="320" spans="1:7">
      <c r="A320" s="11" t="s">
        <v>2762</v>
      </c>
      <c r="B320" s="11" t="s">
        <v>2398</v>
      </c>
      <c r="C320" s="7" t="s">
        <v>1557</v>
      </c>
      <c r="D320" s="11" t="s">
        <v>157</v>
      </c>
      <c r="E320" s="45">
        <v>64.33</v>
      </c>
      <c r="F320" s="7" t="s">
        <v>1589</v>
      </c>
      <c r="G320" s="5" t="s">
        <v>2442</v>
      </c>
    </row>
    <row r="321" spans="1:7">
      <c r="A321" s="11" t="s">
        <v>2763</v>
      </c>
      <c r="B321" s="11" t="s">
        <v>2398</v>
      </c>
      <c r="C321" s="7" t="s">
        <v>1581</v>
      </c>
      <c r="D321" s="11" t="s">
        <v>180</v>
      </c>
      <c r="E321" s="45">
        <v>68.23</v>
      </c>
      <c r="F321" s="7" t="s">
        <v>1563</v>
      </c>
      <c r="G321" s="5" t="s">
        <v>2452</v>
      </c>
    </row>
    <row r="322" spans="1:7">
      <c r="A322" s="11" t="s">
        <v>2764</v>
      </c>
      <c r="B322" s="11" t="s">
        <v>2398</v>
      </c>
      <c r="C322" s="7" t="s">
        <v>1552</v>
      </c>
      <c r="D322" s="11" t="s">
        <v>169</v>
      </c>
      <c r="E322" s="45">
        <v>64.98</v>
      </c>
      <c r="F322" s="7" t="s">
        <v>2455</v>
      </c>
      <c r="G322" s="5" t="s">
        <v>2452</v>
      </c>
    </row>
    <row r="323" spans="1:7">
      <c r="A323" s="11" t="s">
        <v>2765</v>
      </c>
      <c r="B323" s="11" t="s">
        <v>2399</v>
      </c>
      <c r="C323" s="7" t="s">
        <v>1563</v>
      </c>
      <c r="D323" s="11" t="s">
        <v>2128</v>
      </c>
      <c r="E323" s="45">
        <v>61.73</v>
      </c>
      <c r="F323" s="7" t="s">
        <v>2448</v>
      </c>
      <c r="G323" s="5" t="s">
        <v>2456</v>
      </c>
    </row>
    <row r="324" spans="1:7">
      <c r="A324" s="11" t="s">
        <v>2766</v>
      </c>
      <c r="B324" s="11" t="s">
        <v>2399</v>
      </c>
      <c r="C324" s="7" t="s">
        <v>2424</v>
      </c>
      <c r="D324" s="11" t="s">
        <v>165</v>
      </c>
      <c r="E324" s="45">
        <v>65.63</v>
      </c>
      <c r="F324" s="7" t="s">
        <v>2519</v>
      </c>
      <c r="G324" s="5" t="s">
        <v>2421</v>
      </c>
    </row>
    <row r="325" spans="1:7">
      <c r="A325" s="11" t="s">
        <v>2767</v>
      </c>
      <c r="B325" s="11" t="s">
        <v>2399</v>
      </c>
      <c r="C325" s="7" t="s">
        <v>1597</v>
      </c>
      <c r="D325" s="11" t="s">
        <v>188</v>
      </c>
      <c r="E325" s="45">
        <v>62.38</v>
      </c>
      <c r="F325" s="7" t="s">
        <v>1544</v>
      </c>
      <c r="G325" s="5" t="s">
        <v>2421</v>
      </c>
    </row>
    <row r="326" spans="1:7">
      <c r="A326" s="11" t="s">
        <v>2768</v>
      </c>
      <c r="B326" s="11" t="s">
        <v>2400</v>
      </c>
      <c r="C326" s="7" t="s">
        <v>1585</v>
      </c>
      <c r="D326" s="11" t="s">
        <v>198</v>
      </c>
      <c r="E326" s="45">
        <v>66.28</v>
      </c>
      <c r="F326" s="7" t="s">
        <v>1600</v>
      </c>
      <c r="G326" s="5" t="s">
        <v>2421</v>
      </c>
    </row>
    <row r="327" spans="1:7">
      <c r="A327" s="11" t="s">
        <v>2769</v>
      </c>
      <c r="B327" s="11" t="s">
        <v>2400</v>
      </c>
      <c r="C327" s="7" t="s">
        <v>1652</v>
      </c>
      <c r="D327" s="11" t="s">
        <v>157</v>
      </c>
      <c r="E327" s="45">
        <v>63.03</v>
      </c>
      <c r="F327" s="7" t="s">
        <v>2424</v>
      </c>
      <c r="G327" s="5" t="s">
        <v>2421</v>
      </c>
    </row>
    <row r="328" spans="1:7">
      <c r="A328" s="11" t="s">
        <v>2770</v>
      </c>
      <c r="B328" s="11" t="s">
        <v>2400</v>
      </c>
      <c r="C328" s="7" t="s">
        <v>1660</v>
      </c>
      <c r="D328" s="11" t="s">
        <v>180</v>
      </c>
      <c r="E328" s="45">
        <v>66.930000000000007</v>
      </c>
      <c r="F328" s="7" t="s">
        <v>2427</v>
      </c>
      <c r="G328" s="5" t="s">
        <v>2421</v>
      </c>
    </row>
    <row r="329" spans="1:7">
      <c r="A329" s="11" t="s">
        <v>2771</v>
      </c>
      <c r="B329" s="11" t="s">
        <v>2401</v>
      </c>
      <c r="C329" s="7" t="s">
        <v>2448</v>
      </c>
      <c r="D329" s="11" t="s">
        <v>169</v>
      </c>
      <c r="E329" s="45">
        <v>63.68</v>
      </c>
      <c r="F329" s="7" t="s">
        <v>2500</v>
      </c>
      <c r="G329" s="5" t="s">
        <v>2421</v>
      </c>
    </row>
    <row r="330" spans="1:7">
      <c r="A330" s="11" t="s">
        <v>2772</v>
      </c>
      <c r="B330" s="11" t="s">
        <v>2401</v>
      </c>
      <c r="C330" s="7" t="s">
        <v>1559</v>
      </c>
      <c r="D330" s="11" t="s">
        <v>2128</v>
      </c>
      <c r="E330" s="45">
        <v>67.58</v>
      </c>
      <c r="F330" s="7" t="s">
        <v>1581</v>
      </c>
      <c r="G330" s="5" t="s">
        <v>2432</v>
      </c>
    </row>
    <row r="331" spans="1:7">
      <c r="A331" s="11" t="s">
        <v>2773</v>
      </c>
      <c r="B331" s="11" t="s">
        <v>2401</v>
      </c>
      <c r="C331" s="7" t="s">
        <v>1707</v>
      </c>
      <c r="D331" s="11" t="s">
        <v>165</v>
      </c>
      <c r="E331" s="45">
        <v>64.33</v>
      </c>
      <c r="F331" s="7" t="s">
        <v>1594</v>
      </c>
      <c r="G331" s="5" t="s">
        <v>2432</v>
      </c>
    </row>
    <row r="332" spans="1:7">
      <c r="A332" s="11" t="s">
        <v>2774</v>
      </c>
      <c r="B332" s="11" t="s">
        <v>2402</v>
      </c>
      <c r="C332" s="7" t="s">
        <v>1589</v>
      </c>
      <c r="D332" s="11" t="s">
        <v>188</v>
      </c>
      <c r="E332" s="45">
        <v>68.23</v>
      </c>
      <c r="F332" s="7" t="s">
        <v>2435</v>
      </c>
      <c r="G332" s="5" t="s">
        <v>2432</v>
      </c>
    </row>
    <row r="333" spans="1:7">
      <c r="A333" s="11" t="s">
        <v>2775</v>
      </c>
      <c r="B333" s="11" t="s">
        <v>2402</v>
      </c>
      <c r="C333" s="7" t="s">
        <v>1600</v>
      </c>
      <c r="D333" s="11" t="s">
        <v>198</v>
      </c>
      <c r="E333" s="45">
        <v>64.98</v>
      </c>
      <c r="F333" s="7" t="s">
        <v>2437</v>
      </c>
      <c r="G333" s="5" t="s">
        <v>2432</v>
      </c>
    </row>
    <row r="334" spans="1:7">
      <c r="A334" s="11" t="s">
        <v>2776</v>
      </c>
      <c r="B334" s="11" t="s">
        <v>2402</v>
      </c>
      <c r="C334" s="7" t="s">
        <v>2435</v>
      </c>
      <c r="D334" s="11" t="s">
        <v>157</v>
      </c>
      <c r="E334" s="45">
        <v>61.73</v>
      </c>
      <c r="F334" s="7" t="s">
        <v>2506</v>
      </c>
      <c r="G334" s="5" t="s">
        <v>2432</v>
      </c>
    </row>
    <row r="335" spans="1:7">
      <c r="A335" s="11" t="s">
        <v>2777</v>
      </c>
      <c r="B335" s="11" t="s">
        <v>2403</v>
      </c>
      <c r="C335" s="7" t="s">
        <v>1529</v>
      </c>
      <c r="D335" s="11" t="s">
        <v>180</v>
      </c>
      <c r="E335" s="45">
        <v>65.63</v>
      </c>
      <c r="F335" s="7" t="s">
        <v>1707</v>
      </c>
      <c r="G335" s="5" t="s">
        <v>2432</v>
      </c>
    </row>
    <row r="336" spans="1:7">
      <c r="A336" s="11" t="s">
        <v>2778</v>
      </c>
      <c r="B336" s="11" t="s">
        <v>2403</v>
      </c>
      <c r="C336" s="7" t="s">
        <v>1615</v>
      </c>
      <c r="D336" s="11" t="s">
        <v>169</v>
      </c>
      <c r="E336" s="45">
        <v>62.38</v>
      </c>
      <c r="F336" s="7" t="s">
        <v>1552</v>
      </c>
      <c r="G336" s="5" t="s">
        <v>2442</v>
      </c>
    </row>
    <row r="337" spans="1:7">
      <c r="A337" s="11" t="s">
        <v>2779</v>
      </c>
      <c r="B337" s="11" t="s">
        <v>2403</v>
      </c>
      <c r="C337" s="7" t="s">
        <v>1548</v>
      </c>
      <c r="D337" s="11" t="s">
        <v>2128</v>
      </c>
      <c r="E337" s="45">
        <v>66.28</v>
      </c>
      <c r="F337" s="7" t="s">
        <v>2444</v>
      </c>
      <c r="G337" s="5" t="s">
        <v>2442</v>
      </c>
    </row>
    <row r="338" spans="1:7">
      <c r="A338" s="11" t="s">
        <v>2780</v>
      </c>
      <c r="B338" s="11" t="s">
        <v>2404</v>
      </c>
      <c r="C338" s="7" t="s">
        <v>1561</v>
      </c>
      <c r="D338" s="11" t="s">
        <v>165</v>
      </c>
      <c r="E338" s="45">
        <v>63.03</v>
      </c>
      <c r="F338" s="7" t="s">
        <v>2446</v>
      </c>
      <c r="G338" s="5" t="s">
        <v>2442</v>
      </c>
    </row>
    <row r="339" spans="1:7">
      <c r="A339" s="11" t="s">
        <v>2781</v>
      </c>
      <c r="B339" s="11" t="s">
        <v>2404</v>
      </c>
      <c r="C339" s="7" t="s">
        <v>2464</v>
      </c>
      <c r="D339" s="11" t="s">
        <v>188</v>
      </c>
      <c r="E339" s="45">
        <v>66.930000000000007</v>
      </c>
      <c r="F339" s="7" t="s">
        <v>2449</v>
      </c>
      <c r="G339" s="5" t="s">
        <v>2442</v>
      </c>
    </row>
    <row r="340" spans="1:7">
      <c r="A340" s="11" t="s">
        <v>2782</v>
      </c>
      <c r="B340" s="11" t="s">
        <v>2404</v>
      </c>
      <c r="C340" s="7" t="s">
        <v>1555</v>
      </c>
      <c r="D340" s="11" t="s">
        <v>198</v>
      </c>
      <c r="E340" s="45">
        <v>63.68</v>
      </c>
      <c r="F340" s="7" t="s">
        <v>1535</v>
      </c>
      <c r="G340" s="5" t="s">
        <v>2442</v>
      </c>
    </row>
    <row r="341" spans="1:7">
      <c r="A341" s="11" t="s">
        <v>2783</v>
      </c>
      <c r="B341" s="11" t="s">
        <v>2405</v>
      </c>
      <c r="C341" s="7" t="s">
        <v>1535</v>
      </c>
      <c r="D341" s="11" t="s">
        <v>157</v>
      </c>
      <c r="E341" s="45">
        <v>67.58</v>
      </c>
      <c r="F341" s="7" t="s">
        <v>1589</v>
      </c>
      <c r="G341" s="5" t="s">
        <v>2452</v>
      </c>
    </row>
    <row r="342" spans="1:7">
      <c r="A342" s="11" t="s">
        <v>2784</v>
      </c>
      <c r="B342" s="11" t="s">
        <v>2405</v>
      </c>
      <c r="C342" s="7" t="s">
        <v>1544</v>
      </c>
      <c r="D342" s="11" t="s">
        <v>180</v>
      </c>
      <c r="E342" s="45">
        <v>64.33</v>
      </c>
      <c r="F342" s="7" t="s">
        <v>1563</v>
      </c>
      <c r="G342" s="5" t="s">
        <v>2452</v>
      </c>
    </row>
    <row r="343" spans="1:7">
      <c r="A343" s="11" t="s">
        <v>2785</v>
      </c>
      <c r="B343" s="11" t="s">
        <v>2405</v>
      </c>
      <c r="C343" s="7" t="s">
        <v>1594</v>
      </c>
      <c r="D343" s="11" t="s">
        <v>169</v>
      </c>
      <c r="E343" s="45">
        <v>68.23</v>
      </c>
      <c r="F343" s="7" t="s">
        <v>2455</v>
      </c>
      <c r="G343" s="5" t="s">
        <v>2456</v>
      </c>
    </row>
    <row r="344" spans="1:7">
      <c r="A344" s="11" t="s">
        <v>2786</v>
      </c>
      <c r="B344" s="11" t="s">
        <v>2406</v>
      </c>
      <c r="C344" s="7" t="s">
        <v>2444</v>
      </c>
      <c r="D344" s="11" t="s">
        <v>2128</v>
      </c>
      <c r="E344" s="45">
        <v>64.98</v>
      </c>
      <c r="F344" s="7" t="s">
        <v>2458</v>
      </c>
      <c r="G344" s="5" t="s">
        <v>2421</v>
      </c>
    </row>
    <row r="345" spans="1:7">
      <c r="A345" s="11" t="s">
        <v>2787</v>
      </c>
      <c r="B345" s="11" t="s">
        <v>2406</v>
      </c>
      <c r="C345" s="7" t="s">
        <v>1521</v>
      </c>
      <c r="D345" s="11" t="s">
        <v>165</v>
      </c>
      <c r="E345" s="45">
        <v>61.73</v>
      </c>
      <c r="F345" s="7" t="s">
        <v>1557</v>
      </c>
      <c r="G345" s="5" t="s">
        <v>2421</v>
      </c>
    </row>
    <row r="346" spans="1:7">
      <c r="A346" s="11" t="s">
        <v>2788</v>
      </c>
      <c r="B346" s="11" t="s">
        <v>2406</v>
      </c>
      <c r="C346" s="7" t="s">
        <v>1539</v>
      </c>
      <c r="D346" s="11" t="s">
        <v>188</v>
      </c>
      <c r="E346" s="45">
        <v>65.63</v>
      </c>
      <c r="F346" s="7" t="s">
        <v>1544</v>
      </c>
      <c r="G346" s="5" t="s">
        <v>2421</v>
      </c>
    </row>
    <row r="347" spans="1:7">
      <c r="A347" s="11" t="s">
        <v>2789</v>
      </c>
      <c r="B347" s="11" t="s">
        <v>2407</v>
      </c>
      <c r="C347" s="7" t="s">
        <v>1583</v>
      </c>
      <c r="D347" s="11" t="s">
        <v>198</v>
      </c>
      <c r="E347" s="45">
        <v>62.38</v>
      </c>
      <c r="F347" s="7" t="s">
        <v>1600</v>
      </c>
      <c r="G347" s="5" t="s">
        <v>2421</v>
      </c>
    </row>
    <row r="348" spans="1:7">
      <c r="A348" s="11" t="s">
        <v>2790</v>
      </c>
      <c r="B348" s="11" t="s">
        <v>2407</v>
      </c>
      <c r="C348" s="7" t="s">
        <v>1655</v>
      </c>
      <c r="D348" s="11" t="s">
        <v>157</v>
      </c>
      <c r="E348" s="45">
        <v>66.28</v>
      </c>
      <c r="F348" s="7" t="s">
        <v>2424</v>
      </c>
      <c r="G348" s="5" t="s">
        <v>2421</v>
      </c>
    </row>
    <row r="349" spans="1:7">
      <c r="A349" s="11" t="s">
        <v>2791</v>
      </c>
      <c r="B349" s="11" t="s">
        <v>2407</v>
      </c>
      <c r="C349" s="7" t="s">
        <v>2426</v>
      </c>
      <c r="D349" s="11" t="s">
        <v>180</v>
      </c>
      <c r="E349" s="45">
        <v>63.03</v>
      </c>
      <c r="F349" s="7" t="s">
        <v>2427</v>
      </c>
      <c r="G349" s="5" t="s">
        <v>2421</v>
      </c>
    </row>
    <row r="350" spans="1:7">
      <c r="A350" s="11" t="s">
        <v>2792</v>
      </c>
      <c r="B350" s="11" t="s">
        <v>2408</v>
      </c>
      <c r="C350" s="7" t="s">
        <v>2429</v>
      </c>
      <c r="D350" s="11" t="s">
        <v>169</v>
      </c>
      <c r="E350" s="45">
        <v>66.930000000000007</v>
      </c>
      <c r="F350" s="7" t="s">
        <v>2430</v>
      </c>
      <c r="G350" s="5" t="s">
        <v>2432</v>
      </c>
    </row>
    <row r="351" spans="1:7">
      <c r="A351" s="11" t="s">
        <v>2793</v>
      </c>
      <c r="B351" s="11" t="s">
        <v>2408</v>
      </c>
      <c r="C351" s="7" t="s">
        <v>1557</v>
      </c>
      <c r="D351" s="11" t="s">
        <v>2128</v>
      </c>
      <c r="E351" s="45">
        <v>63.68</v>
      </c>
      <c r="F351" s="7" t="s">
        <v>1581</v>
      </c>
      <c r="G351" s="5" t="s">
        <v>2432</v>
      </c>
    </row>
    <row r="352" spans="1:7">
      <c r="A352" s="11" t="s">
        <v>2794</v>
      </c>
      <c r="B352" s="11" t="s">
        <v>2408</v>
      </c>
      <c r="C352" s="7" t="s">
        <v>1581</v>
      </c>
      <c r="D352" s="11" t="s">
        <v>165</v>
      </c>
      <c r="E352" s="45">
        <v>67.58</v>
      </c>
      <c r="F352" s="7" t="s">
        <v>1594</v>
      </c>
      <c r="G352" s="5" t="s">
        <v>2432</v>
      </c>
    </row>
    <row r="353" spans="1:7">
      <c r="A353" s="11" t="s">
        <v>2795</v>
      </c>
      <c r="B353" s="11" t="s">
        <v>2409</v>
      </c>
      <c r="C353" s="7" t="s">
        <v>1552</v>
      </c>
      <c r="D353" s="11" t="s">
        <v>188</v>
      </c>
      <c r="E353" s="45">
        <v>64.33</v>
      </c>
      <c r="F353" s="7" t="s">
        <v>2435</v>
      </c>
      <c r="G353" s="5" t="s">
        <v>2432</v>
      </c>
    </row>
    <row r="354" spans="1:7">
      <c r="A354" s="11" t="s">
        <v>2796</v>
      </c>
      <c r="B354" s="11" t="s">
        <v>2409</v>
      </c>
      <c r="C354" s="7" t="s">
        <v>1563</v>
      </c>
      <c r="D354" s="11" t="s">
        <v>198</v>
      </c>
      <c r="E354" s="45">
        <v>68.23</v>
      </c>
      <c r="F354" s="7" t="s">
        <v>2437</v>
      </c>
      <c r="G354" s="5" t="s">
        <v>2432</v>
      </c>
    </row>
    <row r="355" spans="1:7">
      <c r="A355" s="11" t="s">
        <v>2797</v>
      </c>
      <c r="B355" s="11" t="s">
        <v>2409</v>
      </c>
      <c r="C355" s="7" t="s">
        <v>2424</v>
      </c>
      <c r="D355" s="11" t="s">
        <v>157</v>
      </c>
      <c r="E355" s="45">
        <v>64.98</v>
      </c>
      <c r="F355" s="7" t="s">
        <v>2439</v>
      </c>
      <c r="G355" s="5" t="s">
        <v>2432</v>
      </c>
    </row>
    <row r="356" spans="1:7">
      <c r="A356" s="11" t="s">
        <v>2798</v>
      </c>
      <c r="B356" s="11" t="s">
        <v>2410</v>
      </c>
      <c r="C356" s="7" t="s">
        <v>1597</v>
      </c>
      <c r="D356" s="11" t="s">
        <v>180</v>
      </c>
      <c r="E356" s="45">
        <v>61.73</v>
      </c>
      <c r="F356" s="7" t="s">
        <v>1707</v>
      </c>
      <c r="G356" s="5" t="s">
        <v>2442</v>
      </c>
    </row>
    <row r="357" spans="1:7">
      <c r="A357" s="11" t="s">
        <v>2799</v>
      </c>
      <c r="B357" s="11" t="s">
        <v>2410</v>
      </c>
      <c r="C357" s="7" t="s">
        <v>1585</v>
      </c>
      <c r="D357" s="11" t="s">
        <v>169</v>
      </c>
      <c r="E357" s="45">
        <v>65.63</v>
      </c>
      <c r="F357" s="7" t="s">
        <v>1552</v>
      </c>
      <c r="G357" s="5" t="s">
        <v>2442</v>
      </c>
    </row>
    <row r="358" spans="1:7">
      <c r="A358" s="11" t="s">
        <v>2800</v>
      </c>
      <c r="B358" s="11" t="s">
        <v>2410</v>
      </c>
      <c r="C358" s="7" t="s">
        <v>1652</v>
      </c>
      <c r="D358" s="11" t="s">
        <v>2128</v>
      </c>
      <c r="E358" s="45">
        <v>62.38</v>
      </c>
      <c r="F358" s="7" t="s">
        <v>2444</v>
      </c>
      <c r="G358" s="5" t="s">
        <v>2442</v>
      </c>
    </row>
    <row r="359" spans="1:7">
      <c r="A359" s="11" t="s">
        <v>2801</v>
      </c>
      <c r="B359" s="11" t="s">
        <v>2411</v>
      </c>
      <c r="C359" s="7" t="s">
        <v>1660</v>
      </c>
      <c r="D359" s="11" t="s">
        <v>165</v>
      </c>
      <c r="E359" s="45">
        <v>66.28</v>
      </c>
      <c r="F359" s="7" t="s">
        <v>2446</v>
      </c>
      <c r="G359" s="5" t="s">
        <v>2442</v>
      </c>
    </row>
    <row r="360" spans="1:7">
      <c r="A360" s="11" t="s">
        <v>2802</v>
      </c>
      <c r="B360" s="11" t="s">
        <v>2411</v>
      </c>
      <c r="C360" s="7" t="s">
        <v>2448</v>
      </c>
      <c r="D360" s="11" t="s">
        <v>188</v>
      </c>
      <c r="E360" s="45">
        <v>63.03</v>
      </c>
      <c r="F360" s="7" t="s">
        <v>2449</v>
      </c>
      <c r="G360" s="5" t="s">
        <v>2442</v>
      </c>
    </row>
    <row r="361" spans="1:7">
      <c r="A361" s="11" t="s">
        <v>2803</v>
      </c>
      <c r="B361" s="11" t="s">
        <v>2411</v>
      </c>
      <c r="C361" s="7" t="s">
        <v>1559</v>
      </c>
      <c r="D361" s="11" t="s">
        <v>198</v>
      </c>
      <c r="E361" s="45">
        <v>66.930000000000007</v>
      </c>
      <c r="F361" s="7" t="s">
        <v>1655</v>
      </c>
      <c r="G361" s="5" t="s">
        <v>2452</v>
      </c>
    </row>
    <row r="362" spans="1:7">
      <c r="A362" s="11" t="s">
        <v>2804</v>
      </c>
      <c r="B362" s="11" t="s">
        <v>2412</v>
      </c>
      <c r="C362" s="7" t="s">
        <v>1707</v>
      </c>
      <c r="D362" s="11" t="s">
        <v>157</v>
      </c>
      <c r="E362" s="45">
        <v>63.68</v>
      </c>
      <c r="F362" s="7" t="s">
        <v>1589</v>
      </c>
      <c r="G362" s="5" t="s">
        <v>2452</v>
      </c>
    </row>
    <row r="363" spans="1:7">
      <c r="A363" s="11" t="s">
        <v>2805</v>
      </c>
      <c r="B363" s="11" t="s">
        <v>2412</v>
      </c>
      <c r="C363" s="7" t="s">
        <v>1589</v>
      </c>
      <c r="D363" s="11" t="s">
        <v>180</v>
      </c>
      <c r="E363" s="45">
        <v>67.58</v>
      </c>
      <c r="F363" s="7" t="s">
        <v>1563</v>
      </c>
      <c r="G363" s="5" t="s">
        <v>2456</v>
      </c>
    </row>
    <row r="364" spans="1:7">
      <c r="A364" s="11" t="s">
        <v>2806</v>
      </c>
      <c r="B364" s="11" t="s">
        <v>2412</v>
      </c>
      <c r="C364" s="7" t="s">
        <v>1600</v>
      </c>
      <c r="D364" s="11" t="s">
        <v>169</v>
      </c>
      <c r="E364" s="45">
        <v>64.33</v>
      </c>
      <c r="F364" s="7" t="s">
        <v>2455</v>
      </c>
      <c r="G364" s="5" t="s">
        <v>2421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DABD-A727-1B4E-8BD3-DA2F9AC87661}">
  <sheetPr codeName="Sheet17">
    <tabColor rgb="FF002060"/>
  </sheetPr>
  <dimension ref="A1:S6"/>
  <sheetViews>
    <sheetView topLeftCell="B1" workbookViewId="0">
      <selection activeCell="B13" sqref="B13"/>
    </sheetView>
  </sheetViews>
  <sheetFormatPr defaultColWidth="11.5546875" defaultRowHeight="15.95"/>
  <cols>
    <col min="1" max="1" width="26" bestFit="1" customWidth="1"/>
    <col min="2" max="2" width="29.6640625" bestFit="1" customWidth="1"/>
    <col min="3" max="3" width="13.6640625" bestFit="1" customWidth="1"/>
    <col min="4" max="4" width="9.6640625" bestFit="1" customWidth="1"/>
    <col min="5" max="5" width="11" bestFit="1" customWidth="1"/>
    <col min="6" max="6" width="10.33203125" bestFit="1" customWidth="1"/>
    <col min="7" max="7" width="10.109375" bestFit="1" customWidth="1"/>
    <col min="8" max="8" width="11.6640625" bestFit="1" customWidth="1"/>
    <col min="9" max="9" width="15.44140625" bestFit="1" customWidth="1"/>
    <col min="10" max="10" width="18" bestFit="1" customWidth="1"/>
    <col min="11" max="11" width="50.6640625" bestFit="1" customWidth="1"/>
    <col min="12" max="12" width="17.77734375" bestFit="1" customWidth="1"/>
    <col min="13" max="13" width="20.6640625" bestFit="1" customWidth="1"/>
    <col min="14" max="14" width="20.44140625" bestFit="1" customWidth="1"/>
    <col min="15" max="15" width="25.44140625" bestFit="1" customWidth="1"/>
    <col min="16" max="16" width="79" bestFit="1" customWidth="1"/>
    <col min="17" max="17" width="15.6640625" bestFit="1" customWidth="1"/>
    <col min="18" max="18" width="8.77734375" bestFit="1" customWidth="1"/>
    <col min="19" max="19" width="90.77734375" bestFit="1" customWidth="1"/>
  </cols>
  <sheetData>
    <row r="1" spans="1:19">
      <c r="A1" s="20" t="s">
        <v>2807</v>
      </c>
      <c r="B1" s="21" t="s">
        <v>2808</v>
      </c>
      <c r="C1" s="21" t="s">
        <v>764</v>
      </c>
      <c r="D1" s="21" t="s">
        <v>2809</v>
      </c>
      <c r="E1" s="21" t="s">
        <v>2810</v>
      </c>
      <c r="F1" s="21" t="s">
        <v>2811</v>
      </c>
      <c r="G1" s="21" t="s">
        <v>2812</v>
      </c>
      <c r="H1" s="21" t="s">
        <v>2813</v>
      </c>
      <c r="I1" s="21" t="s">
        <v>202</v>
      </c>
      <c r="J1" s="21" t="s">
        <v>2814</v>
      </c>
      <c r="K1" s="21" t="s">
        <v>2815</v>
      </c>
      <c r="L1" s="21" t="s">
        <v>2816</v>
      </c>
      <c r="M1" s="21" t="s">
        <v>2817</v>
      </c>
      <c r="N1" s="21" t="s">
        <v>2818</v>
      </c>
      <c r="O1" s="21" t="s">
        <v>2819</v>
      </c>
      <c r="P1" s="21" t="s">
        <v>2820</v>
      </c>
      <c r="Q1" s="21" t="s">
        <v>1167</v>
      </c>
      <c r="R1" s="21" t="s">
        <v>768</v>
      </c>
      <c r="S1" s="21" t="s">
        <v>421</v>
      </c>
    </row>
    <row r="2" spans="1:19">
      <c r="A2" s="11" t="s">
        <v>234</v>
      </c>
      <c r="B2" s="5" t="s">
        <v>2821</v>
      </c>
      <c r="C2" s="5" t="s">
        <v>2822</v>
      </c>
      <c r="D2" s="5" t="s">
        <v>2823</v>
      </c>
      <c r="E2" s="5" t="s">
        <v>2824</v>
      </c>
      <c r="F2" s="5" t="s">
        <v>553</v>
      </c>
      <c r="G2" s="19">
        <v>18.082999999999998</v>
      </c>
      <c r="H2" s="19">
        <v>73.415999999999997</v>
      </c>
      <c r="I2" s="5" t="s">
        <v>215</v>
      </c>
      <c r="J2" s="5" t="s">
        <v>780</v>
      </c>
      <c r="K2" s="5" t="s">
        <v>2825</v>
      </c>
      <c r="L2" s="5" t="s">
        <v>2826</v>
      </c>
      <c r="M2" s="8">
        <v>110</v>
      </c>
      <c r="N2" s="8">
        <v>8500</v>
      </c>
      <c r="O2" s="5" t="s">
        <v>2826</v>
      </c>
      <c r="P2" s="5" t="s">
        <v>2827</v>
      </c>
      <c r="Q2" s="7" t="s">
        <v>2828</v>
      </c>
      <c r="R2" s="5" t="s">
        <v>780</v>
      </c>
      <c r="S2" s="5" t="s">
        <v>2829</v>
      </c>
    </row>
    <row r="3" spans="1:19">
      <c r="A3" s="11" t="s">
        <v>244</v>
      </c>
      <c r="B3" s="5" t="s">
        <v>2830</v>
      </c>
      <c r="C3" s="5" t="s">
        <v>2831</v>
      </c>
      <c r="D3" s="5" t="s">
        <v>2832</v>
      </c>
      <c r="E3" s="5" t="s">
        <v>2824</v>
      </c>
      <c r="F3" s="5" t="s">
        <v>553</v>
      </c>
      <c r="G3" s="19">
        <v>17.850000000000001</v>
      </c>
      <c r="H3" s="19">
        <v>73.224999999999994</v>
      </c>
      <c r="I3" s="5" t="s">
        <v>230</v>
      </c>
      <c r="J3" s="5" t="s">
        <v>780</v>
      </c>
      <c r="K3" s="5" t="s">
        <v>2825</v>
      </c>
      <c r="L3" s="5" t="s">
        <v>2826</v>
      </c>
      <c r="M3" s="8">
        <v>45</v>
      </c>
      <c r="N3" s="8">
        <v>2500</v>
      </c>
      <c r="O3" s="5" t="s">
        <v>2826</v>
      </c>
      <c r="P3" s="5" t="s">
        <v>2833</v>
      </c>
      <c r="Q3" s="7" t="s">
        <v>2834</v>
      </c>
      <c r="R3" s="5" t="s">
        <v>780</v>
      </c>
      <c r="S3" s="5" t="s">
        <v>2835</v>
      </c>
    </row>
    <row r="4" spans="1:19">
      <c r="A4" s="11" t="s">
        <v>254</v>
      </c>
      <c r="B4" s="5" t="s">
        <v>2836</v>
      </c>
      <c r="C4" s="5" t="s">
        <v>2837</v>
      </c>
      <c r="D4" s="5" t="s">
        <v>2838</v>
      </c>
      <c r="E4" s="5" t="s">
        <v>2839</v>
      </c>
      <c r="F4" s="5" t="s">
        <v>553</v>
      </c>
      <c r="G4" s="19">
        <v>21.704999999999998</v>
      </c>
      <c r="H4" s="19">
        <v>72.623999999999995</v>
      </c>
      <c r="I4" s="5" t="s">
        <v>2840</v>
      </c>
      <c r="J4" s="5" t="s">
        <v>1266</v>
      </c>
      <c r="K4" s="5" t="s">
        <v>2841</v>
      </c>
      <c r="L4" s="5" t="s">
        <v>2842</v>
      </c>
      <c r="M4" s="8">
        <v>15</v>
      </c>
      <c r="N4" s="8">
        <v>6000</v>
      </c>
      <c r="O4" s="5" t="s">
        <v>1266</v>
      </c>
      <c r="P4" s="5" t="s">
        <v>2843</v>
      </c>
      <c r="Q4" s="7" t="s">
        <v>1183</v>
      </c>
      <c r="R4" s="5" t="s">
        <v>1266</v>
      </c>
      <c r="S4" s="5" t="s">
        <v>2844</v>
      </c>
    </row>
    <row r="5" spans="1:19">
      <c r="A5" s="11" t="s">
        <v>220</v>
      </c>
      <c r="B5" s="5" t="s">
        <v>2845</v>
      </c>
      <c r="C5" s="5" t="s">
        <v>466</v>
      </c>
      <c r="D5" s="5" t="s">
        <v>466</v>
      </c>
      <c r="E5" s="5" t="s">
        <v>2824</v>
      </c>
      <c r="F5" s="5" t="s">
        <v>553</v>
      </c>
      <c r="G5" s="19">
        <v>0</v>
      </c>
      <c r="H5" s="19">
        <v>0</v>
      </c>
      <c r="I5" s="5" t="s">
        <v>2846</v>
      </c>
      <c r="J5" s="5" t="s">
        <v>2846</v>
      </c>
      <c r="K5" s="5" t="s">
        <v>466</v>
      </c>
      <c r="L5" s="5" t="s">
        <v>466</v>
      </c>
      <c r="M5" s="8">
        <v>0</v>
      </c>
      <c r="N5" s="8">
        <v>0</v>
      </c>
      <c r="O5" s="5" t="s">
        <v>466</v>
      </c>
      <c r="P5" s="5" t="s">
        <v>2847</v>
      </c>
      <c r="Q5" s="7" t="s">
        <v>2848</v>
      </c>
      <c r="R5" s="5" t="s">
        <v>2846</v>
      </c>
      <c r="S5" s="5" t="s">
        <v>2849</v>
      </c>
    </row>
    <row r="6" spans="1:19">
      <c r="A6" s="11" t="s">
        <v>2850</v>
      </c>
      <c r="B6" s="5" t="s">
        <v>2851</v>
      </c>
      <c r="C6" s="5" t="s">
        <v>2852</v>
      </c>
      <c r="D6" s="5" t="s">
        <v>2853</v>
      </c>
      <c r="E6" s="5" t="s">
        <v>2824</v>
      </c>
      <c r="F6" s="5" t="s">
        <v>553</v>
      </c>
      <c r="G6" s="19">
        <v>19.861999999999998</v>
      </c>
      <c r="H6" s="19">
        <v>72.742000000000004</v>
      </c>
      <c r="I6" s="5" t="s">
        <v>2846</v>
      </c>
      <c r="J6" s="5" t="s">
        <v>2846</v>
      </c>
      <c r="K6" s="5" t="s">
        <v>2854</v>
      </c>
      <c r="L6" s="5" t="s">
        <v>2842</v>
      </c>
      <c r="M6" s="8">
        <v>70</v>
      </c>
      <c r="N6" s="8">
        <v>1200</v>
      </c>
      <c r="O6" s="5" t="s">
        <v>2842</v>
      </c>
      <c r="P6" s="5" t="s">
        <v>2855</v>
      </c>
      <c r="Q6" s="7" t="s">
        <v>2856</v>
      </c>
      <c r="R6" s="5" t="s">
        <v>2846</v>
      </c>
      <c r="S6" s="5" t="s">
        <v>2857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44EB-EB01-E143-8845-0619FC20BD77}">
  <sheetPr codeName="Sheet18">
    <tabColor rgb="FF002060"/>
  </sheetPr>
  <dimension ref="A1:L17"/>
  <sheetViews>
    <sheetView workbookViewId="0">
      <selection activeCell="D33" sqref="D33"/>
    </sheetView>
  </sheetViews>
  <sheetFormatPr defaultColWidth="11.5546875" defaultRowHeight="15.95"/>
  <cols>
    <col min="1" max="1" width="27.44140625" bestFit="1" customWidth="1"/>
    <col min="2" max="2" width="24" bestFit="1" customWidth="1"/>
    <col min="3" max="3" width="17.77734375" bestFit="1" customWidth="1"/>
    <col min="4" max="4" width="15.109375" bestFit="1" customWidth="1"/>
    <col min="5" max="5" width="11.44140625" bestFit="1" customWidth="1"/>
    <col min="6" max="6" width="30.33203125" bestFit="1" customWidth="1"/>
    <col min="7" max="7" width="23.77734375" bestFit="1" customWidth="1"/>
    <col min="8" max="8" width="25.109375" bestFit="1" customWidth="1"/>
    <col min="9" max="9" width="18.33203125" bestFit="1" customWidth="1"/>
    <col min="10" max="10" width="21.44140625" bestFit="1" customWidth="1"/>
    <col min="11" max="11" width="11.33203125" bestFit="1" customWidth="1"/>
    <col min="12" max="12" width="46.109375" bestFit="1" customWidth="1"/>
  </cols>
  <sheetData>
    <row r="1" spans="1:12" ht="17.100000000000001">
      <c r="A1" s="14" t="s">
        <v>2858</v>
      </c>
      <c r="B1" s="27" t="s">
        <v>2859</v>
      </c>
      <c r="C1" s="15" t="s">
        <v>2860</v>
      </c>
      <c r="D1" s="27" t="s">
        <v>2861</v>
      </c>
      <c r="E1" s="27" t="s">
        <v>2862</v>
      </c>
      <c r="F1" s="27" t="s">
        <v>2863</v>
      </c>
      <c r="G1" s="27" t="s">
        <v>2864</v>
      </c>
      <c r="H1" s="27" t="s">
        <v>2865</v>
      </c>
      <c r="I1" s="27" t="s">
        <v>2866</v>
      </c>
      <c r="J1" s="27" t="s">
        <v>2867</v>
      </c>
      <c r="K1" s="27" t="s">
        <v>768</v>
      </c>
      <c r="L1" s="27" t="s">
        <v>421</v>
      </c>
    </row>
    <row r="2" spans="1:12">
      <c r="A2" s="11" t="s">
        <v>2044</v>
      </c>
      <c r="B2" s="5" t="s">
        <v>2868</v>
      </c>
      <c r="C2" s="11" t="s">
        <v>234</v>
      </c>
      <c r="D2" s="5" t="s">
        <v>2869</v>
      </c>
      <c r="E2" s="5" t="s">
        <v>216</v>
      </c>
      <c r="F2" s="5" t="s">
        <v>2870</v>
      </c>
      <c r="G2" s="8">
        <v>220</v>
      </c>
      <c r="H2" s="5" t="s">
        <v>2871</v>
      </c>
      <c r="I2" s="5" t="s">
        <v>2872</v>
      </c>
      <c r="J2" s="28">
        <v>42156</v>
      </c>
      <c r="K2" s="5" t="s">
        <v>780</v>
      </c>
      <c r="L2" s="5" t="s">
        <v>2873</v>
      </c>
    </row>
    <row r="3" spans="1:12">
      <c r="A3" s="11" t="s">
        <v>2307</v>
      </c>
      <c r="B3" s="5" t="s">
        <v>2874</v>
      </c>
      <c r="C3" s="11" t="s">
        <v>234</v>
      </c>
      <c r="D3" s="5" t="s">
        <v>2869</v>
      </c>
      <c r="E3" s="5" t="s">
        <v>216</v>
      </c>
      <c r="F3" s="5" t="s">
        <v>2870</v>
      </c>
      <c r="G3" s="8">
        <v>260</v>
      </c>
      <c r="H3" s="5" t="s">
        <v>2871</v>
      </c>
      <c r="I3" s="5" t="s">
        <v>2872</v>
      </c>
      <c r="J3" s="28">
        <v>43388</v>
      </c>
      <c r="K3" s="5" t="s">
        <v>780</v>
      </c>
      <c r="L3" s="5" t="s">
        <v>2875</v>
      </c>
    </row>
    <row r="4" spans="1:12">
      <c r="A4" s="11" t="s">
        <v>2047</v>
      </c>
      <c r="B4" s="5" t="s">
        <v>2876</v>
      </c>
      <c r="C4" s="11" t="s">
        <v>234</v>
      </c>
      <c r="D4" s="5" t="s">
        <v>2877</v>
      </c>
      <c r="E4" s="5" t="s">
        <v>216</v>
      </c>
      <c r="F4" s="5" t="s">
        <v>2878</v>
      </c>
      <c r="G4" s="8">
        <v>180</v>
      </c>
      <c r="H4" s="5" t="s">
        <v>2879</v>
      </c>
      <c r="I4" s="5" t="s">
        <v>2880</v>
      </c>
      <c r="J4" s="28">
        <v>42449</v>
      </c>
      <c r="K4" s="5" t="s">
        <v>780</v>
      </c>
      <c r="L4" s="5" t="s">
        <v>2881</v>
      </c>
    </row>
    <row r="5" spans="1:12">
      <c r="A5" s="11" t="s">
        <v>2313</v>
      </c>
      <c r="B5" s="5" t="s">
        <v>2882</v>
      </c>
      <c r="C5" s="11" t="s">
        <v>234</v>
      </c>
      <c r="D5" s="5" t="s">
        <v>2883</v>
      </c>
      <c r="E5" s="5" t="s">
        <v>216</v>
      </c>
      <c r="F5" s="5" t="s">
        <v>2884</v>
      </c>
      <c r="G5" s="8">
        <v>120</v>
      </c>
      <c r="H5" s="5" t="s">
        <v>2885</v>
      </c>
      <c r="I5" s="5" t="s">
        <v>2872</v>
      </c>
      <c r="J5" s="28">
        <v>41948</v>
      </c>
      <c r="K5" s="5" t="s">
        <v>780</v>
      </c>
      <c r="L5" s="5" t="s">
        <v>2886</v>
      </c>
    </row>
    <row r="6" spans="1:12">
      <c r="A6" s="11" t="s">
        <v>2317</v>
      </c>
      <c r="B6" s="5" t="s">
        <v>2887</v>
      </c>
      <c r="C6" s="11" t="s">
        <v>234</v>
      </c>
      <c r="D6" s="5" t="s">
        <v>2888</v>
      </c>
      <c r="E6" s="5" t="s">
        <v>216</v>
      </c>
      <c r="F6" s="5" t="s">
        <v>2889</v>
      </c>
      <c r="G6" s="8">
        <v>85</v>
      </c>
      <c r="H6" s="5" t="s">
        <v>2890</v>
      </c>
      <c r="I6" s="5" t="s">
        <v>2880</v>
      </c>
      <c r="J6" s="28">
        <v>44440</v>
      </c>
      <c r="K6" s="5" t="s">
        <v>780</v>
      </c>
      <c r="L6" s="5" t="s">
        <v>2891</v>
      </c>
    </row>
    <row r="7" spans="1:12">
      <c r="A7" s="11" t="s">
        <v>2096</v>
      </c>
      <c r="B7" s="5" t="s">
        <v>2892</v>
      </c>
      <c r="C7" s="11" t="s">
        <v>244</v>
      </c>
      <c r="D7" s="5" t="s">
        <v>2893</v>
      </c>
      <c r="E7" s="5" t="s">
        <v>274</v>
      </c>
      <c r="F7" s="5" t="s">
        <v>2894</v>
      </c>
      <c r="G7" s="8">
        <v>22</v>
      </c>
      <c r="H7" s="5" t="s">
        <v>1192</v>
      </c>
      <c r="I7" s="5" t="s">
        <v>2872</v>
      </c>
      <c r="J7" s="28">
        <v>43506</v>
      </c>
      <c r="K7" s="5" t="s">
        <v>780</v>
      </c>
      <c r="L7" s="5" t="s">
        <v>2895</v>
      </c>
    </row>
    <row r="8" spans="1:12">
      <c r="A8" s="11" t="s">
        <v>2311</v>
      </c>
      <c r="B8" s="5" t="s">
        <v>2896</v>
      </c>
      <c r="C8" s="11" t="s">
        <v>244</v>
      </c>
      <c r="D8" s="5" t="s">
        <v>2893</v>
      </c>
      <c r="E8" s="5" t="s">
        <v>274</v>
      </c>
      <c r="F8" s="5" t="s">
        <v>2894</v>
      </c>
      <c r="G8" s="8">
        <v>28</v>
      </c>
      <c r="H8" s="5" t="s">
        <v>1192</v>
      </c>
      <c r="I8" s="5" t="s">
        <v>2872</v>
      </c>
      <c r="J8" s="28">
        <v>44798</v>
      </c>
      <c r="K8" s="5" t="s">
        <v>780</v>
      </c>
      <c r="L8" s="5" t="s">
        <v>2897</v>
      </c>
    </row>
    <row r="9" spans="1:12">
      <c r="A9" s="11" t="s">
        <v>2092</v>
      </c>
      <c r="B9" s="5" t="s">
        <v>2898</v>
      </c>
      <c r="C9" s="11" t="s">
        <v>244</v>
      </c>
      <c r="D9" s="5" t="s">
        <v>2899</v>
      </c>
      <c r="E9" s="5" t="s">
        <v>283</v>
      </c>
      <c r="F9" s="5" t="s">
        <v>2900</v>
      </c>
      <c r="G9" s="8">
        <v>18</v>
      </c>
      <c r="H9" s="5" t="s">
        <v>1263</v>
      </c>
      <c r="I9" s="5" t="s">
        <v>2901</v>
      </c>
      <c r="J9" s="28">
        <v>42867</v>
      </c>
      <c r="K9" s="5" t="s">
        <v>780</v>
      </c>
      <c r="L9" s="5" t="s">
        <v>2902</v>
      </c>
    </row>
    <row r="10" spans="1:12">
      <c r="A10" s="11" t="s">
        <v>2327</v>
      </c>
      <c r="B10" s="5" t="s">
        <v>2903</v>
      </c>
      <c r="C10" s="11" t="s">
        <v>244</v>
      </c>
      <c r="D10" s="5" t="s">
        <v>2899</v>
      </c>
      <c r="E10" s="5" t="s">
        <v>283</v>
      </c>
      <c r="F10" s="5" t="s">
        <v>2900</v>
      </c>
      <c r="G10" s="8">
        <v>24</v>
      </c>
      <c r="H10" s="5" t="s">
        <v>1263</v>
      </c>
      <c r="I10" s="5" t="s">
        <v>2901</v>
      </c>
      <c r="J10" s="28">
        <v>44944</v>
      </c>
      <c r="K10" s="5" t="s">
        <v>780</v>
      </c>
      <c r="L10" s="5" t="s">
        <v>2904</v>
      </c>
    </row>
    <row r="11" spans="1:12">
      <c r="A11" s="11" t="s">
        <v>2094</v>
      </c>
      <c r="B11" s="5" t="s">
        <v>2905</v>
      </c>
      <c r="C11" s="11" t="s">
        <v>244</v>
      </c>
      <c r="D11" s="5" t="s">
        <v>2906</v>
      </c>
      <c r="E11" s="5" t="s">
        <v>292</v>
      </c>
      <c r="F11" s="5" t="s">
        <v>2907</v>
      </c>
      <c r="G11" s="8">
        <v>5</v>
      </c>
      <c r="H11" s="5" t="s">
        <v>1263</v>
      </c>
      <c r="I11" s="5" t="s">
        <v>119</v>
      </c>
      <c r="J11" s="28">
        <v>44042</v>
      </c>
      <c r="K11" s="5" t="s">
        <v>780</v>
      </c>
      <c r="L11" s="5" t="s">
        <v>2908</v>
      </c>
    </row>
    <row r="12" spans="1:12">
      <c r="A12" s="11" t="s">
        <v>2909</v>
      </c>
      <c r="B12" s="5" t="s">
        <v>2910</v>
      </c>
      <c r="C12" s="11" t="s">
        <v>244</v>
      </c>
      <c r="D12" s="5" t="s">
        <v>2906</v>
      </c>
      <c r="E12" s="5" t="s">
        <v>292</v>
      </c>
      <c r="F12" s="5" t="s">
        <v>2907</v>
      </c>
      <c r="G12" s="8">
        <v>8</v>
      </c>
      <c r="H12" s="5" t="s">
        <v>1263</v>
      </c>
      <c r="I12" s="5" t="s">
        <v>119</v>
      </c>
      <c r="J12" s="28">
        <v>45383</v>
      </c>
      <c r="K12" s="5" t="s">
        <v>780</v>
      </c>
      <c r="L12" s="5" t="s">
        <v>2911</v>
      </c>
    </row>
    <row r="13" spans="1:12">
      <c r="A13" s="11" t="s">
        <v>2912</v>
      </c>
      <c r="B13" s="5" t="s">
        <v>2913</v>
      </c>
      <c r="C13" s="11" t="s">
        <v>254</v>
      </c>
      <c r="D13" s="5" t="s">
        <v>2914</v>
      </c>
      <c r="E13" s="5" t="s">
        <v>216</v>
      </c>
      <c r="F13" s="5" t="s">
        <v>2870</v>
      </c>
      <c r="G13" s="8">
        <v>300</v>
      </c>
      <c r="H13" s="5" t="s">
        <v>2915</v>
      </c>
      <c r="I13" s="5" t="s">
        <v>2872</v>
      </c>
      <c r="J13" s="28">
        <v>46082</v>
      </c>
      <c r="K13" s="5" t="s">
        <v>1266</v>
      </c>
      <c r="L13" s="5" t="s">
        <v>2916</v>
      </c>
    </row>
    <row r="14" spans="1:12">
      <c r="A14" s="11" t="s">
        <v>2917</v>
      </c>
      <c r="B14" s="5" t="s">
        <v>2918</v>
      </c>
      <c r="C14" s="11" t="s">
        <v>254</v>
      </c>
      <c r="D14" s="5" t="s">
        <v>2893</v>
      </c>
      <c r="E14" s="5" t="s">
        <v>274</v>
      </c>
      <c r="F14" s="5" t="s">
        <v>2894</v>
      </c>
      <c r="G14" s="8">
        <v>30</v>
      </c>
      <c r="H14" s="5" t="s">
        <v>2919</v>
      </c>
      <c r="I14" s="5" t="s">
        <v>2872</v>
      </c>
      <c r="J14" s="28">
        <v>46174</v>
      </c>
      <c r="K14" s="5" t="s">
        <v>1266</v>
      </c>
      <c r="L14" s="5" t="s">
        <v>2920</v>
      </c>
    </row>
    <row r="15" spans="1:12">
      <c r="A15" s="11" t="s">
        <v>2921</v>
      </c>
      <c r="B15" s="5" t="s">
        <v>2922</v>
      </c>
      <c r="C15" s="11" t="s">
        <v>220</v>
      </c>
      <c r="D15" s="5" t="s">
        <v>2923</v>
      </c>
      <c r="E15" s="5" t="s">
        <v>216</v>
      </c>
      <c r="F15" s="5" t="s">
        <v>2924</v>
      </c>
      <c r="G15" s="8">
        <v>90</v>
      </c>
      <c r="H15" s="5" t="s">
        <v>2925</v>
      </c>
      <c r="I15" s="5" t="s">
        <v>2872</v>
      </c>
      <c r="J15" s="28">
        <v>41640</v>
      </c>
      <c r="K15" s="5" t="s">
        <v>2846</v>
      </c>
      <c r="L15" s="5" t="s">
        <v>2926</v>
      </c>
    </row>
    <row r="16" spans="1:12">
      <c r="A16" s="11" t="s">
        <v>2049</v>
      </c>
      <c r="B16" s="5" t="s">
        <v>2927</v>
      </c>
      <c r="C16" s="11" t="s">
        <v>234</v>
      </c>
      <c r="D16" s="5" t="s">
        <v>2928</v>
      </c>
      <c r="E16" s="5" t="s">
        <v>216</v>
      </c>
      <c r="F16" s="5" t="s">
        <v>2929</v>
      </c>
      <c r="G16" s="8">
        <v>150</v>
      </c>
      <c r="H16" s="5" t="s">
        <v>2930</v>
      </c>
      <c r="I16" s="5" t="s">
        <v>2872</v>
      </c>
      <c r="J16" s="28">
        <v>43617</v>
      </c>
      <c r="K16" s="5" t="s">
        <v>780</v>
      </c>
      <c r="L16" s="5" t="s">
        <v>2931</v>
      </c>
    </row>
    <row r="17" spans="1:12">
      <c r="A17" s="11" t="s">
        <v>2098</v>
      </c>
      <c r="B17" s="5" t="s">
        <v>2932</v>
      </c>
      <c r="C17" s="11" t="s">
        <v>244</v>
      </c>
      <c r="D17" s="5" t="s">
        <v>2893</v>
      </c>
      <c r="E17" s="5" t="s">
        <v>274</v>
      </c>
      <c r="F17" s="5" t="s">
        <v>2933</v>
      </c>
      <c r="G17" s="8">
        <v>15</v>
      </c>
      <c r="H17" s="5" t="s">
        <v>2919</v>
      </c>
      <c r="I17" s="5" t="s">
        <v>2872</v>
      </c>
      <c r="J17" s="28">
        <v>44136</v>
      </c>
      <c r="K17" s="5" t="s">
        <v>780</v>
      </c>
      <c r="L17" s="5" t="s">
        <v>2934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E05-92E0-3D48-AE6C-A360C88FF067}">
  <sheetPr>
    <tabColor rgb="FF92D050"/>
  </sheetPr>
  <dimension ref="A1:J304"/>
  <sheetViews>
    <sheetView topLeftCell="D1" workbookViewId="0">
      <selection activeCell="B13" sqref="B13"/>
    </sheetView>
  </sheetViews>
  <sheetFormatPr defaultColWidth="11.5546875" defaultRowHeight="15.95"/>
  <cols>
    <col min="1" max="1" width="26.33203125" bestFit="1" customWidth="1"/>
    <col min="2" max="2" width="22.6640625" bestFit="1" customWidth="1"/>
    <col min="3" max="3" width="27.44140625" bestFit="1" customWidth="1"/>
    <col min="4" max="4" width="52.6640625" bestFit="1" customWidth="1"/>
    <col min="5" max="5" width="17.6640625" bestFit="1" customWidth="1"/>
    <col min="6" max="6" width="14" bestFit="1" customWidth="1"/>
    <col min="7" max="7" width="18.109375" bestFit="1" customWidth="1"/>
    <col min="8" max="8" width="15.109375" bestFit="1" customWidth="1"/>
    <col min="9" max="10" width="23.6640625" bestFit="1" customWidth="1"/>
  </cols>
  <sheetData>
    <row r="1" spans="1:10">
      <c r="A1" s="5" t="s">
        <v>1267</v>
      </c>
      <c r="B1" s="45">
        <v>242.58</v>
      </c>
      <c r="C1" s="5"/>
      <c r="D1" s="5"/>
    </row>
    <row r="2" spans="1:10">
      <c r="A2" s="5" t="s">
        <v>2413</v>
      </c>
      <c r="B2" s="70">
        <v>0.02</v>
      </c>
      <c r="C2" s="5"/>
      <c r="D2" s="5"/>
    </row>
    <row r="3" spans="1:10">
      <c r="A3" s="5" t="s">
        <v>1269</v>
      </c>
      <c r="B3" s="8">
        <v>300</v>
      </c>
      <c r="C3" s="5"/>
      <c r="D3" s="5"/>
    </row>
    <row r="4" spans="1:10">
      <c r="A4" s="35" t="s">
        <v>2935</v>
      </c>
      <c r="B4" s="36" t="s">
        <v>2416</v>
      </c>
      <c r="C4" s="36" t="s">
        <v>2038</v>
      </c>
      <c r="D4" s="36" t="s">
        <v>1509</v>
      </c>
      <c r="E4" s="24" t="s">
        <v>2936</v>
      </c>
      <c r="F4" s="24" t="s">
        <v>2937</v>
      </c>
      <c r="G4" s="24" t="s">
        <v>2938</v>
      </c>
      <c r="H4" s="24" t="s">
        <v>2939</v>
      </c>
      <c r="I4" s="24" t="s">
        <v>2940</v>
      </c>
      <c r="J4" s="24" t="s">
        <v>2941</v>
      </c>
    </row>
    <row r="5" spans="1:10">
      <c r="A5" s="5" t="s">
        <v>2942</v>
      </c>
      <c r="B5" s="5" t="s">
        <v>2306</v>
      </c>
      <c r="C5" s="5" t="s">
        <v>2307</v>
      </c>
      <c r="D5" s="5" t="s">
        <v>93</v>
      </c>
      <c r="E5" s="45">
        <v>295.54000000000002</v>
      </c>
      <c r="F5" s="71">
        <v>4.0050080395303668E-3</v>
      </c>
      <c r="G5" s="71">
        <v>1.5392692312598228E-2</v>
      </c>
      <c r="H5" s="45">
        <f>E5*(1-F5)*(1-G5)</f>
        <v>289.82542304543074</v>
      </c>
      <c r="I5" s="7" t="s">
        <v>2943</v>
      </c>
      <c r="J5" s="7" t="s">
        <v>2944</v>
      </c>
    </row>
    <row r="6" spans="1:10">
      <c r="A6" s="5" t="s">
        <v>2945</v>
      </c>
      <c r="B6" s="5" t="s">
        <v>2309</v>
      </c>
      <c r="C6" s="5" t="s">
        <v>2047</v>
      </c>
      <c r="D6" s="5" t="s">
        <v>96</v>
      </c>
      <c r="E6" s="45">
        <v>317.86</v>
      </c>
      <c r="F6" s="71">
        <v>2.1598604698665438E-2</v>
      </c>
      <c r="G6" s="71">
        <v>1.6378723517991602E-2</v>
      </c>
      <c r="H6" s="45">
        <f>E6*(1-F6)*(1-G6)</f>
        <v>305.9009718357583</v>
      </c>
      <c r="I6" s="7" t="s">
        <v>2946</v>
      </c>
      <c r="J6" s="7" t="s">
        <v>2947</v>
      </c>
    </row>
    <row r="7" spans="1:10">
      <c r="A7" s="5" t="s">
        <v>2948</v>
      </c>
      <c r="B7" s="5" t="s">
        <v>2310</v>
      </c>
      <c r="C7" s="5" t="s">
        <v>2311</v>
      </c>
      <c r="D7" s="5" t="s">
        <v>137</v>
      </c>
      <c r="E7" s="45">
        <v>207.39</v>
      </c>
      <c r="F7" s="71">
        <v>2.4164118433836847E-2</v>
      </c>
      <c r="G7" s="71">
        <v>4.2120809759944675E-3</v>
      </c>
      <c r="H7" s="45">
        <f>E7*(1-F7)*(1-G7)</f>
        <v>201.52616841234854</v>
      </c>
      <c r="I7" s="7" t="s">
        <v>2949</v>
      </c>
      <c r="J7" s="7" t="s">
        <v>2950</v>
      </c>
    </row>
    <row r="8" spans="1:10">
      <c r="A8" s="5" t="s">
        <v>2951</v>
      </c>
      <c r="B8" s="5" t="s">
        <v>2312</v>
      </c>
      <c r="C8" s="5" t="s">
        <v>2313</v>
      </c>
      <c r="D8" s="5" t="s">
        <v>102</v>
      </c>
      <c r="E8" s="45">
        <v>255.26</v>
      </c>
      <c r="F8" s="71">
        <v>1.6632502740249036E-2</v>
      </c>
      <c r="G8" s="71">
        <v>1.5803834809921681E-2</v>
      </c>
      <c r="H8" s="45">
        <f>E8*(1-F8)*(1-G8)</f>
        <v>247.04739743792263</v>
      </c>
      <c r="I8" s="7" t="s">
        <v>2952</v>
      </c>
      <c r="J8" s="7" t="s">
        <v>2953</v>
      </c>
    </row>
    <row r="9" spans="1:10">
      <c r="A9" s="5" t="s">
        <v>2954</v>
      </c>
      <c r="B9" s="5" t="s">
        <v>2314</v>
      </c>
      <c r="C9" s="5" t="s">
        <v>2044</v>
      </c>
      <c r="D9" s="5" t="s">
        <v>105</v>
      </c>
      <c r="E9" s="45">
        <v>230.68</v>
      </c>
      <c r="F9" s="71">
        <v>1.3109801157843321E-2</v>
      </c>
      <c r="G9" s="71">
        <v>1.2569532226771117E-2</v>
      </c>
      <c r="H9" s="45">
        <f>E9*(1-F9)*(1-G9)</f>
        <v>224.79430376367569</v>
      </c>
      <c r="I9" s="7" t="s">
        <v>2955</v>
      </c>
      <c r="J9" s="7" t="s">
        <v>2956</v>
      </c>
    </row>
    <row r="10" spans="1:10">
      <c r="A10" s="5" t="s">
        <v>2957</v>
      </c>
      <c r="B10" s="5" t="s">
        <v>2315</v>
      </c>
      <c r="C10" s="5" t="s">
        <v>2044</v>
      </c>
      <c r="D10" s="5" t="s">
        <v>107</v>
      </c>
      <c r="E10" s="45">
        <v>255.04</v>
      </c>
      <c r="F10" s="71">
        <v>2.0940908929333092E-3</v>
      </c>
      <c r="G10" s="71">
        <v>2.4837326677516103E-3</v>
      </c>
      <c r="H10" s="45">
        <f>E10*(1-F10)*(1-G10)</f>
        <v>253.87379838342918</v>
      </c>
      <c r="I10" s="7" t="s">
        <v>2958</v>
      </c>
      <c r="J10" s="7" t="s">
        <v>2959</v>
      </c>
    </row>
    <row r="11" spans="1:10">
      <c r="A11" s="5" t="s">
        <v>2960</v>
      </c>
      <c r="B11" s="5" t="s">
        <v>2316</v>
      </c>
      <c r="C11" s="5" t="s">
        <v>2317</v>
      </c>
      <c r="D11" s="5" t="s">
        <v>109</v>
      </c>
      <c r="E11" s="45">
        <v>231.41</v>
      </c>
      <c r="F11" s="71">
        <v>9.4443752733059227E-3</v>
      </c>
      <c r="G11" s="71">
        <v>1.0555892484262586E-2</v>
      </c>
      <c r="H11" s="45">
        <f>E11*(1-F11)*(1-G11)</f>
        <v>226.80480818278531</v>
      </c>
      <c r="I11" s="7" t="s">
        <v>2961</v>
      </c>
      <c r="J11" s="7" t="s">
        <v>2962</v>
      </c>
    </row>
    <row r="12" spans="1:10">
      <c r="A12" s="5" t="s">
        <v>2963</v>
      </c>
      <c r="B12" s="5" t="s">
        <v>2318</v>
      </c>
      <c r="C12" s="5" t="s">
        <v>2307</v>
      </c>
      <c r="D12" s="5" t="s">
        <v>120</v>
      </c>
      <c r="E12" s="45">
        <v>287.06</v>
      </c>
      <c r="F12" s="71">
        <v>2.3922162875533105E-2</v>
      </c>
      <c r="G12" s="71">
        <v>1.0161623950116336E-2</v>
      </c>
      <c r="H12" s="45">
        <f>E12*(1-F12)*(1-G12)</f>
        <v>277.34568900177305</v>
      </c>
      <c r="I12" s="7" t="s">
        <v>2964</v>
      </c>
      <c r="J12" s="7" t="s">
        <v>2965</v>
      </c>
    </row>
    <row r="13" spans="1:10">
      <c r="A13" s="5" t="s">
        <v>2966</v>
      </c>
      <c r="B13" s="5" t="s">
        <v>2319</v>
      </c>
      <c r="C13" s="5" t="s">
        <v>2047</v>
      </c>
      <c r="D13" s="5" t="s">
        <v>121</v>
      </c>
      <c r="E13" s="45">
        <v>319.60000000000002</v>
      </c>
      <c r="F13" s="71">
        <v>1.5044542565010488E-3</v>
      </c>
      <c r="G13" s="71">
        <v>1.2535561062395574E-2</v>
      </c>
      <c r="H13" s="45">
        <f>E13*(1-F13)*(1-G13)</f>
        <v>315.11883849743271</v>
      </c>
      <c r="I13" s="7" t="s">
        <v>2967</v>
      </c>
      <c r="J13" s="7" t="s">
        <v>2968</v>
      </c>
    </row>
    <row r="14" spans="1:10">
      <c r="A14" s="5" t="s">
        <v>2969</v>
      </c>
      <c r="B14" s="5" t="s">
        <v>2320</v>
      </c>
      <c r="C14" s="5" t="s">
        <v>2044</v>
      </c>
      <c r="D14" s="5" t="s">
        <v>122</v>
      </c>
      <c r="E14" s="45">
        <v>225.04</v>
      </c>
      <c r="F14" s="71">
        <v>2.61380715155974E-2</v>
      </c>
      <c r="G14" s="71">
        <v>7.0476926350966093E-3</v>
      </c>
      <c r="H14" s="45">
        <f>E14*(1-F14)*(1-G14)</f>
        <v>217.61333095022769</v>
      </c>
      <c r="I14" s="7" t="s">
        <v>2970</v>
      </c>
      <c r="J14" s="7" t="s">
        <v>2971</v>
      </c>
    </row>
    <row r="15" spans="1:10">
      <c r="A15" s="5" t="s">
        <v>2972</v>
      </c>
      <c r="B15" s="5" t="s">
        <v>2321</v>
      </c>
      <c r="C15" s="5" t="s">
        <v>2313</v>
      </c>
      <c r="D15" s="5" t="s">
        <v>123</v>
      </c>
      <c r="E15" s="45">
        <v>296.31</v>
      </c>
      <c r="F15" s="71">
        <v>1.2485019026789813E-2</v>
      </c>
      <c r="G15" s="71">
        <v>2.2517376672476531E-3</v>
      </c>
      <c r="H15" s="45">
        <f>E15*(1-F15)*(1-G15)</f>
        <v>291.95168178335115</v>
      </c>
      <c r="I15" s="7" t="s">
        <v>2973</v>
      </c>
      <c r="J15" s="7" t="s">
        <v>2974</v>
      </c>
    </row>
    <row r="16" spans="1:10">
      <c r="A16" s="5" t="s">
        <v>2975</v>
      </c>
      <c r="B16" s="5" t="s">
        <v>2323</v>
      </c>
      <c r="C16" s="5" t="s">
        <v>2044</v>
      </c>
      <c r="D16" s="5" t="s">
        <v>124</v>
      </c>
      <c r="E16" s="45">
        <v>279.51</v>
      </c>
      <c r="F16" s="71">
        <v>2.7561674946919083E-2</v>
      </c>
      <c r="G16" s="71">
        <v>1.604870644863695E-2</v>
      </c>
      <c r="H16" s="45">
        <f>E16*(1-F16)*(1-G16)</f>
        <v>267.44409773933285</v>
      </c>
      <c r="I16" s="7" t="s">
        <v>2976</v>
      </c>
      <c r="J16" s="7" t="s">
        <v>2977</v>
      </c>
    </row>
    <row r="17" spans="1:10">
      <c r="A17" s="5" t="s">
        <v>2978</v>
      </c>
      <c r="B17" s="5" t="s">
        <v>2324</v>
      </c>
      <c r="C17" s="5" t="s">
        <v>2044</v>
      </c>
      <c r="D17" s="5" t="s">
        <v>125</v>
      </c>
      <c r="E17" s="45">
        <v>298.11</v>
      </c>
      <c r="F17" s="71">
        <v>1.7641585457604379E-2</v>
      </c>
      <c r="G17" s="71">
        <v>1.8077238742262126E-2</v>
      </c>
      <c r="H17" s="45">
        <f>E17*(1-F17)*(1-G17)</f>
        <v>287.55693192133305</v>
      </c>
      <c r="I17" s="7" t="s">
        <v>2979</v>
      </c>
      <c r="J17" s="7" t="s">
        <v>2980</v>
      </c>
    </row>
    <row r="18" spans="1:10">
      <c r="A18" s="5" t="s">
        <v>2981</v>
      </c>
      <c r="B18" s="5" t="s">
        <v>2325</v>
      </c>
      <c r="C18" s="5" t="s">
        <v>2311</v>
      </c>
      <c r="D18" s="5" t="s">
        <v>147</v>
      </c>
      <c r="E18" s="45">
        <v>173.28</v>
      </c>
      <c r="F18" s="71">
        <v>3.5320130316540597E-3</v>
      </c>
      <c r="G18" s="71">
        <v>7.1570210624486211E-4</v>
      </c>
      <c r="H18" s="45">
        <f>E18*(1-F18)*(1-G18)</f>
        <v>172.54439395007398</v>
      </c>
      <c r="I18" s="7" t="s">
        <v>2982</v>
      </c>
      <c r="J18" s="7" t="s">
        <v>2983</v>
      </c>
    </row>
    <row r="19" spans="1:10">
      <c r="A19" s="5" t="s">
        <v>2984</v>
      </c>
      <c r="B19" s="5" t="s">
        <v>2326</v>
      </c>
      <c r="C19" s="5" t="s">
        <v>2327</v>
      </c>
      <c r="D19" s="5" t="s">
        <v>138</v>
      </c>
      <c r="E19" s="45">
        <v>142.33000000000001</v>
      </c>
      <c r="F19" s="71">
        <v>3.8060620729811487E-3</v>
      </c>
      <c r="G19" s="71">
        <v>8.3693787548691032E-3</v>
      </c>
      <c r="H19" s="45">
        <f>E19*(1-F19)*(1-G19)</f>
        <v>140.60160334017343</v>
      </c>
      <c r="I19" s="7" t="s">
        <v>2985</v>
      </c>
      <c r="J19" s="7" t="s">
        <v>2986</v>
      </c>
    </row>
    <row r="20" spans="1:10">
      <c r="A20" s="5" t="s">
        <v>2987</v>
      </c>
      <c r="B20" s="5" t="s">
        <v>2328</v>
      </c>
      <c r="C20" s="5" t="s">
        <v>2327</v>
      </c>
      <c r="D20" s="5" t="s">
        <v>148</v>
      </c>
      <c r="E20" s="45">
        <v>143.63999999999999</v>
      </c>
      <c r="F20" s="71">
        <v>2.17403800226748E-2</v>
      </c>
      <c r="G20" s="71">
        <v>2.0928546367213132E-3</v>
      </c>
      <c r="H20" s="45">
        <f>E20*(1-F20)*(1-G20)</f>
        <v>140.22312971525986</v>
      </c>
      <c r="I20" s="7" t="s">
        <v>2988</v>
      </c>
      <c r="J20" s="7" t="s">
        <v>2989</v>
      </c>
    </row>
    <row r="21" spans="1:10">
      <c r="A21" s="5" t="s">
        <v>2990</v>
      </c>
      <c r="B21" s="5" t="s">
        <v>2329</v>
      </c>
      <c r="C21" s="5" t="s">
        <v>2044</v>
      </c>
      <c r="D21" s="5" t="s">
        <v>132</v>
      </c>
      <c r="E21" s="45">
        <v>305.42</v>
      </c>
      <c r="F21" s="71">
        <v>1.765306550776586E-2</v>
      </c>
      <c r="G21" s="71">
        <v>1.7297568768262862E-2</v>
      </c>
      <c r="H21" s="45">
        <f>E21*(1-F21)*(1-G21)</f>
        <v>294.83863883851376</v>
      </c>
      <c r="I21" s="7" t="s">
        <v>2991</v>
      </c>
      <c r="J21" s="7" t="s">
        <v>2992</v>
      </c>
    </row>
    <row r="22" spans="1:10">
      <c r="A22" s="5" t="s">
        <v>2993</v>
      </c>
      <c r="B22" s="5" t="s">
        <v>2330</v>
      </c>
      <c r="C22" s="5" t="s">
        <v>2311</v>
      </c>
      <c r="D22" s="5" t="s">
        <v>137</v>
      </c>
      <c r="E22" s="45">
        <v>222.29</v>
      </c>
      <c r="F22" s="71">
        <v>5.1018188567832114E-3</v>
      </c>
      <c r="G22" s="71">
        <v>8.0764175066724425E-3</v>
      </c>
      <c r="H22" s="45">
        <f>E22*(1-F22)*(1-G22)</f>
        <v>219.36976916909603</v>
      </c>
      <c r="I22" s="7" t="s">
        <v>2994</v>
      </c>
      <c r="J22" s="7" t="s">
        <v>2995</v>
      </c>
    </row>
    <row r="23" spans="1:10">
      <c r="A23" s="5" t="s">
        <v>2996</v>
      </c>
      <c r="B23" s="5" t="s">
        <v>2331</v>
      </c>
      <c r="C23" s="5" t="s">
        <v>2327</v>
      </c>
      <c r="D23" s="5" t="s">
        <v>138</v>
      </c>
      <c r="E23" s="45">
        <v>165.68</v>
      </c>
      <c r="F23" s="71">
        <v>2.3077581846155226E-3</v>
      </c>
      <c r="G23" s="71">
        <v>5.5161908920854331E-3</v>
      </c>
      <c r="H23" s="45">
        <f>E23*(1-F23)*(1-G23)</f>
        <v>164.38583722911784</v>
      </c>
      <c r="I23" s="7" t="s">
        <v>2997</v>
      </c>
      <c r="J23" s="7" t="s">
        <v>2998</v>
      </c>
    </row>
    <row r="24" spans="1:10">
      <c r="A24" s="5" t="s">
        <v>2999</v>
      </c>
      <c r="B24" s="5" t="s">
        <v>2332</v>
      </c>
      <c r="C24" s="5" t="s">
        <v>2044</v>
      </c>
      <c r="D24" s="5" t="s">
        <v>135</v>
      </c>
      <c r="E24" s="45">
        <v>294.38</v>
      </c>
      <c r="F24" s="71">
        <v>1.0675046844407916E-2</v>
      </c>
      <c r="G24" s="71">
        <v>6.2871515145525338E-3</v>
      </c>
      <c r="H24" s="45">
        <f>E24*(1-F24)*(1-G24)</f>
        <v>289.40642554829037</v>
      </c>
      <c r="I24" s="7" t="s">
        <v>3000</v>
      </c>
      <c r="J24" s="7" t="s">
        <v>3001</v>
      </c>
    </row>
    <row r="25" spans="1:10">
      <c r="A25" s="5" t="s">
        <v>3002</v>
      </c>
      <c r="B25" s="5" t="s">
        <v>2333</v>
      </c>
      <c r="C25" s="5" t="s">
        <v>2317</v>
      </c>
      <c r="D25" s="5" t="s">
        <v>136</v>
      </c>
      <c r="E25" s="45">
        <v>273.89</v>
      </c>
      <c r="F25" s="71">
        <v>1.3868694535922259E-2</v>
      </c>
      <c r="G25" s="71">
        <v>3.9029634557664395E-3</v>
      </c>
      <c r="H25" s="45">
        <f>E25*(1-F25)*(1-G25)</f>
        <v>269.0373459866446</v>
      </c>
      <c r="I25" s="7" t="s">
        <v>3003</v>
      </c>
      <c r="J25" s="7" t="s">
        <v>3004</v>
      </c>
    </row>
    <row r="26" spans="1:10">
      <c r="A26" s="5" t="s">
        <v>3005</v>
      </c>
      <c r="B26" s="5" t="s">
        <v>2334</v>
      </c>
      <c r="C26" s="5" t="s">
        <v>2307</v>
      </c>
      <c r="D26" s="5" t="s">
        <v>140</v>
      </c>
      <c r="E26" s="45">
        <v>319.27</v>
      </c>
      <c r="F26" s="71">
        <v>1.1365431896410882E-2</v>
      </c>
      <c r="G26" s="71">
        <v>1.5072941672988236E-2</v>
      </c>
      <c r="H26" s="45">
        <f>E26*(1-F26)*(1-G26)</f>
        <v>310.8837147712988</v>
      </c>
      <c r="I26" s="7" t="s">
        <v>3006</v>
      </c>
      <c r="J26" s="7" t="s">
        <v>3007</v>
      </c>
    </row>
    <row r="27" spans="1:10">
      <c r="A27" s="5" t="s">
        <v>3008</v>
      </c>
      <c r="B27" s="5" t="s">
        <v>2335</v>
      </c>
      <c r="C27" s="5" t="s">
        <v>2047</v>
      </c>
      <c r="D27" s="5" t="s">
        <v>141</v>
      </c>
      <c r="E27" s="45">
        <v>277.47000000000003</v>
      </c>
      <c r="F27" s="71">
        <v>2.7104708973784E-2</v>
      </c>
      <c r="G27" s="71">
        <v>8.5244179982692011E-3</v>
      </c>
      <c r="H27" s="45">
        <f>E27*(1-F27)*(1-G27)</f>
        <v>267.64809610115975</v>
      </c>
      <c r="I27" s="7" t="s">
        <v>3009</v>
      </c>
      <c r="J27" s="7" t="s">
        <v>3010</v>
      </c>
    </row>
    <row r="28" spans="1:10">
      <c r="A28" s="5" t="s">
        <v>3011</v>
      </c>
      <c r="B28" s="5" t="s">
        <v>2336</v>
      </c>
      <c r="C28" s="5" t="s">
        <v>2327</v>
      </c>
      <c r="D28" s="5" t="s">
        <v>148</v>
      </c>
      <c r="E28" s="45">
        <v>155.38999999999999</v>
      </c>
      <c r="F28" s="71">
        <v>1.0885872803628445E-2</v>
      </c>
      <c r="G28" s="71">
        <v>1.634033254813403E-2</v>
      </c>
      <c r="H28" s="45">
        <f>E28*(1-F28)*(1-G28)</f>
        <v>151.18696053427612</v>
      </c>
      <c r="I28" s="7" t="s">
        <v>3012</v>
      </c>
      <c r="J28" s="7" t="s">
        <v>3013</v>
      </c>
    </row>
    <row r="29" spans="1:10">
      <c r="A29" s="5" t="s">
        <v>3014</v>
      </c>
      <c r="B29" s="5" t="s">
        <v>2337</v>
      </c>
      <c r="C29" s="5" t="s">
        <v>2094</v>
      </c>
      <c r="D29" s="5" t="s">
        <v>117</v>
      </c>
      <c r="E29" s="45">
        <v>125.66</v>
      </c>
      <c r="F29" s="71">
        <v>2.4848550686147063E-2</v>
      </c>
      <c r="G29" s="71">
        <v>7.2752654179930685E-3</v>
      </c>
      <c r="H29" s="45">
        <f>E29*(1-F29)*(1-G29)</f>
        <v>121.6460380582095</v>
      </c>
      <c r="I29" s="7" t="s">
        <v>3015</v>
      </c>
      <c r="J29" s="7" t="s">
        <v>3016</v>
      </c>
    </row>
    <row r="30" spans="1:10">
      <c r="A30" s="5" t="s">
        <v>3017</v>
      </c>
      <c r="B30" s="5" t="s">
        <v>2338</v>
      </c>
      <c r="C30" s="5" t="s">
        <v>2044</v>
      </c>
      <c r="D30" s="5" t="s">
        <v>144</v>
      </c>
      <c r="E30" s="45">
        <v>246.99</v>
      </c>
      <c r="F30" s="71">
        <v>2.1581296459771693E-2</v>
      </c>
      <c r="G30" s="71">
        <v>9.7144937748089438E-3</v>
      </c>
      <c r="H30" s="45">
        <f>E30*(1-F30)*(1-G30)</f>
        <v>239.31203456186461</v>
      </c>
      <c r="I30" s="7" t="s">
        <v>3018</v>
      </c>
      <c r="J30" s="7" t="s">
        <v>3019</v>
      </c>
    </row>
    <row r="31" spans="1:10">
      <c r="A31" s="5" t="s">
        <v>3020</v>
      </c>
      <c r="B31" s="5" t="s">
        <v>2339</v>
      </c>
      <c r="C31" s="5" t="s">
        <v>2044</v>
      </c>
      <c r="D31" s="5" t="s">
        <v>145</v>
      </c>
      <c r="E31" s="45">
        <v>222.02</v>
      </c>
      <c r="F31" s="71">
        <v>5.3267672122456131E-3</v>
      </c>
      <c r="G31" s="71">
        <v>9.5173348765820263E-3</v>
      </c>
      <c r="H31" s="45">
        <f>E31*(1-F31)*(1-G31)</f>
        <v>218.7355681194469</v>
      </c>
      <c r="I31" s="7" t="s">
        <v>3021</v>
      </c>
      <c r="J31" s="7" t="s">
        <v>3022</v>
      </c>
    </row>
    <row r="32" spans="1:10">
      <c r="A32" s="5" t="s">
        <v>3023</v>
      </c>
      <c r="B32" s="5" t="s">
        <v>2340</v>
      </c>
      <c r="C32" s="5" t="s">
        <v>2317</v>
      </c>
      <c r="D32" s="5" t="s">
        <v>146</v>
      </c>
      <c r="E32" s="45">
        <v>310.95999999999998</v>
      </c>
      <c r="F32" s="71">
        <v>2.3618969293311236E-2</v>
      </c>
      <c r="G32" s="71">
        <v>1.2966587161645294E-3</v>
      </c>
      <c r="H32" s="45">
        <f>E32*(1-F32)*(1-G32)</f>
        <v>303.22175969503041</v>
      </c>
      <c r="I32" s="7" t="s">
        <v>3024</v>
      </c>
      <c r="J32" s="7" t="s">
        <v>3025</v>
      </c>
    </row>
    <row r="33" spans="1:10">
      <c r="A33" s="5" t="s">
        <v>3026</v>
      </c>
      <c r="B33" s="5" t="s">
        <v>2341</v>
      </c>
      <c r="C33" s="5" t="s">
        <v>2307</v>
      </c>
      <c r="D33" s="5" t="s">
        <v>93</v>
      </c>
      <c r="E33" s="45">
        <v>232.29</v>
      </c>
      <c r="F33" s="71">
        <v>1.7710260625462979E-2</v>
      </c>
      <c r="G33" s="71">
        <v>5.7664253003895287E-3</v>
      </c>
      <c r="H33" s="45">
        <f>E33*(1-F33)*(1-G33)</f>
        <v>226.86032321813099</v>
      </c>
      <c r="I33" s="7" t="s">
        <v>3027</v>
      </c>
      <c r="J33" s="7" t="s">
        <v>3028</v>
      </c>
    </row>
    <row r="34" spans="1:10">
      <c r="A34" s="5" t="s">
        <v>3029</v>
      </c>
      <c r="B34" s="5" t="s">
        <v>2342</v>
      </c>
      <c r="C34" s="5" t="s">
        <v>2047</v>
      </c>
      <c r="D34" s="5" t="s">
        <v>96</v>
      </c>
      <c r="E34" s="45">
        <v>281.8</v>
      </c>
      <c r="F34" s="71">
        <v>2.2083929548971353E-2</v>
      </c>
      <c r="G34" s="71">
        <v>1.3276360486634076E-2</v>
      </c>
      <c r="H34" s="45">
        <f>E34*(1-F34)*(1-G34)</f>
        <v>271.91809239624683</v>
      </c>
      <c r="I34" s="7" t="s">
        <v>3030</v>
      </c>
      <c r="J34" s="7" t="s">
        <v>3031</v>
      </c>
    </row>
    <row r="35" spans="1:10">
      <c r="A35" s="5" t="s">
        <v>3032</v>
      </c>
      <c r="B35" s="5" t="s">
        <v>2343</v>
      </c>
      <c r="C35" s="5" t="s">
        <v>2044</v>
      </c>
      <c r="D35" s="5" t="s">
        <v>99</v>
      </c>
      <c r="E35" s="45">
        <v>277.42</v>
      </c>
      <c r="F35" s="71">
        <v>2.5417987026739863E-2</v>
      </c>
      <c r="G35" s="71">
        <v>1.291815573349595E-3</v>
      </c>
      <c r="H35" s="45">
        <f>E35*(1-F35)*(1-G35)</f>
        <v>270.01927574589195</v>
      </c>
      <c r="I35" s="7" t="s">
        <v>3033</v>
      </c>
      <c r="J35" s="7" t="s">
        <v>3034</v>
      </c>
    </row>
    <row r="36" spans="1:10">
      <c r="A36" s="5" t="s">
        <v>3035</v>
      </c>
      <c r="B36" s="5" t="s">
        <v>2344</v>
      </c>
      <c r="C36" s="5" t="s">
        <v>2313</v>
      </c>
      <c r="D36" s="5" t="s">
        <v>102</v>
      </c>
      <c r="E36" s="45">
        <v>242.62</v>
      </c>
      <c r="F36" s="71">
        <v>2.0071581434458495E-2</v>
      </c>
      <c r="G36" s="71">
        <v>4.1128208069130777E-3</v>
      </c>
      <c r="H36" s="45">
        <f>E36*(1-F36)*(1-G36)</f>
        <v>236.77240880760124</v>
      </c>
      <c r="I36" s="7" t="s">
        <v>3036</v>
      </c>
      <c r="J36" s="7" t="s">
        <v>3037</v>
      </c>
    </row>
    <row r="37" spans="1:10">
      <c r="A37" s="5" t="s">
        <v>3038</v>
      </c>
      <c r="B37" s="5" t="s">
        <v>2345</v>
      </c>
      <c r="C37" s="5" t="s">
        <v>2044</v>
      </c>
      <c r="D37" s="5" t="s">
        <v>105</v>
      </c>
      <c r="E37" s="45">
        <v>312.70999999999998</v>
      </c>
      <c r="F37" s="71">
        <v>1.1032441926654427E-2</v>
      </c>
      <c r="G37" s="71">
        <v>1.653335765004158E-3</v>
      </c>
      <c r="H37" s="45">
        <f>E37*(1-F37)*(1-G37)</f>
        <v>308.74873439188985</v>
      </c>
      <c r="I37" s="7" t="s">
        <v>3039</v>
      </c>
      <c r="J37" s="7" t="s">
        <v>3040</v>
      </c>
    </row>
    <row r="38" spans="1:10">
      <c r="A38" s="5" t="s">
        <v>3041</v>
      </c>
      <c r="B38" s="5" t="s">
        <v>2346</v>
      </c>
      <c r="C38" s="5" t="s">
        <v>2044</v>
      </c>
      <c r="D38" s="5" t="s">
        <v>107</v>
      </c>
      <c r="E38" s="45">
        <v>317.36</v>
      </c>
      <c r="F38" s="71">
        <v>1.0312851523049175E-2</v>
      </c>
      <c r="G38" s="71">
        <v>4.1756284097209575E-3</v>
      </c>
      <c r="H38" s="45">
        <f>E38*(1-F38)*(1-G38)</f>
        <v>312.7756023666351</v>
      </c>
      <c r="I38" s="7" t="s">
        <v>3042</v>
      </c>
      <c r="J38" s="7" t="s">
        <v>3043</v>
      </c>
    </row>
    <row r="39" spans="1:10">
      <c r="A39" s="5" t="s">
        <v>3044</v>
      </c>
      <c r="B39" s="5" t="s">
        <v>2347</v>
      </c>
      <c r="C39" s="5" t="s">
        <v>2317</v>
      </c>
      <c r="D39" s="5" t="s">
        <v>109</v>
      </c>
      <c r="E39" s="45">
        <v>271.27</v>
      </c>
      <c r="F39" s="71">
        <v>1.2964870969299226E-2</v>
      </c>
      <c r="G39" s="71">
        <v>5.9548079874366527E-3</v>
      </c>
      <c r="H39" s="45">
        <f>E39*(1-F39)*(1-G39)</f>
        <v>266.1586016332642</v>
      </c>
      <c r="I39" s="7" t="s">
        <v>3045</v>
      </c>
      <c r="J39" s="7" t="s">
        <v>3046</v>
      </c>
    </row>
    <row r="40" spans="1:10">
      <c r="A40" s="5" t="s">
        <v>3047</v>
      </c>
      <c r="B40" s="5" t="s">
        <v>2348</v>
      </c>
      <c r="C40" s="5" t="s">
        <v>2307</v>
      </c>
      <c r="D40" s="5" t="s">
        <v>120</v>
      </c>
      <c r="E40" s="45">
        <v>230.12</v>
      </c>
      <c r="F40" s="71">
        <v>1.9576292177662252E-2</v>
      </c>
      <c r="G40" s="71">
        <v>9.8793749650940305E-3</v>
      </c>
      <c r="H40" s="45">
        <f>E40*(1-F40)*(1-G40)</f>
        <v>223.386167437388</v>
      </c>
      <c r="I40" s="7" t="s">
        <v>3048</v>
      </c>
      <c r="J40" s="7" t="s">
        <v>3049</v>
      </c>
    </row>
    <row r="41" spans="1:10">
      <c r="A41" s="5" t="s">
        <v>3050</v>
      </c>
      <c r="B41" s="5" t="s">
        <v>2349</v>
      </c>
      <c r="C41" s="5" t="s">
        <v>2047</v>
      </c>
      <c r="D41" s="5" t="s">
        <v>121</v>
      </c>
      <c r="E41" s="45">
        <v>281.52999999999997</v>
      </c>
      <c r="F41" s="71">
        <v>4.1155673260800541E-3</v>
      </c>
      <c r="G41" s="71">
        <v>1.1903217248618602E-3</v>
      </c>
      <c r="H41" s="45">
        <f>E41*(1-F41)*(1-G41)</f>
        <v>280.03761222850312</v>
      </c>
      <c r="I41" s="7" t="s">
        <v>3051</v>
      </c>
      <c r="J41" s="7" t="s">
        <v>3052</v>
      </c>
    </row>
    <row r="42" spans="1:10">
      <c r="A42" s="5" t="s">
        <v>3053</v>
      </c>
      <c r="B42" s="5" t="s">
        <v>2350</v>
      </c>
      <c r="C42" s="5" t="s">
        <v>2044</v>
      </c>
      <c r="D42" s="5" t="s">
        <v>122</v>
      </c>
      <c r="E42" s="45">
        <v>313.27</v>
      </c>
      <c r="F42" s="71">
        <v>8.4411261370405544E-3</v>
      </c>
      <c r="G42" s="71">
        <v>1.7101977439597249E-3</v>
      </c>
      <c r="H42" s="45">
        <f>E42*(1-F42)*(1-G42)</f>
        <v>310.09441713191381</v>
      </c>
      <c r="I42" s="7" t="s">
        <v>3054</v>
      </c>
      <c r="J42" s="7" t="s">
        <v>3055</v>
      </c>
    </row>
    <row r="43" spans="1:10">
      <c r="A43" s="5" t="s">
        <v>3056</v>
      </c>
      <c r="B43" s="5" t="s">
        <v>2351</v>
      </c>
      <c r="C43" s="5" t="s">
        <v>2313</v>
      </c>
      <c r="D43" s="5" t="s">
        <v>123</v>
      </c>
      <c r="E43" s="45">
        <v>297.72000000000003</v>
      </c>
      <c r="F43" s="71">
        <v>1.3585163962561637E-2</v>
      </c>
      <c r="G43" s="71">
        <v>1.4751214729622007E-2</v>
      </c>
      <c r="H43" s="45">
        <f>E43*(1-F43)*(1-G43)</f>
        <v>289.34335573029847</v>
      </c>
      <c r="I43" s="7" t="s">
        <v>3057</v>
      </c>
      <c r="J43" s="7" t="s">
        <v>3058</v>
      </c>
    </row>
    <row r="44" spans="1:10">
      <c r="A44" s="5" t="s">
        <v>3059</v>
      </c>
      <c r="B44" s="5" t="s">
        <v>2352</v>
      </c>
      <c r="C44" s="5" t="s">
        <v>2044</v>
      </c>
      <c r="D44" s="5" t="s">
        <v>124</v>
      </c>
      <c r="E44" s="45">
        <v>275.93</v>
      </c>
      <c r="F44" s="71">
        <v>1.8400460779666901E-2</v>
      </c>
      <c r="G44" s="71">
        <v>9.3742094887420534E-3</v>
      </c>
      <c r="H44" s="45">
        <f>E44*(1-F44)*(1-G44)</f>
        <v>268.31373033618826</v>
      </c>
      <c r="I44" s="7" t="s">
        <v>3060</v>
      </c>
      <c r="J44" s="7" t="s">
        <v>3061</v>
      </c>
    </row>
    <row r="45" spans="1:10">
      <c r="A45" s="5" t="s">
        <v>3062</v>
      </c>
      <c r="B45" s="5" t="s">
        <v>2353</v>
      </c>
      <c r="C45" s="5" t="s">
        <v>2044</v>
      </c>
      <c r="D45" s="5" t="s">
        <v>125</v>
      </c>
      <c r="E45" s="45">
        <v>319.94</v>
      </c>
      <c r="F45" s="71">
        <v>5.8815008564852174E-3</v>
      </c>
      <c r="G45" s="71">
        <v>8.1967868283390997E-3</v>
      </c>
      <c r="H45" s="45">
        <f>E45*(1-F45)*(1-G45)</f>
        <v>315.45121675635323</v>
      </c>
      <c r="I45" s="7" t="s">
        <v>3063</v>
      </c>
      <c r="J45" s="7" t="s">
        <v>3064</v>
      </c>
    </row>
    <row r="46" spans="1:10">
      <c r="A46" s="5" t="s">
        <v>3065</v>
      </c>
      <c r="B46" s="5" t="s">
        <v>2354</v>
      </c>
      <c r="C46" s="5" t="s">
        <v>2096</v>
      </c>
      <c r="D46" s="5" t="s">
        <v>127</v>
      </c>
      <c r="E46" s="45">
        <v>181.53</v>
      </c>
      <c r="F46" s="71">
        <v>8.0097599560394889E-3</v>
      </c>
      <c r="G46" s="71">
        <v>1.8485772097483278E-3</v>
      </c>
      <c r="H46" s="45">
        <f>E46*(1-F46)*(1-G46)</f>
        <v>179.74310390723176</v>
      </c>
      <c r="I46" s="7" t="s">
        <v>3066</v>
      </c>
      <c r="J46" s="7" t="s">
        <v>3067</v>
      </c>
    </row>
    <row r="47" spans="1:10">
      <c r="A47" s="5" t="s">
        <v>3068</v>
      </c>
      <c r="B47" s="5" t="s">
        <v>2355</v>
      </c>
      <c r="C47" s="5" t="s">
        <v>2044</v>
      </c>
      <c r="D47" s="5" t="s">
        <v>130</v>
      </c>
      <c r="E47" s="45">
        <v>247.32</v>
      </c>
      <c r="F47" s="71">
        <v>2.4908444120083004E-2</v>
      </c>
      <c r="G47" s="71">
        <v>1.0020680231973529E-2</v>
      </c>
      <c r="H47" s="45">
        <f>E47*(1-F47)*(1-G47)</f>
        <v>238.74305992684654</v>
      </c>
      <c r="I47" s="7" t="s">
        <v>3069</v>
      </c>
      <c r="J47" s="7" t="s">
        <v>3070</v>
      </c>
    </row>
    <row r="48" spans="1:10">
      <c r="A48" s="5" t="s">
        <v>3071</v>
      </c>
      <c r="B48" s="5" t="s">
        <v>2356</v>
      </c>
      <c r="C48" s="5" t="s">
        <v>2327</v>
      </c>
      <c r="D48" s="5" t="s">
        <v>148</v>
      </c>
      <c r="E48" s="45">
        <v>153.46</v>
      </c>
      <c r="F48" s="71">
        <v>1.4317145654931664E-2</v>
      </c>
      <c r="G48" s="71">
        <v>2.6355428760871293E-3</v>
      </c>
      <c r="H48" s="45">
        <f>E48*(1-F48)*(1-G48)</f>
        <v>150.86423099345666</v>
      </c>
      <c r="I48" s="7" t="s">
        <v>3072</v>
      </c>
      <c r="J48" s="7" t="s">
        <v>3073</v>
      </c>
    </row>
    <row r="49" spans="1:10">
      <c r="A49" s="5" t="s">
        <v>3074</v>
      </c>
      <c r="B49" s="5" t="s">
        <v>2357</v>
      </c>
      <c r="C49" s="5" t="s">
        <v>2044</v>
      </c>
      <c r="D49" s="5" t="s">
        <v>132</v>
      </c>
      <c r="E49" s="45">
        <v>278.48</v>
      </c>
      <c r="F49" s="71">
        <v>2.4192955854814499E-2</v>
      </c>
      <c r="G49" s="71">
        <v>4.617516193538904E-3</v>
      </c>
      <c r="H49" s="45">
        <f>E49*(1-F49)*(1-G49)</f>
        <v>270.48796912501928</v>
      </c>
      <c r="I49" s="7" t="s">
        <v>3075</v>
      </c>
      <c r="J49" s="7" t="s">
        <v>3076</v>
      </c>
    </row>
    <row r="50" spans="1:10">
      <c r="A50" s="5" t="s">
        <v>3077</v>
      </c>
      <c r="B50" s="5" t="s">
        <v>2358</v>
      </c>
      <c r="C50" s="5" t="s">
        <v>2313</v>
      </c>
      <c r="D50" s="5" t="s">
        <v>133</v>
      </c>
      <c r="E50" s="45">
        <v>230.79</v>
      </c>
      <c r="F50" s="71">
        <v>4.4742111442610619E-3</v>
      </c>
      <c r="G50" s="71">
        <v>2.2579602198675277E-3</v>
      </c>
      <c r="H50" s="45">
        <f>E50*(1-F50)*(1-G50)</f>
        <v>229.23861374779864</v>
      </c>
      <c r="I50" s="7" t="s">
        <v>3078</v>
      </c>
      <c r="J50" s="7" t="s">
        <v>3079</v>
      </c>
    </row>
    <row r="51" spans="1:10">
      <c r="A51" s="5" t="s">
        <v>3080</v>
      </c>
      <c r="B51" s="5" t="s">
        <v>2359</v>
      </c>
      <c r="C51" s="5" t="s">
        <v>2044</v>
      </c>
      <c r="D51" s="5" t="s">
        <v>134</v>
      </c>
      <c r="E51" s="45">
        <v>232.54</v>
      </c>
      <c r="F51" s="71">
        <v>7.179760441649705E-3</v>
      </c>
      <c r="G51" s="71">
        <v>5.2207841072231531E-3</v>
      </c>
      <c r="H51" s="45">
        <f>E51*(1-F51)*(1-G51)</f>
        <v>229.66509389512998</v>
      </c>
      <c r="I51" s="7" t="s">
        <v>3081</v>
      </c>
      <c r="J51" s="7" t="s">
        <v>3082</v>
      </c>
    </row>
    <row r="52" spans="1:10">
      <c r="A52" s="5" t="s">
        <v>3083</v>
      </c>
      <c r="B52" s="5" t="s">
        <v>2360</v>
      </c>
      <c r="C52" s="5" t="s">
        <v>2044</v>
      </c>
      <c r="D52" s="5" t="s">
        <v>135</v>
      </c>
      <c r="E52" s="45">
        <v>284.17</v>
      </c>
      <c r="F52" s="71">
        <v>1.9603761602193116E-2</v>
      </c>
      <c r="G52" s="71">
        <v>1.2241953122429551E-2</v>
      </c>
      <c r="H52" s="45">
        <f>E52*(1-F52)*(1-G52)</f>
        <v>275.18860073059847</v>
      </c>
      <c r="I52" s="7" t="s">
        <v>3084</v>
      </c>
      <c r="J52" s="7" t="s">
        <v>3085</v>
      </c>
    </row>
    <row r="53" spans="1:10">
      <c r="A53" s="5" t="s">
        <v>3086</v>
      </c>
      <c r="B53" s="5" t="s">
        <v>2361</v>
      </c>
      <c r="C53" s="5" t="s">
        <v>2317</v>
      </c>
      <c r="D53" s="5" t="s">
        <v>136</v>
      </c>
      <c r="E53" s="45">
        <v>239.73</v>
      </c>
      <c r="F53" s="71">
        <v>3.8741248450241982E-3</v>
      </c>
      <c r="G53" s="71">
        <v>1.6493135392665864E-2</v>
      </c>
      <c r="H53" s="45">
        <f>E53*(1-F53)*(1-G53)</f>
        <v>234.86267460291614</v>
      </c>
      <c r="I53" s="7" t="s">
        <v>3087</v>
      </c>
      <c r="J53" s="7" t="s">
        <v>3088</v>
      </c>
    </row>
    <row r="54" spans="1:10">
      <c r="A54" s="5" t="s">
        <v>3089</v>
      </c>
      <c r="B54" s="5" t="s">
        <v>2362</v>
      </c>
      <c r="C54" s="5" t="s">
        <v>2307</v>
      </c>
      <c r="D54" s="5" t="s">
        <v>140</v>
      </c>
      <c r="E54" s="45">
        <v>287.77999999999997</v>
      </c>
      <c r="F54" s="71">
        <v>1.8069257629103958E-2</v>
      </c>
      <c r="G54" s="71">
        <v>1.8758082301355897E-2</v>
      </c>
      <c r="H54" s="45">
        <f>E54*(1-F54)*(1-G54)</f>
        <v>277.27936959805402</v>
      </c>
      <c r="I54" s="7" t="s">
        <v>3090</v>
      </c>
      <c r="J54" s="7" t="s">
        <v>3091</v>
      </c>
    </row>
    <row r="55" spans="1:10">
      <c r="A55" s="5" t="s">
        <v>3092</v>
      </c>
      <c r="B55" s="5" t="s">
        <v>2363</v>
      </c>
      <c r="C55" s="5" t="s">
        <v>2047</v>
      </c>
      <c r="D55" s="5" t="s">
        <v>141</v>
      </c>
      <c r="E55" s="45">
        <v>226.3</v>
      </c>
      <c r="F55" s="71">
        <v>1.9517567383591086E-2</v>
      </c>
      <c r="G55" s="71">
        <v>3.9541407581418758E-3</v>
      </c>
      <c r="H55" s="45">
        <f>E55*(1-F55)*(1-G55)</f>
        <v>221.0058171972527</v>
      </c>
      <c r="I55" s="7" t="s">
        <v>3093</v>
      </c>
      <c r="J55" s="7" t="s">
        <v>3094</v>
      </c>
    </row>
    <row r="56" spans="1:10">
      <c r="A56" s="5" t="s">
        <v>3095</v>
      </c>
      <c r="B56" s="5" t="s">
        <v>2364</v>
      </c>
      <c r="C56" s="5" t="s">
        <v>2044</v>
      </c>
      <c r="D56" s="5" t="s">
        <v>142</v>
      </c>
      <c r="E56" s="45">
        <v>265.04000000000002</v>
      </c>
      <c r="F56" s="71">
        <v>2.2624721406027674E-2</v>
      </c>
      <c r="G56" s="71">
        <v>9.8693826701492073E-4</v>
      </c>
      <c r="H56" s="45">
        <f>E56*(1-F56)*(1-G56)</f>
        <v>258.78788385230905</v>
      </c>
      <c r="I56" s="7" t="s">
        <v>3096</v>
      </c>
      <c r="J56" s="7" t="s">
        <v>3097</v>
      </c>
    </row>
    <row r="57" spans="1:10">
      <c r="A57" s="5" t="s">
        <v>3098</v>
      </c>
      <c r="B57" s="5" t="s">
        <v>2365</v>
      </c>
      <c r="C57" s="5" t="s">
        <v>2313</v>
      </c>
      <c r="D57" s="5" t="s">
        <v>143</v>
      </c>
      <c r="E57" s="45">
        <v>224.49</v>
      </c>
      <c r="F57" s="71">
        <v>9.2137312958948305E-3</v>
      </c>
      <c r="G57" s="71">
        <v>8.7782256864011293E-3</v>
      </c>
      <c r="H57" s="45">
        <f>E57*(1-F57)*(1-G57)</f>
        <v>220.46914237599998</v>
      </c>
      <c r="I57" s="7" t="s">
        <v>3099</v>
      </c>
      <c r="J57" s="7" t="s">
        <v>3100</v>
      </c>
    </row>
    <row r="58" spans="1:10">
      <c r="A58" s="5" t="s">
        <v>3101</v>
      </c>
      <c r="B58" s="5" t="s">
        <v>2366</v>
      </c>
      <c r="C58" s="5" t="s">
        <v>2311</v>
      </c>
      <c r="D58" s="5" t="s">
        <v>147</v>
      </c>
      <c r="E58" s="45">
        <v>228.3</v>
      </c>
      <c r="F58" s="71">
        <v>4.8984746402129528E-3</v>
      </c>
      <c r="G58" s="71">
        <v>3.8835976738482714E-4</v>
      </c>
      <c r="H58" s="45">
        <f>E58*(1-F58)*(1-G58)</f>
        <v>227.09345001592413</v>
      </c>
      <c r="I58" s="7" t="s">
        <v>3102</v>
      </c>
      <c r="J58" s="7" t="s">
        <v>3103</v>
      </c>
    </row>
    <row r="59" spans="1:10">
      <c r="A59" s="5" t="s">
        <v>3104</v>
      </c>
      <c r="B59" s="5" t="s">
        <v>2367</v>
      </c>
      <c r="C59" s="5" t="s">
        <v>2044</v>
      </c>
      <c r="D59" s="5" t="s">
        <v>145</v>
      </c>
      <c r="E59" s="45">
        <v>255.71</v>
      </c>
      <c r="F59" s="71">
        <v>1.6357206304091959E-2</v>
      </c>
      <c r="G59" s="71">
        <v>3.9369052369147544E-3</v>
      </c>
      <c r="H59" s="45">
        <f>E59*(1-F59)*(1-G59)</f>
        <v>250.53705963620249</v>
      </c>
      <c r="I59" s="7" t="s">
        <v>3105</v>
      </c>
      <c r="J59" s="7" t="s">
        <v>3106</v>
      </c>
    </row>
    <row r="60" spans="1:10">
      <c r="A60" s="5" t="s">
        <v>3107</v>
      </c>
      <c r="B60" s="5" t="s">
        <v>2368</v>
      </c>
      <c r="C60" s="5" t="s">
        <v>2317</v>
      </c>
      <c r="D60" s="5" t="s">
        <v>146</v>
      </c>
      <c r="E60" s="45">
        <v>309.06</v>
      </c>
      <c r="F60" s="71">
        <v>1.5654311813414097E-2</v>
      </c>
      <c r="G60" s="71">
        <v>1.3635508189909161E-2</v>
      </c>
      <c r="H60" s="45">
        <f>E60*(1-F60)*(1-G60)</f>
        <v>300.07365847659696</v>
      </c>
      <c r="I60" s="7" t="s">
        <v>3108</v>
      </c>
      <c r="J60" s="7" t="s">
        <v>3109</v>
      </c>
    </row>
    <row r="61" spans="1:10">
      <c r="A61" s="5" t="s">
        <v>3110</v>
      </c>
      <c r="B61" s="5" t="s">
        <v>2369</v>
      </c>
      <c r="C61" s="5" t="s">
        <v>2096</v>
      </c>
      <c r="D61" s="5" t="s">
        <v>127</v>
      </c>
      <c r="E61" s="45">
        <v>213.27</v>
      </c>
      <c r="F61" s="71">
        <v>2.4231753253843635E-2</v>
      </c>
      <c r="G61" s="71">
        <v>1.7444595508277417E-2</v>
      </c>
      <c r="H61" s="45">
        <f>E61*(1-F61)*(1-G61)</f>
        <v>204.47183712958417</v>
      </c>
      <c r="I61" s="7" t="s">
        <v>3111</v>
      </c>
      <c r="J61" s="7" t="s">
        <v>3112</v>
      </c>
    </row>
    <row r="62" spans="1:10">
      <c r="A62" s="5" t="s">
        <v>3113</v>
      </c>
      <c r="B62" s="5" t="s">
        <v>2370</v>
      </c>
      <c r="C62" s="5" t="s">
        <v>2047</v>
      </c>
      <c r="D62" s="5" t="s">
        <v>96</v>
      </c>
      <c r="E62" s="45">
        <v>242.9</v>
      </c>
      <c r="F62" s="71">
        <v>1.9654571623541416E-2</v>
      </c>
      <c r="G62" s="71">
        <v>1.5275809639133513E-2</v>
      </c>
      <c r="H62" s="45">
        <f>E62*(1-F62)*(1-G62)</f>
        <v>234.48833856454917</v>
      </c>
      <c r="I62" s="7" t="s">
        <v>3114</v>
      </c>
      <c r="J62" s="7" t="s">
        <v>3115</v>
      </c>
    </row>
    <row r="63" spans="1:10">
      <c r="A63" s="5" t="s">
        <v>3116</v>
      </c>
      <c r="B63" s="5" t="s">
        <v>2371</v>
      </c>
      <c r="C63" s="5" t="s">
        <v>2044</v>
      </c>
      <c r="D63" s="5" t="s">
        <v>99</v>
      </c>
      <c r="E63" s="45">
        <v>318.13</v>
      </c>
      <c r="F63" s="71">
        <v>1.6111183783505113E-2</v>
      </c>
      <c r="G63" s="71">
        <v>1.6846185354515909E-2</v>
      </c>
      <c r="H63" s="45">
        <f>E63*(1-F63)*(1-G63)</f>
        <v>307.73161645195853</v>
      </c>
      <c r="I63" s="7" t="s">
        <v>3117</v>
      </c>
      <c r="J63" s="7" t="s">
        <v>3118</v>
      </c>
    </row>
    <row r="64" spans="1:10">
      <c r="A64" s="5" t="s">
        <v>3119</v>
      </c>
      <c r="B64" s="5" t="s">
        <v>2372</v>
      </c>
      <c r="C64" s="5" t="s">
        <v>2313</v>
      </c>
      <c r="D64" s="5" t="s">
        <v>102</v>
      </c>
      <c r="E64" s="45">
        <v>282.93</v>
      </c>
      <c r="F64" s="71">
        <v>4.0960538852959872E-3</v>
      </c>
      <c r="G64" s="71">
        <v>7.4503076588734989E-3</v>
      </c>
      <c r="H64" s="45">
        <f>E64*(1-F64)*(1-G64)</f>
        <v>279.6718220639699</v>
      </c>
      <c r="I64" s="7" t="s">
        <v>3120</v>
      </c>
      <c r="J64" s="7" t="s">
        <v>3121</v>
      </c>
    </row>
    <row r="65" spans="1:10">
      <c r="A65" s="5" t="s">
        <v>3122</v>
      </c>
      <c r="B65" s="5" t="s">
        <v>2373</v>
      </c>
      <c r="C65" s="5" t="s">
        <v>2044</v>
      </c>
      <c r="D65" s="5" t="s">
        <v>105</v>
      </c>
      <c r="E65" s="45">
        <v>242.57</v>
      </c>
      <c r="F65" s="71">
        <v>1.1491068850737064E-2</v>
      </c>
      <c r="G65" s="71">
        <v>1.2307208199054002E-2</v>
      </c>
      <c r="H65" s="45">
        <f>E65*(1-F65)*(1-G65)</f>
        <v>236.83155690750868</v>
      </c>
      <c r="I65" s="7" t="s">
        <v>3123</v>
      </c>
      <c r="J65" s="7" t="s">
        <v>3124</v>
      </c>
    </row>
    <row r="66" spans="1:10">
      <c r="A66" s="5" t="s">
        <v>3125</v>
      </c>
      <c r="B66" s="5" t="s">
        <v>2374</v>
      </c>
      <c r="C66" s="5" t="s">
        <v>2044</v>
      </c>
      <c r="D66" s="5" t="s">
        <v>107</v>
      </c>
      <c r="E66" s="45">
        <v>264.97000000000003</v>
      </c>
      <c r="F66" s="71">
        <v>8.8768385304138064E-3</v>
      </c>
      <c r="G66" s="71">
        <v>4.4912508176639674E-3</v>
      </c>
      <c r="H66" s="45">
        <f>E66*(1-F66)*(1-G66)</f>
        <v>261.4384212180982</v>
      </c>
      <c r="I66" s="7" t="s">
        <v>3126</v>
      </c>
      <c r="J66" s="7" t="s">
        <v>3127</v>
      </c>
    </row>
    <row r="67" spans="1:10">
      <c r="A67" s="5" t="s">
        <v>3128</v>
      </c>
      <c r="B67" s="5" t="s">
        <v>2375</v>
      </c>
      <c r="C67" s="5" t="s">
        <v>2317</v>
      </c>
      <c r="D67" s="5" t="s">
        <v>109</v>
      </c>
      <c r="E67" s="45">
        <v>311.85000000000002</v>
      </c>
      <c r="F67" s="71">
        <v>1.1577496819663793E-2</v>
      </c>
      <c r="G67" s="71">
        <v>1.9983860040083529E-2</v>
      </c>
      <c r="H67" s="45">
        <f>E67*(1-F67)*(1-G67)</f>
        <v>302.07974143855671</v>
      </c>
      <c r="I67" s="7" t="s">
        <v>3129</v>
      </c>
      <c r="J67" s="7" t="s">
        <v>3130</v>
      </c>
    </row>
    <row r="68" spans="1:10">
      <c r="A68" s="5" t="s">
        <v>3131</v>
      </c>
      <c r="B68" s="5" t="s">
        <v>2376</v>
      </c>
      <c r="C68" s="5" t="s">
        <v>2307</v>
      </c>
      <c r="D68" s="5" t="s">
        <v>120</v>
      </c>
      <c r="E68" s="45">
        <v>254.07</v>
      </c>
      <c r="F68" s="71">
        <v>9.7547977231442918E-3</v>
      </c>
      <c r="G68" s="71">
        <v>1.1747706262394786E-3</v>
      </c>
      <c r="H68" s="45">
        <f>E68*(1-F68)*(1-G68)</f>
        <v>251.29603612270438</v>
      </c>
      <c r="I68" s="7" t="s">
        <v>3132</v>
      </c>
      <c r="J68" s="7" t="s">
        <v>3133</v>
      </c>
    </row>
    <row r="69" spans="1:10">
      <c r="A69" s="5" t="s">
        <v>3134</v>
      </c>
      <c r="B69" s="5" t="s">
        <v>2377</v>
      </c>
      <c r="C69" s="5" t="s">
        <v>2047</v>
      </c>
      <c r="D69" s="5" t="s">
        <v>121</v>
      </c>
      <c r="E69" s="45">
        <v>241.28</v>
      </c>
      <c r="F69" s="71">
        <v>7.735273686703294E-3</v>
      </c>
      <c r="G69" s="71">
        <v>9.0102659910917277E-3</v>
      </c>
      <c r="H69" s="45">
        <f>E69*(1-F69)*(1-G69)</f>
        <v>237.25645264816305</v>
      </c>
      <c r="I69" s="7" t="s">
        <v>3135</v>
      </c>
      <c r="J69" s="7" t="s">
        <v>3136</v>
      </c>
    </row>
    <row r="70" spans="1:10">
      <c r="A70" s="5" t="s">
        <v>3137</v>
      </c>
      <c r="B70" s="5" t="s">
        <v>2378</v>
      </c>
      <c r="C70" s="5" t="s">
        <v>2094</v>
      </c>
      <c r="D70" s="5" t="s">
        <v>129</v>
      </c>
      <c r="E70" s="45">
        <v>122.7</v>
      </c>
      <c r="F70" s="71">
        <v>1.1519514815881847E-3</v>
      </c>
      <c r="G70" s="71">
        <v>6.0812865057960153E-3</v>
      </c>
      <c r="H70" s="45">
        <f>E70*(1-F70)*(1-G70)</f>
        <v>121.81334125502491</v>
      </c>
      <c r="I70" s="7" t="s">
        <v>3138</v>
      </c>
      <c r="J70" s="7" t="s">
        <v>3139</v>
      </c>
    </row>
    <row r="71" spans="1:10">
      <c r="A71" s="5" t="s">
        <v>3140</v>
      </c>
      <c r="B71" s="5" t="s">
        <v>2379</v>
      </c>
      <c r="C71" s="5" t="s">
        <v>2313</v>
      </c>
      <c r="D71" s="5" t="s">
        <v>123</v>
      </c>
      <c r="E71" s="45">
        <v>298.41000000000003</v>
      </c>
      <c r="F71" s="71">
        <v>1.9127254898194224E-2</v>
      </c>
      <c r="G71" s="71">
        <v>6.9430395029485231E-4</v>
      </c>
      <c r="H71" s="45">
        <f>E71*(1-F71)*(1-G71)</f>
        <v>292.49901154720811</v>
      </c>
      <c r="I71" s="7" t="s">
        <v>3141</v>
      </c>
      <c r="J71" s="7" t="s">
        <v>3142</v>
      </c>
    </row>
    <row r="72" spans="1:10">
      <c r="A72" s="5" t="s">
        <v>3143</v>
      </c>
      <c r="B72" s="5" t="s">
        <v>2380</v>
      </c>
      <c r="C72" s="5" t="s">
        <v>2044</v>
      </c>
      <c r="D72" s="5" t="s">
        <v>124</v>
      </c>
      <c r="E72" s="45">
        <v>282.27</v>
      </c>
      <c r="F72" s="71">
        <v>2.8317801570519805E-2</v>
      </c>
      <c r="G72" s="71">
        <v>1.7160805775783956E-2</v>
      </c>
      <c r="H72" s="45">
        <f>E72*(1-F72)*(1-G72)</f>
        <v>269.56992438711308</v>
      </c>
      <c r="I72" s="7" t="s">
        <v>3144</v>
      </c>
      <c r="J72" s="7" t="s">
        <v>3145</v>
      </c>
    </row>
    <row r="73" spans="1:10">
      <c r="A73" s="5" t="s">
        <v>3146</v>
      </c>
      <c r="B73" s="5" t="s">
        <v>2381</v>
      </c>
      <c r="C73" s="5" t="s">
        <v>2044</v>
      </c>
      <c r="D73" s="5" t="s">
        <v>125</v>
      </c>
      <c r="E73" s="45">
        <v>235.82</v>
      </c>
      <c r="F73" s="71">
        <v>1.2133920087944715E-2</v>
      </c>
      <c r="G73" s="71">
        <v>1.3610950242727996E-2</v>
      </c>
      <c r="H73" s="45">
        <f>E73*(1-F73)*(1-G73)</f>
        <v>229.78779133795356</v>
      </c>
      <c r="I73" s="7" t="s">
        <v>3147</v>
      </c>
      <c r="J73" s="7" t="s">
        <v>3148</v>
      </c>
    </row>
    <row r="74" spans="1:10">
      <c r="A74" s="5" t="s">
        <v>3149</v>
      </c>
      <c r="B74" s="5" t="s">
        <v>2382</v>
      </c>
      <c r="C74" s="5" t="s">
        <v>2317</v>
      </c>
      <c r="D74" s="5" t="s">
        <v>126</v>
      </c>
      <c r="E74" s="45">
        <v>220.65</v>
      </c>
      <c r="F74" s="71">
        <v>2.8164387806318698E-2</v>
      </c>
      <c r="G74" s="71">
        <v>1.6463567879982294E-2</v>
      </c>
      <c r="H74" s="45">
        <f>E74*(1-F74)*(1-G74)</f>
        <v>210.90515396221792</v>
      </c>
      <c r="I74" s="7" t="s">
        <v>3150</v>
      </c>
      <c r="J74" s="7" t="s">
        <v>3151</v>
      </c>
    </row>
    <row r="75" spans="1:10">
      <c r="A75" s="5" t="s">
        <v>3152</v>
      </c>
      <c r="B75" s="5" t="s">
        <v>2383</v>
      </c>
      <c r="C75" s="5" t="s">
        <v>2044</v>
      </c>
      <c r="D75" s="5" t="s">
        <v>130</v>
      </c>
      <c r="E75" s="45">
        <v>238.92</v>
      </c>
      <c r="F75" s="71">
        <v>1.1202848937828093E-2</v>
      </c>
      <c r="G75" s="71">
        <v>1.9473518328741193E-2</v>
      </c>
      <c r="H75" s="45">
        <f>E75*(1-F75)*(1-G75)</f>
        <v>231.64292485326638</v>
      </c>
      <c r="I75" s="7" t="s">
        <v>3153</v>
      </c>
      <c r="J75" s="7" t="s">
        <v>3154</v>
      </c>
    </row>
    <row r="76" spans="1:10">
      <c r="A76" s="5" t="s">
        <v>3155</v>
      </c>
      <c r="B76" s="5" t="s">
        <v>2384</v>
      </c>
      <c r="C76" s="5" t="s">
        <v>2047</v>
      </c>
      <c r="D76" s="5" t="s">
        <v>131</v>
      </c>
      <c r="E76" s="45">
        <v>303.02</v>
      </c>
      <c r="F76" s="71">
        <v>2.8701045289635657E-2</v>
      </c>
      <c r="G76" s="71">
        <v>1.6328513319604099E-2</v>
      </c>
      <c r="H76" s="45">
        <f>E76*(1-F76)*(1-G76)</f>
        <v>289.51715207942652</v>
      </c>
      <c r="I76" s="7" t="s">
        <v>3156</v>
      </c>
      <c r="J76" s="7" t="s">
        <v>3157</v>
      </c>
    </row>
    <row r="77" spans="1:10">
      <c r="A77" s="5" t="s">
        <v>3158</v>
      </c>
      <c r="B77" s="5" t="s">
        <v>2385</v>
      </c>
      <c r="C77" s="5" t="s">
        <v>2044</v>
      </c>
      <c r="D77" s="5" t="s">
        <v>132</v>
      </c>
      <c r="E77" s="45">
        <v>279.76</v>
      </c>
      <c r="F77" s="71">
        <v>4.1642823955044149E-4</v>
      </c>
      <c r="G77" s="71">
        <v>8.1983179226517676E-3</v>
      </c>
      <c r="H77" s="45">
        <f>E77*(1-F77)*(1-G77)</f>
        <v>277.35089371740759</v>
      </c>
      <c r="I77" s="7" t="s">
        <v>3159</v>
      </c>
      <c r="J77" s="7" t="s">
        <v>3160</v>
      </c>
    </row>
    <row r="78" spans="1:10">
      <c r="A78" s="5" t="s">
        <v>3161</v>
      </c>
      <c r="B78" s="5" t="s">
        <v>2386</v>
      </c>
      <c r="C78" s="5" t="s">
        <v>2313</v>
      </c>
      <c r="D78" s="5" t="s">
        <v>133</v>
      </c>
      <c r="E78" s="45">
        <v>261.31</v>
      </c>
      <c r="F78" s="71">
        <v>1.8002700456418098E-2</v>
      </c>
      <c r="G78" s="71">
        <v>1.372839012183249E-3</v>
      </c>
      <c r="H78" s="45">
        <f>E78*(1-F78)*(1-G78)</f>
        <v>256.25343600833315</v>
      </c>
      <c r="I78" s="7" t="s">
        <v>3162</v>
      </c>
      <c r="J78" s="7" t="s">
        <v>3163</v>
      </c>
    </row>
    <row r="79" spans="1:10">
      <c r="A79" s="5" t="s">
        <v>3164</v>
      </c>
      <c r="B79" s="5" t="s">
        <v>2387</v>
      </c>
      <c r="C79" s="5" t="s">
        <v>2044</v>
      </c>
      <c r="D79" s="5" t="s">
        <v>134</v>
      </c>
      <c r="E79" s="45">
        <v>271.45999999999998</v>
      </c>
      <c r="F79" s="71">
        <v>2.415791711071506E-2</v>
      </c>
      <c r="G79" s="71">
        <v>2.7071681153029202E-3</v>
      </c>
      <c r="H79" s="45">
        <f>E79*(1-F79)*(1-G79)</f>
        <v>264.18495732447008</v>
      </c>
      <c r="I79" s="7" t="s">
        <v>3165</v>
      </c>
      <c r="J79" s="7" t="s">
        <v>3166</v>
      </c>
    </row>
    <row r="80" spans="1:10">
      <c r="A80" s="5" t="s">
        <v>3167</v>
      </c>
      <c r="B80" s="5" t="s">
        <v>2388</v>
      </c>
      <c r="C80" s="5" t="s">
        <v>2044</v>
      </c>
      <c r="D80" s="5" t="s">
        <v>135</v>
      </c>
      <c r="E80" s="45">
        <v>288.14</v>
      </c>
      <c r="F80" s="71">
        <v>2.9417028212919829E-2</v>
      </c>
      <c r="G80" s="71">
        <v>1.0645433044992388E-2</v>
      </c>
      <c r="H80" s="45">
        <f>E80*(1-F80)*(1-G80)</f>
        <v>276.68663547234206</v>
      </c>
      <c r="I80" s="7" t="s">
        <v>3168</v>
      </c>
      <c r="J80" s="7" t="s">
        <v>3169</v>
      </c>
    </row>
    <row r="81" spans="1:10">
      <c r="A81" s="5" t="s">
        <v>3170</v>
      </c>
      <c r="B81" s="5" t="s">
        <v>2389</v>
      </c>
      <c r="C81" s="5" t="s">
        <v>2317</v>
      </c>
      <c r="D81" s="5" t="s">
        <v>136</v>
      </c>
      <c r="E81" s="45">
        <v>227.02</v>
      </c>
      <c r="F81" s="71">
        <v>1.5675919193308799E-2</v>
      </c>
      <c r="G81" s="71">
        <v>1.0984854344278575E-2</v>
      </c>
      <c r="H81" s="45">
        <f>E81*(1-F81)*(1-G81)</f>
        <v>221.00656351086533</v>
      </c>
      <c r="I81" s="7" t="s">
        <v>3171</v>
      </c>
      <c r="J81" s="7" t="s">
        <v>3172</v>
      </c>
    </row>
    <row r="82" spans="1:10">
      <c r="A82" s="5" t="s">
        <v>3173</v>
      </c>
      <c r="B82" s="5" t="s">
        <v>2390</v>
      </c>
      <c r="C82" s="5" t="s">
        <v>2307</v>
      </c>
      <c r="D82" s="5" t="s">
        <v>140</v>
      </c>
      <c r="E82" s="45">
        <v>243.16</v>
      </c>
      <c r="F82" s="71">
        <v>2.9627901795320211E-2</v>
      </c>
      <c r="G82" s="71">
        <v>1.3545263041742146E-2</v>
      </c>
      <c r="H82" s="45">
        <f>E82*(1-F82)*(1-G82)</f>
        <v>232.7595976557914</v>
      </c>
      <c r="I82" s="7" t="s">
        <v>3174</v>
      </c>
      <c r="J82" s="7" t="s">
        <v>3175</v>
      </c>
    </row>
    <row r="83" spans="1:10">
      <c r="A83" s="5" t="s">
        <v>3176</v>
      </c>
      <c r="B83" s="5" t="s">
        <v>2391</v>
      </c>
      <c r="C83" s="5" t="s">
        <v>2047</v>
      </c>
      <c r="D83" s="5" t="s">
        <v>141</v>
      </c>
      <c r="E83" s="45">
        <v>221.83</v>
      </c>
      <c r="F83" s="71">
        <v>2.0970357537735254E-2</v>
      </c>
      <c r="G83" s="71">
        <v>9.7502530552446849E-4</v>
      </c>
      <c r="H83" s="45">
        <f>E83*(1-F83)*(1-G83)</f>
        <v>216.96639139964961</v>
      </c>
      <c r="I83" s="7" t="s">
        <v>3177</v>
      </c>
      <c r="J83" s="7" t="s">
        <v>3178</v>
      </c>
    </row>
    <row r="84" spans="1:10">
      <c r="A84" s="5" t="s">
        <v>3179</v>
      </c>
      <c r="B84" s="5" t="s">
        <v>2392</v>
      </c>
      <c r="C84" s="5" t="s">
        <v>2096</v>
      </c>
      <c r="D84" s="5" t="s">
        <v>172</v>
      </c>
      <c r="E84" s="45">
        <v>212.41</v>
      </c>
      <c r="F84" s="71">
        <v>2.4620301369577647E-2</v>
      </c>
      <c r="G84" s="71">
        <v>2.8128236113116145E-3</v>
      </c>
      <c r="H84" s="45">
        <f>E84*(1-F84)*(1-G84)</f>
        <v>206.59763986014309</v>
      </c>
      <c r="I84" s="7" t="s">
        <v>3180</v>
      </c>
      <c r="J84" s="7" t="s">
        <v>3181</v>
      </c>
    </row>
    <row r="85" spans="1:10">
      <c r="A85" s="5" t="s">
        <v>3182</v>
      </c>
      <c r="B85" s="5" t="s">
        <v>2393</v>
      </c>
      <c r="C85" s="5" t="s">
        <v>2313</v>
      </c>
      <c r="D85" s="5" t="s">
        <v>143</v>
      </c>
      <c r="E85" s="45">
        <v>273.48</v>
      </c>
      <c r="F85" s="71">
        <v>2.412421975051984E-2</v>
      </c>
      <c r="G85" s="71">
        <v>9.308182150125504E-3</v>
      </c>
      <c r="H85" s="45">
        <f>E85*(1-F85)*(1-G85)</f>
        <v>264.39831738191998</v>
      </c>
      <c r="I85" s="7" t="s">
        <v>3183</v>
      </c>
      <c r="J85" s="7" t="s">
        <v>3184</v>
      </c>
    </row>
    <row r="86" spans="1:10">
      <c r="A86" s="5" t="s">
        <v>3185</v>
      </c>
      <c r="B86" s="5" t="s">
        <v>2394</v>
      </c>
      <c r="C86" s="5" t="s">
        <v>2044</v>
      </c>
      <c r="D86" s="5" t="s">
        <v>144</v>
      </c>
      <c r="E86" s="45">
        <v>284.99</v>
      </c>
      <c r="F86" s="71">
        <v>4.9102067621424796E-3</v>
      </c>
      <c r="G86" s="71">
        <v>1.9328529597260058E-2</v>
      </c>
      <c r="H86" s="45">
        <f>E86*(1-F86)*(1-G86)</f>
        <v>278.10925009273137</v>
      </c>
      <c r="I86" s="7" t="s">
        <v>3186</v>
      </c>
      <c r="J86" s="7" t="s">
        <v>3187</v>
      </c>
    </row>
    <row r="87" spans="1:10">
      <c r="A87" s="5" t="s">
        <v>3188</v>
      </c>
      <c r="B87" s="5" t="s">
        <v>2395</v>
      </c>
      <c r="C87" s="5" t="s">
        <v>2044</v>
      </c>
      <c r="D87" s="5" t="s">
        <v>145</v>
      </c>
      <c r="E87" s="45">
        <v>264.7</v>
      </c>
      <c r="F87" s="71">
        <v>2.5859637858811766E-2</v>
      </c>
      <c r="G87" s="71">
        <v>1.3859318559989333E-2</v>
      </c>
      <c r="H87" s="45">
        <f>E87*(1-F87)*(1-G87)</f>
        <v>254.28125991097247</v>
      </c>
      <c r="I87" s="7" t="s">
        <v>3189</v>
      </c>
      <c r="J87" s="7" t="s">
        <v>3190</v>
      </c>
    </row>
    <row r="88" spans="1:10">
      <c r="A88" s="5" t="s">
        <v>3191</v>
      </c>
      <c r="B88" s="5" t="s">
        <v>2396</v>
      </c>
      <c r="C88" s="5" t="s">
        <v>2317</v>
      </c>
      <c r="D88" s="5" t="s">
        <v>146</v>
      </c>
      <c r="E88" s="45">
        <v>239.25</v>
      </c>
      <c r="F88" s="71">
        <v>1.9986984087154269E-2</v>
      </c>
      <c r="G88" s="71">
        <v>7.8464730968698868E-3</v>
      </c>
      <c r="H88" s="45">
        <f>E88*(1-F88)*(1-G88)</f>
        <v>232.62836630812509</v>
      </c>
      <c r="I88" s="7" t="s">
        <v>3192</v>
      </c>
      <c r="J88" s="7" t="s">
        <v>3193</v>
      </c>
    </row>
    <row r="89" spans="1:10">
      <c r="A89" s="5" t="s">
        <v>3194</v>
      </c>
      <c r="B89" s="5" t="s">
        <v>2397</v>
      </c>
      <c r="C89" s="5" t="s">
        <v>2307</v>
      </c>
      <c r="D89" s="5" t="s">
        <v>93</v>
      </c>
      <c r="E89" s="45">
        <v>279.56</v>
      </c>
      <c r="F89" s="71">
        <v>1.1579289219807833E-2</v>
      </c>
      <c r="G89" s="71">
        <v>8.9804265461862088E-3</v>
      </c>
      <c r="H89" s="45">
        <f>E89*(1-F89)*(1-G89)</f>
        <v>273.84139645396061</v>
      </c>
      <c r="I89" s="7" t="s">
        <v>3195</v>
      </c>
      <c r="J89" s="7" t="s">
        <v>3196</v>
      </c>
    </row>
    <row r="90" spans="1:10">
      <c r="A90" s="5" t="s">
        <v>3197</v>
      </c>
      <c r="B90" s="5" t="s">
        <v>2398</v>
      </c>
      <c r="C90" s="5" t="s">
        <v>2047</v>
      </c>
      <c r="D90" s="5" t="s">
        <v>96</v>
      </c>
      <c r="E90" s="45">
        <v>262.63</v>
      </c>
      <c r="F90" s="71">
        <v>2.214038541074842E-2</v>
      </c>
      <c r="G90" s="71">
        <v>1.4052434684708715E-3</v>
      </c>
      <c r="H90" s="45">
        <f>E90*(1-F90)*(1-G90)</f>
        <v>256.45438259798959</v>
      </c>
      <c r="I90" s="7" t="s">
        <v>3198</v>
      </c>
      <c r="J90" s="7" t="s">
        <v>3199</v>
      </c>
    </row>
    <row r="91" spans="1:10">
      <c r="A91" s="5" t="s">
        <v>3200</v>
      </c>
      <c r="B91" s="5" t="s">
        <v>2399</v>
      </c>
      <c r="C91" s="5" t="s">
        <v>2096</v>
      </c>
      <c r="D91" s="5" t="s">
        <v>127</v>
      </c>
      <c r="E91" s="45">
        <v>200.25</v>
      </c>
      <c r="F91" s="71">
        <v>5.3396516782231625E-3</v>
      </c>
      <c r="G91" s="71">
        <v>7.1944890636950736E-3</v>
      </c>
      <c r="H91" s="45">
        <f>E91*(1-F91)*(1-G91)</f>
        <v>197.74773113356787</v>
      </c>
      <c r="I91" s="7" t="s">
        <v>3201</v>
      </c>
      <c r="J91" s="7" t="s">
        <v>3202</v>
      </c>
    </row>
    <row r="92" spans="1:10">
      <c r="A92" s="5" t="s">
        <v>3203</v>
      </c>
      <c r="B92" s="5" t="s">
        <v>2400</v>
      </c>
      <c r="C92" s="5" t="s">
        <v>2313</v>
      </c>
      <c r="D92" s="5" t="s">
        <v>102</v>
      </c>
      <c r="E92" s="45">
        <v>254.76</v>
      </c>
      <c r="F92" s="71">
        <v>2.608451496809721E-2</v>
      </c>
      <c r="G92" s="71">
        <v>1.6239540795795621E-2</v>
      </c>
      <c r="H92" s="45">
        <f>E92*(1-F92)*(1-G92)</f>
        <v>244.08544002842544</v>
      </c>
      <c r="I92" s="7" t="s">
        <v>3204</v>
      </c>
      <c r="J92" s="7" t="s">
        <v>3205</v>
      </c>
    </row>
    <row r="93" spans="1:10">
      <c r="A93" s="5" t="s">
        <v>3206</v>
      </c>
      <c r="B93" s="5" t="s">
        <v>2401</v>
      </c>
      <c r="C93" s="5" t="s">
        <v>2044</v>
      </c>
      <c r="D93" s="5" t="s">
        <v>105</v>
      </c>
      <c r="E93" s="45">
        <v>228.44</v>
      </c>
      <c r="F93" s="71">
        <v>2.3966318049933759E-2</v>
      </c>
      <c r="G93" s="71">
        <v>8.4227367863059042E-3</v>
      </c>
      <c r="H93" s="45">
        <f>E93*(1-F93)*(1-G93)</f>
        <v>221.08715766590151</v>
      </c>
      <c r="I93" s="7" t="s">
        <v>3207</v>
      </c>
      <c r="J93" s="7" t="s">
        <v>3208</v>
      </c>
    </row>
    <row r="94" spans="1:10">
      <c r="A94" s="5" t="s">
        <v>3209</v>
      </c>
      <c r="B94" s="5" t="s">
        <v>2402</v>
      </c>
      <c r="C94" s="5" t="s">
        <v>2096</v>
      </c>
      <c r="D94" s="5" t="s">
        <v>172</v>
      </c>
      <c r="E94" s="45">
        <v>229.3</v>
      </c>
      <c r="F94" s="71">
        <v>2.4219748238101602E-3</v>
      </c>
      <c r="G94" s="71">
        <v>9.8170945281162852E-3</v>
      </c>
      <c r="H94" s="45">
        <f>E94*(1-F94)*(1-G94)</f>
        <v>226.49903340770595</v>
      </c>
      <c r="I94" s="7" t="s">
        <v>3210</v>
      </c>
      <c r="J94" s="7" t="s">
        <v>3211</v>
      </c>
    </row>
    <row r="95" spans="1:10">
      <c r="A95" s="5" t="s">
        <v>3212</v>
      </c>
      <c r="B95" s="5" t="s">
        <v>2403</v>
      </c>
      <c r="C95" s="5" t="s">
        <v>2317</v>
      </c>
      <c r="D95" s="5" t="s">
        <v>109</v>
      </c>
      <c r="E95" s="45">
        <v>254.19</v>
      </c>
      <c r="F95" s="71">
        <v>2.7738371884915975E-2</v>
      </c>
      <c r="G95" s="71">
        <v>1.369585263542831E-2</v>
      </c>
      <c r="H95" s="45">
        <f>E95*(1-F95)*(1-G95)</f>
        <v>243.75440141633322</v>
      </c>
      <c r="I95" s="7" t="s">
        <v>3213</v>
      </c>
      <c r="J95" s="7" t="s">
        <v>3214</v>
      </c>
    </row>
    <row r="96" spans="1:10">
      <c r="A96" s="5" t="s">
        <v>3215</v>
      </c>
      <c r="B96" s="5" t="s">
        <v>2404</v>
      </c>
      <c r="C96" s="5" t="s">
        <v>2307</v>
      </c>
      <c r="D96" s="5" t="s">
        <v>120</v>
      </c>
      <c r="E96" s="45">
        <v>222.12</v>
      </c>
      <c r="F96" s="71">
        <v>1.4387887241318821E-2</v>
      </c>
      <c r="G96" s="71">
        <v>3.3949302649125459E-3</v>
      </c>
      <c r="H96" s="45">
        <f>E96*(1-F96)*(1-G96)</f>
        <v>218.18093022101405</v>
      </c>
      <c r="I96" s="7" t="s">
        <v>3216</v>
      </c>
      <c r="J96" s="7" t="s">
        <v>3217</v>
      </c>
    </row>
    <row r="97" spans="1:10">
      <c r="A97" s="5" t="s">
        <v>3218</v>
      </c>
      <c r="B97" s="5" t="s">
        <v>2405</v>
      </c>
      <c r="C97" s="5" t="s">
        <v>2311</v>
      </c>
      <c r="D97" s="5" t="s">
        <v>137</v>
      </c>
      <c r="E97" s="45">
        <v>215.72</v>
      </c>
      <c r="F97" s="71">
        <v>1.261374833760783E-2</v>
      </c>
      <c r="G97" s="71">
        <v>1.1022463906556368E-2</v>
      </c>
      <c r="H97" s="45">
        <f>E97*(1-F97)*(1-G97)</f>
        <v>210.65118883553285</v>
      </c>
      <c r="I97" s="7" t="s">
        <v>3219</v>
      </c>
      <c r="J97" s="7" t="s">
        <v>3220</v>
      </c>
    </row>
    <row r="98" spans="1:10">
      <c r="A98" s="5" t="s">
        <v>3221</v>
      </c>
      <c r="B98" s="5" t="s">
        <v>2406</v>
      </c>
      <c r="C98" s="5" t="s">
        <v>2044</v>
      </c>
      <c r="D98" s="5" t="s">
        <v>122</v>
      </c>
      <c r="E98" s="45">
        <v>247.74</v>
      </c>
      <c r="F98" s="71">
        <v>1.7850600401870906E-2</v>
      </c>
      <c r="G98" s="71">
        <v>1.8477308903820815E-2</v>
      </c>
      <c r="H98" s="45">
        <f>E98*(1-F98)*(1-G98)</f>
        <v>238.82183609485344</v>
      </c>
      <c r="I98" s="7" t="s">
        <v>3222</v>
      </c>
      <c r="J98" s="7" t="s">
        <v>3223</v>
      </c>
    </row>
    <row r="99" spans="1:10">
      <c r="A99" s="5" t="s">
        <v>3224</v>
      </c>
      <c r="B99" s="5" t="s">
        <v>2407</v>
      </c>
      <c r="C99" s="5" t="s">
        <v>2313</v>
      </c>
      <c r="D99" s="5" t="s">
        <v>123</v>
      </c>
      <c r="E99" s="45">
        <v>271.01</v>
      </c>
      <c r="F99" s="71">
        <v>1.0715550847817211E-2</v>
      </c>
      <c r="G99" s="71">
        <v>1.2904668087139725E-2</v>
      </c>
      <c r="H99" s="45">
        <f>E99*(1-F99)*(1-G99)</f>
        <v>264.64615989917735</v>
      </c>
      <c r="I99" s="7" t="s">
        <v>3225</v>
      </c>
      <c r="J99" s="7" t="s">
        <v>3226</v>
      </c>
    </row>
    <row r="100" spans="1:10">
      <c r="A100" s="5" t="s">
        <v>3227</v>
      </c>
      <c r="B100" s="5" t="s">
        <v>2408</v>
      </c>
      <c r="C100" s="5" t="s">
        <v>2044</v>
      </c>
      <c r="D100" s="5" t="s">
        <v>124</v>
      </c>
      <c r="E100" s="45">
        <v>281.3</v>
      </c>
      <c r="F100" s="71">
        <v>2.85986184887588E-2</v>
      </c>
      <c r="G100" s="71">
        <v>1.5014693620614708E-2</v>
      </c>
      <c r="H100" s="45">
        <f>E100*(1-F100)*(1-G100)</f>
        <v>269.15236538145905</v>
      </c>
      <c r="I100" s="7" t="s">
        <v>3228</v>
      </c>
      <c r="J100" s="7" t="s">
        <v>3229</v>
      </c>
    </row>
    <row r="101" spans="1:10">
      <c r="A101" s="5" t="s">
        <v>3230</v>
      </c>
      <c r="B101" s="5" t="s">
        <v>2409</v>
      </c>
      <c r="C101" s="5" t="s">
        <v>2044</v>
      </c>
      <c r="D101" s="5" t="s">
        <v>125</v>
      </c>
      <c r="E101" s="45">
        <v>262.43</v>
      </c>
      <c r="F101" s="71">
        <v>1.2625466210301965E-2</v>
      </c>
      <c r="G101" s="71">
        <v>1.4150494709610939E-2</v>
      </c>
      <c r="H101" s="45">
        <f>E101*(1-F101)*(1-G101)</f>
        <v>255.45006942543978</v>
      </c>
      <c r="I101" s="7" t="s">
        <v>3231</v>
      </c>
      <c r="J101" s="7" t="s">
        <v>3232</v>
      </c>
    </row>
    <row r="102" spans="1:10">
      <c r="A102" s="5" t="s">
        <v>3233</v>
      </c>
      <c r="B102" s="5" t="s">
        <v>2410</v>
      </c>
      <c r="C102" s="5" t="s">
        <v>2094</v>
      </c>
      <c r="D102" s="5" t="s">
        <v>129</v>
      </c>
      <c r="E102" s="45">
        <v>92.23</v>
      </c>
      <c r="F102" s="71">
        <v>1.7886656527407466E-2</v>
      </c>
      <c r="G102" s="71">
        <v>9.3588813999667762E-3</v>
      </c>
      <c r="H102" s="45">
        <f>E102*(1-F102)*(1-G102)</f>
        <v>89.73258325568213</v>
      </c>
      <c r="I102" s="7" t="s">
        <v>3234</v>
      </c>
      <c r="J102" s="7" t="s">
        <v>3235</v>
      </c>
    </row>
    <row r="103" spans="1:10">
      <c r="A103" s="5" t="s">
        <v>3236</v>
      </c>
      <c r="B103" s="5" t="s">
        <v>2411</v>
      </c>
      <c r="C103" s="5" t="s">
        <v>2044</v>
      </c>
      <c r="D103" s="5" t="s">
        <v>130</v>
      </c>
      <c r="E103" s="45">
        <v>221.51</v>
      </c>
      <c r="F103" s="71">
        <v>2.3809717486146836E-2</v>
      </c>
      <c r="G103" s="71">
        <v>1.1387111833319068E-2</v>
      </c>
      <c r="H103" s="45">
        <f>E103*(1-F103)*(1-G103)</f>
        <v>213.77360699601945</v>
      </c>
      <c r="I103" s="7" t="s">
        <v>3237</v>
      </c>
      <c r="J103" s="7" t="s">
        <v>3238</v>
      </c>
    </row>
    <row r="104" spans="1:10">
      <c r="A104" s="5" t="s">
        <v>3239</v>
      </c>
      <c r="B104" s="5" t="s">
        <v>2412</v>
      </c>
      <c r="C104" s="5" t="s">
        <v>2047</v>
      </c>
      <c r="D104" s="5" t="s">
        <v>131</v>
      </c>
      <c r="E104" s="45">
        <v>261.5</v>
      </c>
      <c r="F104" s="71">
        <v>2.1422704746946693E-2</v>
      </c>
      <c r="G104" s="71">
        <v>3.1339670857414605E-3</v>
      </c>
      <c r="H104" s="45">
        <f>E104*(1-F104)*(1-G104)</f>
        <v>255.09598691623614</v>
      </c>
      <c r="I104" s="7" t="s">
        <v>3240</v>
      </c>
      <c r="J104" s="7" t="s">
        <v>3241</v>
      </c>
    </row>
    <row r="105" spans="1:10">
      <c r="A105" s="5" t="s">
        <v>3242</v>
      </c>
      <c r="B105" s="5" t="s">
        <v>2306</v>
      </c>
      <c r="C105" s="5" t="s">
        <v>2307</v>
      </c>
      <c r="D105" s="5" t="s">
        <v>93</v>
      </c>
      <c r="E105" s="45">
        <v>319.45</v>
      </c>
      <c r="F105" s="71">
        <v>2.0110416084062308E-2</v>
      </c>
      <c r="G105" s="71">
        <v>1.8276241999119522E-2</v>
      </c>
      <c r="H105" s="45">
        <f>E105*(1-F105)*(1-G105)</f>
        <v>307.3047936327082</v>
      </c>
      <c r="I105" s="7" t="s">
        <v>3243</v>
      </c>
      <c r="J105" s="7" t="s">
        <v>3244</v>
      </c>
    </row>
    <row r="106" spans="1:10">
      <c r="A106" s="5" t="s">
        <v>3245</v>
      </c>
      <c r="B106" s="5" t="s">
        <v>2309</v>
      </c>
      <c r="C106" s="5" t="s">
        <v>2047</v>
      </c>
      <c r="D106" s="5" t="s">
        <v>96</v>
      </c>
      <c r="E106" s="45">
        <v>279.02999999999997</v>
      </c>
      <c r="F106" s="71">
        <v>1.7827596603892742E-2</v>
      </c>
      <c r="G106" s="71">
        <v>1.1546089169569314E-2</v>
      </c>
      <c r="H106" s="45">
        <f>E106*(1-F106)*(1-G106)</f>
        <v>270.89129572040036</v>
      </c>
      <c r="I106" s="7" t="s">
        <v>3246</v>
      </c>
      <c r="J106" s="7" t="s">
        <v>3247</v>
      </c>
    </row>
    <row r="107" spans="1:10">
      <c r="A107" s="5" t="s">
        <v>3248</v>
      </c>
      <c r="B107" s="5" t="s">
        <v>2310</v>
      </c>
      <c r="C107" s="5" t="s">
        <v>2311</v>
      </c>
      <c r="D107" s="5" t="s">
        <v>137</v>
      </c>
      <c r="E107" s="45">
        <v>190.14</v>
      </c>
      <c r="F107" s="71">
        <v>2.0545721214730292E-2</v>
      </c>
      <c r="G107" s="71">
        <v>9.1246587503701453E-3</v>
      </c>
      <c r="H107" s="45">
        <f>E107*(1-F107)*(1-G107)</f>
        <v>184.53412001163733</v>
      </c>
      <c r="I107" s="7" t="s">
        <v>3249</v>
      </c>
      <c r="J107" s="7" t="s">
        <v>3250</v>
      </c>
    </row>
    <row r="108" spans="1:10">
      <c r="A108" s="5" t="s">
        <v>3251</v>
      </c>
      <c r="B108" s="5" t="s">
        <v>2312</v>
      </c>
      <c r="C108" s="5" t="s">
        <v>2313</v>
      </c>
      <c r="D108" s="5" t="s">
        <v>102</v>
      </c>
      <c r="E108" s="45">
        <v>290.19</v>
      </c>
      <c r="F108" s="71">
        <v>1.4463808983564376E-2</v>
      </c>
      <c r="G108" s="71">
        <v>1.2486937786452473E-2</v>
      </c>
      <c r="H108" s="45">
        <f>E108*(1-F108)*(1-G108)</f>
        <v>282.42157362850907</v>
      </c>
      <c r="I108" s="7" t="s">
        <v>3252</v>
      </c>
      <c r="J108" s="7" t="s">
        <v>3253</v>
      </c>
    </row>
    <row r="109" spans="1:10">
      <c r="A109" s="5" t="s">
        <v>3254</v>
      </c>
      <c r="B109" s="5" t="s">
        <v>2314</v>
      </c>
      <c r="C109" s="5" t="s">
        <v>2044</v>
      </c>
      <c r="D109" s="5" t="s">
        <v>105</v>
      </c>
      <c r="E109" s="45">
        <v>254.05</v>
      </c>
      <c r="F109" s="71">
        <v>2.1550886796321719E-2</v>
      </c>
      <c r="G109" s="71">
        <v>4.6177910640835765E-3</v>
      </c>
      <c r="H109" s="45">
        <f>E109*(1-F109)*(1-G109)</f>
        <v>247.42712980852636</v>
      </c>
      <c r="I109" s="7" t="s">
        <v>3255</v>
      </c>
      <c r="J109" s="7" t="s">
        <v>3256</v>
      </c>
    </row>
    <row r="110" spans="1:10">
      <c r="A110" s="5" t="s">
        <v>3257</v>
      </c>
      <c r="B110" s="5" t="s">
        <v>2315</v>
      </c>
      <c r="C110" s="5" t="s">
        <v>2044</v>
      </c>
      <c r="D110" s="5" t="s">
        <v>107</v>
      </c>
      <c r="E110" s="45">
        <v>247.81</v>
      </c>
      <c r="F110" s="71">
        <v>7.8608246985822916E-4</v>
      </c>
      <c r="G110" s="71">
        <v>7.3367866361513734E-3</v>
      </c>
      <c r="H110" s="45">
        <f>E110*(1-F110)*(1-G110)</f>
        <v>245.79850100625032</v>
      </c>
      <c r="I110" s="7" t="s">
        <v>3258</v>
      </c>
      <c r="J110" s="7" t="s">
        <v>3259</v>
      </c>
    </row>
    <row r="111" spans="1:10">
      <c r="A111" s="5" t="s">
        <v>3260</v>
      </c>
      <c r="B111" s="5" t="s">
        <v>2316</v>
      </c>
      <c r="C111" s="5" t="s">
        <v>2317</v>
      </c>
      <c r="D111" s="5" t="s">
        <v>109</v>
      </c>
      <c r="E111" s="45">
        <v>241.82</v>
      </c>
      <c r="F111" s="71">
        <v>1.2134072764310985E-2</v>
      </c>
      <c r="G111" s="71">
        <v>3.0333692859858276E-3</v>
      </c>
      <c r="H111" s="45">
        <f>E111*(1-F111)*(1-G111)</f>
        <v>238.16110986203515</v>
      </c>
      <c r="I111" s="7" t="s">
        <v>3261</v>
      </c>
      <c r="J111" s="7" t="s">
        <v>3262</v>
      </c>
    </row>
    <row r="112" spans="1:10">
      <c r="A112" s="5" t="s">
        <v>3263</v>
      </c>
      <c r="B112" s="5" t="s">
        <v>2318</v>
      </c>
      <c r="C112" s="5" t="s">
        <v>2307</v>
      </c>
      <c r="D112" s="5" t="s">
        <v>120</v>
      </c>
      <c r="E112" s="45">
        <v>267.07</v>
      </c>
      <c r="F112" s="71">
        <v>1.6387933949008584E-2</v>
      </c>
      <c r="G112" s="71">
        <v>1.8923417991027237E-3</v>
      </c>
      <c r="H112" s="45">
        <f>E112*(1-F112)*(1-G112)</f>
        <v>262.19616901659612</v>
      </c>
      <c r="I112" s="7" t="s">
        <v>3264</v>
      </c>
      <c r="J112" s="7" t="s">
        <v>3265</v>
      </c>
    </row>
    <row r="113" spans="1:10">
      <c r="A113" s="5" t="s">
        <v>3266</v>
      </c>
      <c r="B113" s="5" t="s">
        <v>2319</v>
      </c>
      <c r="C113" s="5" t="s">
        <v>2047</v>
      </c>
      <c r="D113" s="5" t="s">
        <v>121</v>
      </c>
      <c r="E113" s="45">
        <v>262.20999999999998</v>
      </c>
      <c r="F113" s="71">
        <v>6.0907196137122812E-3</v>
      </c>
      <c r="G113" s="71">
        <v>1.4764702413231134E-2</v>
      </c>
      <c r="H113" s="45">
        <f>E113*(1-F113)*(1-G113)</f>
        <v>256.76507972271997</v>
      </c>
      <c r="I113" s="7" t="s">
        <v>3267</v>
      </c>
      <c r="J113" s="7" t="s">
        <v>3268</v>
      </c>
    </row>
    <row r="114" spans="1:10">
      <c r="A114" s="5" t="s">
        <v>3269</v>
      </c>
      <c r="B114" s="5" t="s">
        <v>2320</v>
      </c>
      <c r="C114" s="5" t="s">
        <v>2044</v>
      </c>
      <c r="D114" s="5" t="s">
        <v>122</v>
      </c>
      <c r="E114" s="45">
        <v>228.34</v>
      </c>
      <c r="F114" s="71">
        <v>2.2080243187956511E-2</v>
      </c>
      <c r="G114" s="71">
        <v>2.5829816656187175E-3</v>
      </c>
      <c r="H114" s="45">
        <f>E114*(1-F114)*(1-G114)</f>
        <v>222.72142212094667</v>
      </c>
      <c r="I114" s="7" t="s">
        <v>3270</v>
      </c>
      <c r="J114" s="7" t="s">
        <v>3271</v>
      </c>
    </row>
    <row r="115" spans="1:10">
      <c r="A115" s="5" t="s">
        <v>3272</v>
      </c>
      <c r="B115" s="5" t="s">
        <v>2321</v>
      </c>
      <c r="C115" s="5" t="s">
        <v>2313</v>
      </c>
      <c r="D115" s="5" t="s">
        <v>123</v>
      </c>
      <c r="E115" s="45">
        <v>288.7</v>
      </c>
      <c r="F115" s="71">
        <v>2.2293331876862794E-2</v>
      </c>
      <c r="G115" s="71">
        <v>3.5495828185230496E-3</v>
      </c>
      <c r="H115" s="45">
        <f>E115*(1-F115)*(1-G115)</f>
        <v>281.2619959438673</v>
      </c>
      <c r="I115" s="7" t="s">
        <v>3273</v>
      </c>
      <c r="J115" s="7" t="s">
        <v>3274</v>
      </c>
    </row>
    <row r="116" spans="1:10">
      <c r="A116" s="5" t="s">
        <v>3275</v>
      </c>
      <c r="B116" s="5" t="s">
        <v>2323</v>
      </c>
      <c r="C116" s="5" t="s">
        <v>2044</v>
      </c>
      <c r="D116" s="5" t="s">
        <v>124</v>
      </c>
      <c r="E116" s="45">
        <v>313.94</v>
      </c>
      <c r="F116" s="71">
        <v>1.2015829402953386E-2</v>
      </c>
      <c r="G116" s="71">
        <v>1.0345993447117507E-2</v>
      </c>
      <c r="H116" s="45">
        <f>E116*(1-F116)*(1-G116)</f>
        <v>306.95875700287831</v>
      </c>
      <c r="I116" s="7" t="s">
        <v>3276</v>
      </c>
      <c r="J116" s="7" t="s">
        <v>3277</v>
      </c>
    </row>
    <row r="117" spans="1:10">
      <c r="A117" s="5" t="s">
        <v>3278</v>
      </c>
      <c r="B117" s="5" t="s">
        <v>2324</v>
      </c>
      <c r="C117" s="5" t="s">
        <v>2044</v>
      </c>
      <c r="D117" s="5" t="s">
        <v>125</v>
      </c>
      <c r="E117" s="45">
        <v>273.02</v>
      </c>
      <c r="F117" s="71">
        <v>9.024688114877789E-3</v>
      </c>
      <c r="G117" s="71">
        <v>1.0710970759391784E-2</v>
      </c>
      <c r="H117" s="45">
        <f>E117*(1-F117)*(1-G117)</f>
        <v>267.65816139295981</v>
      </c>
      <c r="I117" s="7" t="s">
        <v>3279</v>
      </c>
      <c r="J117" s="7" t="s">
        <v>3280</v>
      </c>
    </row>
    <row r="118" spans="1:10">
      <c r="A118" s="5" t="s">
        <v>3281</v>
      </c>
      <c r="B118" s="5" t="s">
        <v>2325</v>
      </c>
      <c r="C118" s="5" t="s">
        <v>2311</v>
      </c>
      <c r="D118" s="5" t="s">
        <v>147</v>
      </c>
      <c r="E118" s="45">
        <v>171.1</v>
      </c>
      <c r="F118" s="71">
        <v>2.2442293209023773E-2</v>
      </c>
      <c r="G118" s="71">
        <v>3.4571929881349207E-3</v>
      </c>
      <c r="H118" s="45">
        <f>E118*(1-F118)*(1-G118)</f>
        <v>166.6818731053211</v>
      </c>
      <c r="I118" s="7" t="s">
        <v>3282</v>
      </c>
      <c r="J118" s="7" t="s">
        <v>3283</v>
      </c>
    </row>
    <row r="119" spans="1:10">
      <c r="A119" s="5" t="s">
        <v>3284</v>
      </c>
      <c r="B119" s="5" t="s">
        <v>2326</v>
      </c>
      <c r="C119" s="5" t="s">
        <v>2327</v>
      </c>
      <c r="D119" s="5" t="s">
        <v>138</v>
      </c>
      <c r="E119" s="45">
        <v>198.23</v>
      </c>
      <c r="F119" s="71">
        <v>1.0226791875902563E-2</v>
      </c>
      <c r="G119" s="71">
        <v>5.2195172663778069E-3</v>
      </c>
      <c r="H119" s="45">
        <f>E119*(1-F119)*(1-G119)</f>
        <v>195.17865944139822</v>
      </c>
      <c r="I119" s="7" t="s">
        <v>3285</v>
      </c>
      <c r="J119" s="7" t="s">
        <v>3286</v>
      </c>
    </row>
    <row r="120" spans="1:10">
      <c r="A120" s="5" t="s">
        <v>3287</v>
      </c>
      <c r="B120" s="5" t="s">
        <v>2328</v>
      </c>
      <c r="C120" s="5" t="s">
        <v>2327</v>
      </c>
      <c r="D120" s="5" t="s">
        <v>148</v>
      </c>
      <c r="E120" s="45">
        <v>151.44</v>
      </c>
      <c r="F120" s="71">
        <v>1.24993837159127E-2</v>
      </c>
      <c r="G120" s="71">
        <v>2.5078458478674293E-3</v>
      </c>
      <c r="H120" s="45">
        <f>E120*(1-F120)*(1-G120)</f>
        <v>149.17205227299374</v>
      </c>
      <c r="I120" s="7" t="s">
        <v>3288</v>
      </c>
      <c r="J120" s="7" t="s">
        <v>3289</v>
      </c>
    </row>
    <row r="121" spans="1:10">
      <c r="A121" s="5" t="s">
        <v>3290</v>
      </c>
      <c r="B121" s="5" t="s">
        <v>2329</v>
      </c>
      <c r="C121" s="5" t="s">
        <v>2044</v>
      </c>
      <c r="D121" s="5" t="s">
        <v>132</v>
      </c>
      <c r="E121" s="45">
        <v>287.69</v>
      </c>
      <c r="F121" s="71">
        <v>2.270299948286265E-3</v>
      </c>
      <c r="G121" s="71">
        <v>1.8735640253871678E-2</v>
      </c>
      <c r="H121" s="45">
        <f>E121*(1-F121)*(1-G121)</f>
        <v>281.65903810788166</v>
      </c>
      <c r="I121" s="7" t="s">
        <v>3291</v>
      </c>
      <c r="J121" s="7" t="s">
        <v>3292</v>
      </c>
    </row>
    <row r="122" spans="1:10">
      <c r="A122" s="5" t="s">
        <v>3293</v>
      </c>
      <c r="B122" s="5" t="s">
        <v>2330</v>
      </c>
      <c r="C122" s="5" t="s">
        <v>2311</v>
      </c>
      <c r="D122" s="5" t="s">
        <v>137</v>
      </c>
      <c r="E122" s="45">
        <v>177.19</v>
      </c>
      <c r="F122" s="71">
        <v>3.9517599111422892E-3</v>
      </c>
      <c r="G122" s="71">
        <v>6.8320888699963693E-3</v>
      </c>
      <c r="H122" s="45">
        <f>E122*(1-F122)*(1-G122)</f>
        <v>175.28399374739561</v>
      </c>
      <c r="I122" s="7" t="s">
        <v>3294</v>
      </c>
      <c r="J122" s="7" t="s">
        <v>3295</v>
      </c>
    </row>
    <row r="123" spans="1:10">
      <c r="A123" s="5" t="s">
        <v>3296</v>
      </c>
      <c r="B123" s="5" t="s">
        <v>2331</v>
      </c>
      <c r="C123" s="5" t="s">
        <v>2327</v>
      </c>
      <c r="D123" s="5" t="s">
        <v>138</v>
      </c>
      <c r="E123" s="45">
        <v>173.12</v>
      </c>
      <c r="F123" s="71">
        <v>1.6284711111802606E-2</v>
      </c>
      <c r="G123" s="71">
        <v>1.7230274947360159E-2</v>
      </c>
      <c r="H123" s="45">
        <f>E123*(1-F123)*(1-G123)</f>
        <v>167.3664613628755</v>
      </c>
      <c r="I123" s="7" t="s">
        <v>3297</v>
      </c>
      <c r="J123" s="7" t="s">
        <v>3298</v>
      </c>
    </row>
    <row r="124" spans="1:10">
      <c r="A124" s="5" t="s">
        <v>3299</v>
      </c>
      <c r="B124" s="5" t="s">
        <v>2332</v>
      </c>
      <c r="C124" s="5" t="s">
        <v>2044</v>
      </c>
      <c r="D124" s="5" t="s">
        <v>135</v>
      </c>
      <c r="E124" s="45">
        <v>257.99</v>
      </c>
      <c r="F124" s="71">
        <v>1.4238249845802783E-2</v>
      </c>
      <c r="G124" s="71">
        <v>1.3271082709543407E-2</v>
      </c>
      <c r="H124" s="45">
        <f>E124*(1-F124)*(1-G124)</f>
        <v>250.9416163082428</v>
      </c>
      <c r="I124" s="7" t="s">
        <v>3300</v>
      </c>
      <c r="J124" s="7" t="s">
        <v>3301</v>
      </c>
    </row>
    <row r="125" spans="1:10">
      <c r="A125" s="5" t="s">
        <v>3302</v>
      </c>
      <c r="B125" s="5" t="s">
        <v>2333</v>
      </c>
      <c r="C125" s="5" t="s">
        <v>2317</v>
      </c>
      <c r="D125" s="5" t="s">
        <v>136</v>
      </c>
      <c r="E125" s="45">
        <v>291.64999999999998</v>
      </c>
      <c r="F125" s="71">
        <v>2.5103270465042442E-2</v>
      </c>
      <c r="G125" s="71">
        <v>5.5685759708285331E-3</v>
      </c>
      <c r="H125" s="45">
        <f>E125*(1-F125)*(1-G125)</f>
        <v>282.74532558552482</v>
      </c>
      <c r="I125" s="7" t="s">
        <v>3303</v>
      </c>
      <c r="J125" s="7" t="s">
        <v>3304</v>
      </c>
    </row>
    <row r="126" spans="1:10">
      <c r="A126" s="5" t="s">
        <v>3305</v>
      </c>
      <c r="B126" s="5" t="s">
        <v>2334</v>
      </c>
      <c r="C126" s="5" t="s">
        <v>2307</v>
      </c>
      <c r="D126" s="5" t="s">
        <v>140</v>
      </c>
      <c r="E126" s="45">
        <v>242.19</v>
      </c>
      <c r="F126" s="71">
        <v>9.9570513702929015E-5</v>
      </c>
      <c r="G126" s="71">
        <v>1.6460907035507261E-2</v>
      </c>
      <c r="H126" s="45">
        <f>E126*(1-F126)*(1-G126)</f>
        <v>238.17961489684538</v>
      </c>
      <c r="I126" s="7" t="s">
        <v>3306</v>
      </c>
      <c r="J126" s="7" t="s">
        <v>3307</v>
      </c>
    </row>
    <row r="127" spans="1:10">
      <c r="A127" s="5" t="s">
        <v>3308</v>
      </c>
      <c r="B127" s="5" t="s">
        <v>2335</v>
      </c>
      <c r="C127" s="5" t="s">
        <v>2047</v>
      </c>
      <c r="D127" s="5" t="s">
        <v>141</v>
      </c>
      <c r="E127" s="45">
        <v>257.19</v>
      </c>
      <c r="F127" s="71">
        <v>1.234334128210321E-2</v>
      </c>
      <c r="G127" s="71">
        <v>4.8197546880692247E-3</v>
      </c>
      <c r="H127" s="45">
        <f>E127*(1-F127)*(1-G127)</f>
        <v>252.79112406327974</v>
      </c>
      <c r="I127" s="7" t="s">
        <v>3309</v>
      </c>
      <c r="J127" s="7" t="s">
        <v>3222</v>
      </c>
    </row>
    <row r="128" spans="1:10">
      <c r="A128" s="5" t="s">
        <v>3310</v>
      </c>
      <c r="B128" s="5" t="s">
        <v>2336</v>
      </c>
      <c r="C128" s="5" t="s">
        <v>2327</v>
      </c>
      <c r="D128" s="5" t="s">
        <v>148</v>
      </c>
      <c r="E128" s="45">
        <v>205.71</v>
      </c>
      <c r="F128" s="71">
        <v>2.1692955689504741E-2</v>
      </c>
      <c r="G128" s="71">
        <v>1.610074137803167E-2</v>
      </c>
      <c r="H128" s="45">
        <f>E128*(1-F128)*(1-G128)</f>
        <v>198.00730745703507</v>
      </c>
      <c r="I128" s="7" t="s">
        <v>3311</v>
      </c>
      <c r="J128" s="7" t="s">
        <v>3312</v>
      </c>
    </row>
    <row r="129" spans="1:10">
      <c r="A129" s="5" t="s">
        <v>3313</v>
      </c>
      <c r="B129" s="5" t="s">
        <v>2337</v>
      </c>
      <c r="C129" s="5" t="s">
        <v>2094</v>
      </c>
      <c r="D129" s="5" t="s">
        <v>117</v>
      </c>
      <c r="E129" s="45">
        <v>149.72</v>
      </c>
      <c r="F129" s="71">
        <v>2.5937918226700274E-2</v>
      </c>
      <c r="G129" s="71">
        <v>2.7889164164662361E-4</v>
      </c>
      <c r="H129" s="45">
        <f>E129*(1-F129)*(1-G129)</f>
        <v>145.79590228131715</v>
      </c>
      <c r="I129" s="7" t="s">
        <v>3314</v>
      </c>
      <c r="J129" s="7" t="s">
        <v>3315</v>
      </c>
    </row>
    <row r="130" spans="1:10">
      <c r="A130" s="5" t="s">
        <v>3316</v>
      </c>
      <c r="B130" s="5" t="s">
        <v>2338</v>
      </c>
      <c r="C130" s="5" t="s">
        <v>2044</v>
      </c>
      <c r="D130" s="5" t="s">
        <v>144</v>
      </c>
      <c r="E130" s="45">
        <v>245.64</v>
      </c>
      <c r="F130" s="71">
        <v>2.8889248366467654E-2</v>
      </c>
      <c r="G130" s="71">
        <v>2.1461558388546111E-3</v>
      </c>
      <c r="H130" s="45">
        <f>E130*(1-F130)*(1-G130)</f>
        <v>238.03169319465536</v>
      </c>
      <c r="I130" s="7" t="s">
        <v>3317</v>
      </c>
      <c r="J130" s="7" t="s">
        <v>3318</v>
      </c>
    </row>
    <row r="131" spans="1:10">
      <c r="A131" s="5" t="s">
        <v>3319</v>
      </c>
      <c r="B131" s="5" t="s">
        <v>2339</v>
      </c>
      <c r="C131" s="5" t="s">
        <v>2044</v>
      </c>
      <c r="D131" s="5" t="s">
        <v>145</v>
      </c>
      <c r="E131" s="45">
        <v>243.79</v>
      </c>
      <c r="F131" s="71">
        <v>2.6432002626825123E-2</v>
      </c>
      <c r="G131" s="71">
        <v>1.7502970183268188E-2</v>
      </c>
      <c r="H131" s="45">
        <f>E131*(1-F131)*(1-G131)</f>
        <v>233.1918796316732</v>
      </c>
      <c r="I131" s="7" t="s">
        <v>3320</v>
      </c>
      <c r="J131" s="7" t="s">
        <v>3321</v>
      </c>
    </row>
    <row r="132" spans="1:10">
      <c r="A132" s="5" t="s">
        <v>3322</v>
      </c>
      <c r="B132" s="5" t="s">
        <v>2340</v>
      </c>
      <c r="C132" s="5" t="s">
        <v>2317</v>
      </c>
      <c r="D132" s="5" t="s">
        <v>146</v>
      </c>
      <c r="E132" s="45">
        <v>312.99</v>
      </c>
      <c r="F132" s="71">
        <v>2.6750748809427023E-2</v>
      </c>
      <c r="G132" s="71">
        <v>4.829367133788765E-3</v>
      </c>
      <c r="H132" s="45">
        <f>E132*(1-F132)*(1-G132)</f>
        <v>303.14617443460469</v>
      </c>
      <c r="I132" s="7" t="s">
        <v>3323</v>
      </c>
      <c r="J132" s="7" t="s">
        <v>3324</v>
      </c>
    </row>
    <row r="133" spans="1:10">
      <c r="A133" s="5" t="s">
        <v>3325</v>
      </c>
      <c r="B133" s="5" t="s">
        <v>2341</v>
      </c>
      <c r="C133" s="5" t="s">
        <v>2307</v>
      </c>
      <c r="D133" s="5" t="s">
        <v>93</v>
      </c>
      <c r="E133" s="45">
        <v>277.64999999999998</v>
      </c>
      <c r="F133" s="71">
        <v>3.4337323880754408E-3</v>
      </c>
      <c r="G133" s="71">
        <v>3.235336393117905E-4</v>
      </c>
      <c r="H133" s="45">
        <f>E133*(1-F133)*(1-G133)</f>
        <v>276.60710353663734</v>
      </c>
      <c r="I133" s="7" t="s">
        <v>3326</v>
      </c>
      <c r="J133" s="7" t="s">
        <v>3327</v>
      </c>
    </row>
    <row r="134" spans="1:10">
      <c r="A134" s="5" t="s">
        <v>3328</v>
      </c>
      <c r="B134" s="5" t="s">
        <v>2342</v>
      </c>
      <c r="C134" s="5" t="s">
        <v>2047</v>
      </c>
      <c r="D134" s="5" t="s">
        <v>96</v>
      </c>
      <c r="E134" s="45">
        <v>251.05</v>
      </c>
      <c r="F134" s="71">
        <v>1.5381468613632023E-2</v>
      </c>
      <c r="G134" s="71">
        <v>4.0840966859832404E-3</v>
      </c>
      <c r="H134" s="45">
        <f>E134*(1-F134)*(1-G134)</f>
        <v>246.17894064315448</v>
      </c>
      <c r="I134" s="7" t="s">
        <v>3329</v>
      </c>
      <c r="J134" s="7" t="s">
        <v>3330</v>
      </c>
    </row>
    <row r="135" spans="1:10">
      <c r="A135" s="5" t="s">
        <v>3331</v>
      </c>
      <c r="B135" s="5" t="s">
        <v>2343</v>
      </c>
      <c r="C135" s="5" t="s">
        <v>2044</v>
      </c>
      <c r="D135" s="5" t="s">
        <v>99</v>
      </c>
      <c r="E135" s="45">
        <v>300.77</v>
      </c>
      <c r="F135" s="71">
        <v>8.6394559987820682E-3</v>
      </c>
      <c r="G135" s="71">
        <v>5.0522746052592991E-3</v>
      </c>
      <c r="H135" s="45">
        <f>E135*(1-F135)*(1-G135)</f>
        <v>296.66506646712241</v>
      </c>
      <c r="I135" s="7" t="s">
        <v>3332</v>
      </c>
      <c r="J135" s="7" t="s">
        <v>3333</v>
      </c>
    </row>
    <row r="136" spans="1:10">
      <c r="A136" s="5" t="s">
        <v>3334</v>
      </c>
      <c r="B136" s="5" t="s">
        <v>2344</v>
      </c>
      <c r="C136" s="5" t="s">
        <v>2313</v>
      </c>
      <c r="D136" s="5" t="s">
        <v>102</v>
      </c>
      <c r="E136" s="45">
        <v>306.66000000000003</v>
      </c>
      <c r="F136" s="71">
        <v>2.4800425535067915E-2</v>
      </c>
      <c r="G136" s="71">
        <v>3.5971987387165426E-3</v>
      </c>
      <c r="H136" s="45">
        <f>E136*(1-F136)*(1-G136)</f>
        <v>297.9789423103536</v>
      </c>
      <c r="I136" s="7" t="s">
        <v>3335</v>
      </c>
      <c r="J136" s="7" t="s">
        <v>3336</v>
      </c>
    </row>
    <row r="137" spans="1:10">
      <c r="A137" s="5" t="s">
        <v>3337</v>
      </c>
      <c r="B137" s="5" t="s">
        <v>2345</v>
      </c>
      <c r="C137" s="5" t="s">
        <v>2044</v>
      </c>
      <c r="D137" s="5" t="s">
        <v>105</v>
      </c>
      <c r="E137" s="45">
        <v>253.66</v>
      </c>
      <c r="F137" s="71">
        <v>2.2709361955057829E-2</v>
      </c>
      <c r="G137" s="71">
        <v>5.1935212127864365E-3</v>
      </c>
      <c r="H137" s="45">
        <f>E137*(1-F137)*(1-G137)</f>
        <v>246.61207170998938</v>
      </c>
      <c r="I137" s="7" t="s">
        <v>3338</v>
      </c>
      <c r="J137" s="7" t="s">
        <v>3339</v>
      </c>
    </row>
    <row r="138" spans="1:10">
      <c r="A138" s="5" t="s">
        <v>3340</v>
      </c>
      <c r="B138" s="5" t="s">
        <v>2346</v>
      </c>
      <c r="C138" s="5" t="s">
        <v>2044</v>
      </c>
      <c r="D138" s="5" t="s">
        <v>107</v>
      </c>
      <c r="E138" s="45">
        <v>316.81</v>
      </c>
      <c r="F138" s="71">
        <v>7.5882232328876847E-3</v>
      </c>
      <c r="G138" s="71">
        <v>9.5725077064707873E-3</v>
      </c>
      <c r="H138" s="45">
        <f>E138*(1-F138)*(1-G138)</f>
        <v>311.39632137896399</v>
      </c>
      <c r="I138" s="7" t="s">
        <v>3341</v>
      </c>
      <c r="J138" s="7" t="s">
        <v>3342</v>
      </c>
    </row>
    <row r="139" spans="1:10">
      <c r="A139" s="5" t="s">
        <v>3343</v>
      </c>
      <c r="B139" s="5" t="s">
        <v>2347</v>
      </c>
      <c r="C139" s="5" t="s">
        <v>2317</v>
      </c>
      <c r="D139" s="5" t="s">
        <v>109</v>
      </c>
      <c r="E139" s="45">
        <v>260.99</v>
      </c>
      <c r="F139" s="71">
        <v>2.2830821808893231E-2</v>
      </c>
      <c r="G139" s="71">
        <v>7.1689914632588623E-3</v>
      </c>
      <c r="H139" s="45">
        <f>E139*(1-F139)*(1-G139)</f>
        <v>253.20306600265627</v>
      </c>
      <c r="I139" s="7" t="s">
        <v>3344</v>
      </c>
      <c r="J139" s="7" t="s">
        <v>3345</v>
      </c>
    </row>
    <row r="140" spans="1:10">
      <c r="A140" s="5" t="s">
        <v>3346</v>
      </c>
      <c r="B140" s="5" t="s">
        <v>2348</v>
      </c>
      <c r="C140" s="5" t="s">
        <v>2307</v>
      </c>
      <c r="D140" s="5" t="s">
        <v>120</v>
      </c>
      <c r="E140" s="45">
        <v>223.35</v>
      </c>
      <c r="F140" s="71">
        <v>5.1723944395780565E-3</v>
      </c>
      <c r="G140" s="71">
        <v>4.6243852330371737E-3</v>
      </c>
      <c r="H140" s="45">
        <f>E140*(1-F140)*(1-G140)</f>
        <v>221.1672316010378</v>
      </c>
      <c r="I140" s="7" t="s">
        <v>3347</v>
      </c>
      <c r="J140" s="7" t="s">
        <v>3348</v>
      </c>
    </row>
    <row r="141" spans="1:10">
      <c r="A141" s="5" t="s">
        <v>3349</v>
      </c>
      <c r="B141" s="5" t="s">
        <v>2349</v>
      </c>
      <c r="C141" s="5" t="s">
        <v>2047</v>
      </c>
      <c r="D141" s="5" t="s">
        <v>121</v>
      </c>
      <c r="E141" s="45">
        <v>268.17</v>
      </c>
      <c r="F141" s="71">
        <v>1.9945276917424051E-2</v>
      </c>
      <c r="G141" s="71">
        <v>6.095342971384525E-3</v>
      </c>
      <c r="H141" s="45">
        <f>E141*(1-F141)*(1-G141)</f>
        <v>261.21928927721001</v>
      </c>
      <c r="I141" s="7" t="s">
        <v>3350</v>
      </c>
      <c r="J141" s="7" t="s">
        <v>3351</v>
      </c>
    </row>
    <row r="142" spans="1:10">
      <c r="A142" s="5" t="s">
        <v>3352</v>
      </c>
      <c r="B142" s="5" t="s">
        <v>2350</v>
      </c>
      <c r="C142" s="5" t="s">
        <v>2044</v>
      </c>
      <c r="D142" s="5" t="s">
        <v>122</v>
      </c>
      <c r="E142" s="45">
        <v>302.92</v>
      </c>
      <c r="F142" s="71">
        <v>2.7122845449484883E-2</v>
      </c>
      <c r="G142" s="71">
        <v>1.4269228675402701E-2</v>
      </c>
      <c r="H142" s="45">
        <f>E142*(1-F142)*(1-G142)</f>
        <v>290.49874963578839</v>
      </c>
      <c r="I142" s="7" t="s">
        <v>3353</v>
      </c>
      <c r="J142" s="7" t="s">
        <v>3354</v>
      </c>
    </row>
    <row r="143" spans="1:10">
      <c r="A143" s="5" t="s">
        <v>3355</v>
      </c>
      <c r="B143" s="5" t="s">
        <v>2351</v>
      </c>
      <c r="C143" s="5" t="s">
        <v>2313</v>
      </c>
      <c r="D143" s="5" t="s">
        <v>123</v>
      </c>
      <c r="E143" s="45">
        <v>289.27999999999997</v>
      </c>
      <c r="F143" s="71">
        <v>6.2062958464957768E-3</v>
      </c>
      <c r="G143" s="71">
        <v>7.78395171277225E-3</v>
      </c>
      <c r="H143" s="45">
        <f>E143*(1-F143)*(1-G143)</f>
        <v>285.2468761602932</v>
      </c>
      <c r="I143" s="7" t="s">
        <v>3356</v>
      </c>
      <c r="J143" s="7" t="s">
        <v>3357</v>
      </c>
    </row>
    <row r="144" spans="1:10">
      <c r="A144" s="5" t="s">
        <v>3358</v>
      </c>
      <c r="B144" s="5" t="s">
        <v>2352</v>
      </c>
      <c r="C144" s="5" t="s">
        <v>2044</v>
      </c>
      <c r="D144" s="5" t="s">
        <v>124</v>
      </c>
      <c r="E144" s="45">
        <v>255.86</v>
      </c>
      <c r="F144" s="71">
        <v>1.1100224191322922E-2</v>
      </c>
      <c r="G144" s="71">
        <v>1.8502733982168139E-2</v>
      </c>
      <c r="H144" s="45">
        <f>E144*(1-F144)*(1-G144)</f>
        <v>248.33833679871196</v>
      </c>
      <c r="I144" s="7" t="s">
        <v>3359</v>
      </c>
      <c r="J144" s="7" t="s">
        <v>3360</v>
      </c>
    </row>
    <row r="145" spans="1:10">
      <c r="A145" s="5" t="s">
        <v>3361</v>
      </c>
      <c r="B145" s="5" t="s">
        <v>2353</v>
      </c>
      <c r="C145" s="5" t="s">
        <v>2044</v>
      </c>
      <c r="D145" s="5" t="s">
        <v>125</v>
      </c>
      <c r="E145" s="45">
        <v>247.87</v>
      </c>
      <c r="F145" s="71">
        <v>6.1563512566499409E-3</v>
      </c>
      <c r="G145" s="71">
        <v>5.1050096191465853E-3</v>
      </c>
      <c r="H145" s="45">
        <f>E145*(1-F145)*(1-G145)</f>
        <v>245.08643659567736</v>
      </c>
      <c r="I145" s="7" t="s">
        <v>3362</v>
      </c>
      <c r="J145" s="7" t="s">
        <v>3363</v>
      </c>
    </row>
    <row r="146" spans="1:10">
      <c r="A146" s="5" t="s">
        <v>3364</v>
      </c>
      <c r="B146" s="5" t="s">
        <v>2354</v>
      </c>
      <c r="C146" s="5" t="s">
        <v>2096</v>
      </c>
      <c r="D146" s="5" t="s">
        <v>127</v>
      </c>
      <c r="E146" s="45">
        <v>226.57</v>
      </c>
      <c r="F146" s="71">
        <v>1.3512143525294959E-2</v>
      </c>
      <c r="G146" s="71">
        <v>5.1889871852472428E-3</v>
      </c>
      <c r="H146" s="45">
        <f>E146*(1-F146)*(1-G146)</f>
        <v>222.34877062083515</v>
      </c>
      <c r="I146" s="7" t="s">
        <v>3365</v>
      </c>
      <c r="J146" s="7" t="s">
        <v>3366</v>
      </c>
    </row>
    <row r="147" spans="1:10">
      <c r="A147" s="5" t="s">
        <v>3367</v>
      </c>
      <c r="B147" s="5" t="s">
        <v>2355</v>
      </c>
      <c r="C147" s="5" t="s">
        <v>2044</v>
      </c>
      <c r="D147" s="5" t="s">
        <v>130</v>
      </c>
      <c r="E147" s="45">
        <v>263.45999999999998</v>
      </c>
      <c r="F147" s="71">
        <v>2.6232911974657325E-2</v>
      </c>
      <c r="G147" s="71">
        <v>9.9244371149688967E-3</v>
      </c>
      <c r="H147" s="45">
        <f>E147*(1-F147)*(1-G147)</f>
        <v>254.00257579923107</v>
      </c>
      <c r="I147" s="7" t="s">
        <v>3368</v>
      </c>
      <c r="J147" s="7" t="s">
        <v>3369</v>
      </c>
    </row>
    <row r="148" spans="1:10">
      <c r="A148" s="5" t="s">
        <v>3370</v>
      </c>
      <c r="B148" s="5" t="s">
        <v>2356</v>
      </c>
      <c r="C148" s="5" t="s">
        <v>2327</v>
      </c>
      <c r="D148" s="5" t="s">
        <v>148</v>
      </c>
      <c r="E148" s="45">
        <v>204.43</v>
      </c>
      <c r="F148" s="71">
        <v>1.1859925780445337E-2</v>
      </c>
      <c r="G148" s="71">
        <v>6.6944899735972285E-3</v>
      </c>
      <c r="H148" s="45">
        <f>E148*(1-F148)*(1-G148)</f>
        <v>200.65315174320926</v>
      </c>
      <c r="I148" s="7" t="s">
        <v>3371</v>
      </c>
      <c r="J148" s="7" t="s">
        <v>3372</v>
      </c>
    </row>
    <row r="149" spans="1:10">
      <c r="A149" s="5" t="s">
        <v>3373</v>
      </c>
      <c r="B149" s="5" t="s">
        <v>2357</v>
      </c>
      <c r="C149" s="5" t="s">
        <v>2044</v>
      </c>
      <c r="D149" s="5" t="s">
        <v>132</v>
      </c>
      <c r="E149" s="45">
        <v>225.01</v>
      </c>
      <c r="F149" s="71">
        <v>2.8415617828723042E-2</v>
      </c>
      <c r="G149" s="71">
        <v>2.2322629392147065E-3</v>
      </c>
      <c r="H149" s="45">
        <f>E149*(1-F149)*(1-G149)</f>
        <v>218.12819298709675</v>
      </c>
      <c r="I149" s="7" t="s">
        <v>3374</v>
      </c>
      <c r="J149" s="7" t="s">
        <v>3375</v>
      </c>
    </row>
    <row r="150" spans="1:10">
      <c r="A150" s="5" t="s">
        <v>3376</v>
      </c>
      <c r="B150" s="5" t="s">
        <v>2358</v>
      </c>
      <c r="C150" s="5" t="s">
        <v>2313</v>
      </c>
      <c r="D150" s="5" t="s">
        <v>133</v>
      </c>
      <c r="E150" s="45">
        <v>227.17</v>
      </c>
      <c r="F150" s="71">
        <v>2.857689392287284E-2</v>
      </c>
      <c r="G150" s="71">
        <v>7.6260060677304864E-3</v>
      </c>
      <c r="H150" s="45">
        <f>E150*(1-F150)*(1-G150)</f>
        <v>218.99529381440567</v>
      </c>
      <c r="I150" s="7" t="s">
        <v>3377</v>
      </c>
      <c r="J150" s="7" t="s">
        <v>3378</v>
      </c>
    </row>
    <row r="151" spans="1:10">
      <c r="A151" s="5" t="s">
        <v>3379</v>
      </c>
      <c r="B151" s="5" t="s">
        <v>2359</v>
      </c>
      <c r="C151" s="5" t="s">
        <v>2044</v>
      </c>
      <c r="D151" s="5" t="s">
        <v>134</v>
      </c>
      <c r="E151" s="45">
        <v>280.83999999999997</v>
      </c>
      <c r="F151" s="71">
        <v>2.1980601700488479E-2</v>
      </c>
      <c r="G151" s="71">
        <v>1.2085029846057296E-2</v>
      </c>
      <c r="H151" s="45">
        <f>E151*(1-F151)*(1-G151)</f>
        <v>271.34760931462296</v>
      </c>
      <c r="I151" s="7" t="s">
        <v>3380</v>
      </c>
      <c r="J151" s="7" t="s">
        <v>3381</v>
      </c>
    </row>
    <row r="152" spans="1:10">
      <c r="A152" s="5" t="s">
        <v>3382</v>
      </c>
      <c r="B152" s="5" t="s">
        <v>2360</v>
      </c>
      <c r="C152" s="5" t="s">
        <v>2044</v>
      </c>
      <c r="D152" s="5" t="s">
        <v>135</v>
      </c>
      <c r="E152" s="45">
        <v>264.68</v>
      </c>
      <c r="F152" s="71">
        <v>2.7243219120427965E-2</v>
      </c>
      <c r="G152" s="71">
        <v>1.0925646363757551E-2</v>
      </c>
      <c r="H152" s="45">
        <f>E152*(1-F152)*(1-G152)</f>
        <v>254.65624662686571</v>
      </c>
      <c r="I152" s="7" t="s">
        <v>3383</v>
      </c>
      <c r="J152" s="7" t="s">
        <v>3384</v>
      </c>
    </row>
    <row r="153" spans="1:10">
      <c r="A153" s="5" t="s">
        <v>3385</v>
      </c>
      <c r="B153" s="5" t="s">
        <v>2361</v>
      </c>
      <c r="C153" s="5" t="s">
        <v>2317</v>
      </c>
      <c r="D153" s="5" t="s">
        <v>136</v>
      </c>
      <c r="E153" s="45">
        <v>292.75</v>
      </c>
      <c r="F153" s="71">
        <v>4.3104451219551261E-3</v>
      </c>
      <c r="G153" s="71">
        <v>1.3832441028207541E-2</v>
      </c>
      <c r="H153" s="45">
        <f>E153*(1-F153)*(1-G153)</f>
        <v>287.45612499908617</v>
      </c>
      <c r="I153" s="7" t="s">
        <v>3386</v>
      </c>
      <c r="J153" s="7" t="s">
        <v>3387</v>
      </c>
    </row>
    <row r="154" spans="1:10">
      <c r="A154" s="5" t="s">
        <v>3388</v>
      </c>
      <c r="B154" s="5" t="s">
        <v>2362</v>
      </c>
      <c r="C154" s="5" t="s">
        <v>2307</v>
      </c>
      <c r="D154" s="5" t="s">
        <v>140</v>
      </c>
      <c r="E154" s="45">
        <v>280.05</v>
      </c>
      <c r="F154" s="71">
        <v>2.4786943844519554E-2</v>
      </c>
      <c r="G154" s="71">
        <v>3.1898920657113194E-3</v>
      </c>
      <c r="H154" s="45">
        <f>E154*(1-F154)*(1-G154)</f>
        <v>272.23723000586449</v>
      </c>
      <c r="I154" s="7" t="s">
        <v>3389</v>
      </c>
      <c r="J154" s="7" t="s">
        <v>3390</v>
      </c>
    </row>
    <row r="155" spans="1:10">
      <c r="A155" s="5" t="s">
        <v>3391</v>
      </c>
      <c r="B155" s="5" t="s">
        <v>2363</v>
      </c>
      <c r="C155" s="5" t="s">
        <v>2047</v>
      </c>
      <c r="D155" s="5" t="s">
        <v>141</v>
      </c>
      <c r="E155" s="45">
        <v>232.41</v>
      </c>
      <c r="F155" s="71">
        <v>4.3938006204552946E-3</v>
      </c>
      <c r="G155" s="71">
        <v>1.2039868356660009E-2</v>
      </c>
      <c r="H155" s="45">
        <f>E155*(1-F155)*(1-G155)</f>
        <v>228.60294566355378</v>
      </c>
      <c r="I155" s="7" t="s">
        <v>3392</v>
      </c>
      <c r="J155" s="7" t="s">
        <v>3393</v>
      </c>
    </row>
    <row r="156" spans="1:10">
      <c r="A156" s="5" t="s">
        <v>3394</v>
      </c>
      <c r="B156" s="5" t="s">
        <v>2364</v>
      </c>
      <c r="C156" s="5" t="s">
        <v>2044</v>
      </c>
      <c r="D156" s="5" t="s">
        <v>142</v>
      </c>
      <c r="E156" s="45">
        <v>261.7</v>
      </c>
      <c r="F156" s="71">
        <v>2.2021034024655817E-2</v>
      </c>
      <c r="G156" s="71">
        <v>1.9161286274902524E-2</v>
      </c>
      <c r="H156" s="45">
        <f>E156*(1-F156)*(1-G156)</f>
        <v>251.03301144250258</v>
      </c>
      <c r="I156" s="7" t="s">
        <v>3395</v>
      </c>
      <c r="J156" s="7" t="s">
        <v>3396</v>
      </c>
    </row>
    <row r="157" spans="1:10">
      <c r="A157" s="5" t="s">
        <v>3397</v>
      </c>
      <c r="B157" s="5" t="s">
        <v>2365</v>
      </c>
      <c r="C157" s="5" t="s">
        <v>2313</v>
      </c>
      <c r="D157" s="5" t="s">
        <v>143</v>
      </c>
      <c r="E157" s="45">
        <v>271.2</v>
      </c>
      <c r="F157" s="71">
        <v>2.9123858897946776E-3</v>
      </c>
      <c r="G157" s="71">
        <v>1.0803499780595303E-2</v>
      </c>
      <c r="H157" s="45">
        <f>E157*(1-F157)*(1-G157)</f>
        <v>267.48878483222938</v>
      </c>
      <c r="I157" s="7" t="s">
        <v>3398</v>
      </c>
      <c r="J157" s="7" t="s">
        <v>3399</v>
      </c>
    </row>
    <row r="158" spans="1:10">
      <c r="A158" s="5" t="s">
        <v>3400</v>
      </c>
      <c r="B158" s="5" t="s">
        <v>2366</v>
      </c>
      <c r="C158" s="5" t="s">
        <v>2311</v>
      </c>
      <c r="D158" s="5" t="s">
        <v>147</v>
      </c>
      <c r="E158" s="45">
        <v>202.63</v>
      </c>
      <c r="F158" s="71">
        <v>1.899717314634472E-2</v>
      </c>
      <c r="G158" s="71">
        <v>1.1142305755056441E-2</v>
      </c>
      <c r="H158" s="45">
        <f>E158*(1-F158)*(1-G158)</f>
        <v>196.56572855072443</v>
      </c>
      <c r="I158" s="7" t="s">
        <v>3401</v>
      </c>
      <c r="J158" s="7" t="s">
        <v>3402</v>
      </c>
    </row>
    <row r="159" spans="1:10">
      <c r="A159" s="5" t="s">
        <v>3403</v>
      </c>
      <c r="B159" s="5" t="s">
        <v>2367</v>
      </c>
      <c r="C159" s="5" t="s">
        <v>2044</v>
      </c>
      <c r="D159" s="5" t="s">
        <v>145</v>
      </c>
      <c r="E159" s="45">
        <v>311.92</v>
      </c>
      <c r="F159" s="71">
        <v>1.7529851740691809E-2</v>
      </c>
      <c r="G159" s="71">
        <v>9.0338094811886552E-3</v>
      </c>
      <c r="H159" s="45">
        <f>E159*(1-F159)*(1-G159)</f>
        <v>303.68365886111178</v>
      </c>
      <c r="I159" s="7" t="s">
        <v>3404</v>
      </c>
      <c r="J159" s="7" t="s">
        <v>3405</v>
      </c>
    </row>
    <row r="160" spans="1:10">
      <c r="A160" s="5" t="s">
        <v>3406</v>
      </c>
      <c r="B160" s="5" t="s">
        <v>2368</v>
      </c>
      <c r="C160" s="5" t="s">
        <v>2317</v>
      </c>
      <c r="D160" s="5" t="s">
        <v>146</v>
      </c>
      <c r="E160" s="45">
        <v>282.58</v>
      </c>
      <c r="F160" s="71">
        <v>2.5553495557978749E-2</v>
      </c>
      <c r="G160" s="71">
        <v>1.2850455841980874E-2</v>
      </c>
      <c r="H160" s="45">
        <f>E160*(1-F160)*(1-G160)</f>
        <v>271.82060335704773</v>
      </c>
      <c r="I160" s="7" t="s">
        <v>3407</v>
      </c>
      <c r="J160" s="7" t="s">
        <v>3408</v>
      </c>
    </row>
    <row r="161" spans="1:10">
      <c r="A161" s="5" t="s">
        <v>3409</v>
      </c>
      <c r="B161" s="5" t="s">
        <v>2369</v>
      </c>
      <c r="C161" s="5" t="s">
        <v>2096</v>
      </c>
      <c r="D161" s="5" t="s">
        <v>127</v>
      </c>
      <c r="E161" s="45">
        <v>190.68</v>
      </c>
      <c r="F161" s="71">
        <v>2.30419476586394E-2</v>
      </c>
      <c r="G161" s="71">
        <v>1.000569062307477E-2</v>
      </c>
      <c r="H161" s="45">
        <f>E161*(1-F161)*(1-G161)</f>
        <v>184.42243772077933</v>
      </c>
      <c r="I161" s="7" t="s">
        <v>3410</v>
      </c>
      <c r="J161" s="7" t="s">
        <v>3411</v>
      </c>
    </row>
    <row r="162" spans="1:10">
      <c r="A162" s="5" t="s">
        <v>3412</v>
      </c>
      <c r="B162" s="5" t="s">
        <v>2370</v>
      </c>
      <c r="C162" s="5" t="s">
        <v>2047</v>
      </c>
      <c r="D162" s="5" t="s">
        <v>96</v>
      </c>
      <c r="E162" s="45">
        <v>250.73</v>
      </c>
      <c r="F162" s="71">
        <v>2.0470565627329049E-2</v>
      </c>
      <c r="G162" s="71">
        <v>1.0221912716515362E-2</v>
      </c>
      <c r="H162" s="45">
        <f>E162*(1-F162)*(1-G162)</f>
        <v>243.08693973990754</v>
      </c>
      <c r="I162" s="7" t="s">
        <v>3413</v>
      </c>
      <c r="J162" s="7" t="s">
        <v>3414</v>
      </c>
    </row>
    <row r="163" spans="1:10">
      <c r="A163" s="5" t="s">
        <v>3415</v>
      </c>
      <c r="B163" s="5" t="s">
        <v>2371</v>
      </c>
      <c r="C163" s="5" t="s">
        <v>2044</v>
      </c>
      <c r="D163" s="5" t="s">
        <v>99</v>
      </c>
      <c r="E163" s="45">
        <v>251.92</v>
      </c>
      <c r="F163" s="71">
        <v>1.0295455672312527E-2</v>
      </c>
      <c r="G163" s="71">
        <v>2.899967972189188E-4</v>
      </c>
      <c r="H163" s="45">
        <f>E163*(1-F163)*(1-G163)</f>
        <v>249.25406495861475</v>
      </c>
      <c r="I163" s="7" t="s">
        <v>3416</v>
      </c>
      <c r="J163" s="7" t="s">
        <v>3417</v>
      </c>
    </row>
    <row r="164" spans="1:10">
      <c r="A164" s="5" t="s">
        <v>3418</v>
      </c>
      <c r="B164" s="5" t="s">
        <v>2372</v>
      </c>
      <c r="C164" s="5" t="s">
        <v>2313</v>
      </c>
      <c r="D164" s="5" t="s">
        <v>102</v>
      </c>
      <c r="E164" s="45">
        <v>251.84</v>
      </c>
      <c r="F164" s="71">
        <v>9.2026437632739544E-3</v>
      </c>
      <c r="G164" s="71">
        <v>5.1280685095116494E-3</v>
      </c>
      <c r="H164" s="45">
        <f>E164*(1-F164)*(1-G164)</f>
        <v>248.2428382010327</v>
      </c>
      <c r="I164" s="7" t="s">
        <v>3419</v>
      </c>
      <c r="J164" s="7" t="s">
        <v>3042</v>
      </c>
    </row>
    <row r="165" spans="1:10">
      <c r="A165" s="5" t="s">
        <v>3420</v>
      </c>
      <c r="B165" s="5" t="s">
        <v>2373</v>
      </c>
      <c r="C165" s="5" t="s">
        <v>2044</v>
      </c>
      <c r="D165" s="5" t="s">
        <v>105</v>
      </c>
      <c r="E165" s="45">
        <v>308.77</v>
      </c>
      <c r="F165" s="71">
        <v>7.1095351106487212E-3</v>
      </c>
      <c r="G165" s="71">
        <v>1.7341394498944281E-2</v>
      </c>
      <c r="H165" s="45">
        <f>E165*(1-F165)*(1-G165)</f>
        <v>301.25835448711263</v>
      </c>
      <c r="I165" s="7" t="s">
        <v>3421</v>
      </c>
      <c r="J165" s="7" t="s">
        <v>3422</v>
      </c>
    </row>
    <row r="166" spans="1:10">
      <c r="A166" s="5" t="s">
        <v>3423</v>
      </c>
      <c r="B166" s="5" t="s">
        <v>2374</v>
      </c>
      <c r="C166" s="5" t="s">
        <v>2044</v>
      </c>
      <c r="D166" s="5" t="s">
        <v>107</v>
      </c>
      <c r="E166" s="45">
        <v>294.07</v>
      </c>
      <c r="F166" s="71">
        <v>2.959463969338685E-2</v>
      </c>
      <c r="G166" s="71">
        <v>3.1451159575954079E-3</v>
      </c>
      <c r="H166" s="45">
        <f>E166*(1-F166)*(1-G166)</f>
        <v>284.46959167184212</v>
      </c>
      <c r="I166" s="7" t="s">
        <v>3424</v>
      </c>
      <c r="J166" s="7" t="s">
        <v>3425</v>
      </c>
    </row>
    <row r="167" spans="1:10">
      <c r="A167" s="5" t="s">
        <v>3426</v>
      </c>
      <c r="B167" s="5" t="s">
        <v>2375</v>
      </c>
      <c r="C167" s="5" t="s">
        <v>2317</v>
      </c>
      <c r="D167" s="5" t="s">
        <v>109</v>
      </c>
      <c r="E167" s="45">
        <v>304.18</v>
      </c>
      <c r="F167" s="71">
        <v>1.5712417701724917E-2</v>
      </c>
      <c r="G167" s="71">
        <v>1.2771335234865547E-2</v>
      </c>
      <c r="H167" s="45">
        <f>E167*(1-F167)*(1-G167)</f>
        <v>295.57685139244859</v>
      </c>
      <c r="I167" s="7" t="s">
        <v>3427</v>
      </c>
      <c r="J167" s="7" t="s">
        <v>3428</v>
      </c>
    </row>
    <row r="168" spans="1:10">
      <c r="A168" s="5" t="s">
        <v>3429</v>
      </c>
      <c r="B168" s="5" t="s">
        <v>2376</v>
      </c>
      <c r="C168" s="5" t="s">
        <v>2307</v>
      </c>
      <c r="D168" s="5" t="s">
        <v>120</v>
      </c>
      <c r="E168" s="45">
        <v>245.68</v>
      </c>
      <c r="F168" s="71">
        <v>2.1704137763008474E-2</v>
      </c>
      <c r="G168" s="71">
        <v>4.6613405784592032E-3</v>
      </c>
      <c r="H168" s="45">
        <f>E168*(1-F168)*(1-G168)</f>
        <v>239.22738481955372</v>
      </c>
      <c r="I168" s="7" t="s">
        <v>3430</v>
      </c>
      <c r="J168" s="7" t="s">
        <v>3279</v>
      </c>
    </row>
    <row r="169" spans="1:10">
      <c r="A169" s="5" t="s">
        <v>3431</v>
      </c>
      <c r="B169" s="5" t="s">
        <v>2377</v>
      </c>
      <c r="C169" s="5" t="s">
        <v>2047</v>
      </c>
      <c r="D169" s="5" t="s">
        <v>121</v>
      </c>
      <c r="E169" s="45">
        <v>255</v>
      </c>
      <c r="F169" s="71">
        <v>2.6313814341556281E-2</v>
      </c>
      <c r="G169" s="71">
        <v>5.9326121024787428E-3</v>
      </c>
      <c r="H169" s="45">
        <f>E169*(1-F169)*(1-G169)</f>
        <v>246.81696921839446</v>
      </c>
      <c r="I169" s="7" t="s">
        <v>3291</v>
      </c>
      <c r="J169" s="7" t="s">
        <v>3432</v>
      </c>
    </row>
    <row r="170" spans="1:10">
      <c r="A170" s="5" t="s">
        <v>3433</v>
      </c>
      <c r="B170" s="5" t="s">
        <v>2378</v>
      </c>
      <c r="C170" s="5" t="s">
        <v>2094</v>
      </c>
      <c r="D170" s="5" t="s">
        <v>129</v>
      </c>
      <c r="E170" s="45">
        <v>131.38</v>
      </c>
      <c r="F170" s="71">
        <v>1.1197488396428526E-2</v>
      </c>
      <c r="G170" s="71">
        <v>1.0970069584436715E-2</v>
      </c>
      <c r="H170" s="45">
        <f>E170*(1-F170)*(1-G170)</f>
        <v>128.4837645873414</v>
      </c>
      <c r="I170" s="7" t="s">
        <v>3434</v>
      </c>
      <c r="J170" s="7" t="s">
        <v>3435</v>
      </c>
    </row>
    <row r="171" spans="1:10">
      <c r="A171" s="5" t="s">
        <v>3436</v>
      </c>
      <c r="B171" s="5" t="s">
        <v>2379</v>
      </c>
      <c r="C171" s="5" t="s">
        <v>2313</v>
      </c>
      <c r="D171" s="5" t="s">
        <v>123</v>
      </c>
      <c r="E171" s="45">
        <v>306.38</v>
      </c>
      <c r="F171" s="71">
        <v>2.2243941735941915E-2</v>
      </c>
      <c r="G171" s="71">
        <v>1.6133371936157347E-2</v>
      </c>
      <c r="H171" s="45">
        <f>E171*(1-F171)*(1-G171)</f>
        <v>294.73190916197842</v>
      </c>
      <c r="I171" s="7" t="s">
        <v>3437</v>
      </c>
      <c r="J171" s="7" t="s">
        <v>3438</v>
      </c>
    </row>
    <row r="172" spans="1:10">
      <c r="A172" s="5" t="s">
        <v>3439</v>
      </c>
      <c r="B172" s="5" t="s">
        <v>2380</v>
      </c>
      <c r="C172" s="5" t="s">
        <v>2044</v>
      </c>
      <c r="D172" s="5" t="s">
        <v>124</v>
      </c>
      <c r="E172" s="45">
        <v>252.49</v>
      </c>
      <c r="F172" s="71">
        <v>1.0154194235801696E-2</v>
      </c>
      <c r="G172" s="71">
        <v>4.8282580031082031E-3</v>
      </c>
      <c r="H172" s="45">
        <f>E172*(1-F172)*(1-G172)</f>
        <v>248.71945947899695</v>
      </c>
      <c r="I172" s="7" t="s">
        <v>3440</v>
      </c>
      <c r="J172" s="7" t="s">
        <v>3441</v>
      </c>
    </row>
    <row r="173" spans="1:10">
      <c r="A173" s="5" t="s">
        <v>3442</v>
      </c>
      <c r="B173" s="5" t="s">
        <v>2381</v>
      </c>
      <c r="C173" s="5" t="s">
        <v>2044</v>
      </c>
      <c r="D173" s="5" t="s">
        <v>125</v>
      </c>
      <c r="E173" s="45">
        <v>317.74</v>
      </c>
      <c r="F173" s="71">
        <v>1.047874899348244E-2</v>
      </c>
      <c r="G173" s="71">
        <v>1.7833610363304615E-2</v>
      </c>
      <c r="H173" s="45">
        <f>E173*(1-F173)*(1-G173)</f>
        <v>308.80340825942653</v>
      </c>
      <c r="I173" s="7" t="s">
        <v>3443</v>
      </c>
      <c r="J173" s="7" t="s">
        <v>3444</v>
      </c>
    </row>
    <row r="174" spans="1:10">
      <c r="A174" s="5" t="s">
        <v>3445</v>
      </c>
      <c r="B174" s="5" t="s">
        <v>2382</v>
      </c>
      <c r="C174" s="5" t="s">
        <v>2317</v>
      </c>
      <c r="D174" s="5" t="s">
        <v>126</v>
      </c>
      <c r="E174" s="45">
        <v>220.86</v>
      </c>
      <c r="F174" s="71">
        <v>2.3869678848423063E-2</v>
      </c>
      <c r="G174" s="71">
        <v>9.5114737236872311E-3</v>
      </c>
      <c r="H174" s="45">
        <f>E174*(1-F174)*(1-G174)</f>
        <v>213.53758177482678</v>
      </c>
      <c r="I174" s="7" t="s">
        <v>3446</v>
      </c>
      <c r="J174" s="7" t="s">
        <v>3447</v>
      </c>
    </row>
    <row r="175" spans="1:10">
      <c r="A175" s="5" t="s">
        <v>3448</v>
      </c>
      <c r="B175" s="5" t="s">
        <v>2383</v>
      </c>
      <c r="C175" s="5" t="s">
        <v>2044</v>
      </c>
      <c r="D175" s="5" t="s">
        <v>130</v>
      </c>
      <c r="E175" s="45">
        <v>302.56</v>
      </c>
      <c r="F175" s="71">
        <v>9.2127211228944361E-3</v>
      </c>
      <c r="G175" s="71">
        <v>7.8060833644121889E-3</v>
      </c>
      <c r="H175" s="45">
        <f>E175*(1-F175)*(1-G175)</f>
        <v>297.43254919813893</v>
      </c>
      <c r="I175" s="7" t="s">
        <v>3449</v>
      </c>
      <c r="J175" s="7" t="s">
        <v>3450</v>
      </c>
    </row>
    <row r="176" spans="1:10">
      <c r="A176" s="5" t="s">
        <v>3451</v>
      </c>
      <c r="B176" s="5" t="s">
        <v>2384</v>
      </c>
      <c r="C176" s="5" t="s">
        <v>2047</v>
      </c>
      <c r="D176" s="5" t="s">
        <v>131</v>
      </c>
      <c r="E176" s="45">
        <v>273.47000000000003</v>
      </c>
      <c r="F176" s="71">
        <v>2.1768010267987848E-2</v>
      </c>
      <c r="G176" s="71">
        <v>2.9155744379386304E-3</v>
      </c>
      <c r="H176" s="45">
        <f>E176*(1-F176)*(1-G176)</f>
        <v>266.73713620703433</v>
      </c>
      <c r="I176" s="7" t="s">
        <v>3452</v>
      </c>
      <c r="J176" s="7" t="s">
        <v>3453</v>
      </c>
    </row>
    <row r="177" spans="1:10">
      <c r="A177" s="5" t="s">
        <v>3454</v>
      </c>
      <c r="B177" s="5" t="s">
        <v>2385</v>
      </c>
      <c r="C177" s="5" t="s">
        <v>2044</v>
      </c>
      <c r="D177" s="5" t="s">
        <v>132</v>
      </c>
      <c r="E177" s="45">
        <v>293.11</v>
      </c>
      <c r="F177" s="71">
        <v>2.3310558262746781E-2</v>
      </c>
      <c r="G177" s="71">
        <v>2.7162251807749272E-3</v>
      </c>
      <c r="H177" s="45">
        <f>E177*(1-F177)*(1-G177)</f>
        <v>285.49984827023121</v>
      </c>
      <c r="I177" s="7" t="s">
        <v>3455</v>
      </c>
      <c r="J177" s="7" t="s">
        <v>3456</v>
      </c>
    </row>
    <row r="178" spans="1:10">
      <c r="A178" s="5" t="s">
        <v>3457</v>
      </c>
      <c r="B178" s="5" t="s">
        <v>2386</v>
      </c>
      <c r="C178" s="5" t="s">
        <v>2313</v>
      </c>
      <c r="D178" s="5" t="s">
        <v>133</v>
      </c>
      <c r="E178" s="45">
        <v>308.81</v>
      </c>
      <c r="F178" s="71">
        <v>4.1982610104605552E-3</v>
      </c>
      <c r="G178" s="71">
        <v>4.9936506943777208E-3</v>
      </c>
      <c r="H178" s="45">
        <f>E178*(1-F178)*(1-G178)</f>
        <v>305.97791983968972</v>
      </c>
      <c r="I178" s="7" t="s">
        <v>3458</v>
      </c>
      <c r="J178" s="7" t="s">
        <v>3459</v>
      </c>
    </row>
    <row r="179" spans="1:10">
      <c r="A179" s="5" t="s">
        <v>3460</v>
      </c>
      <c r="B179" s="5" t="s">
        <v>2387</v>
      </c>
      <c r="C179" s="5" t="s">
        <v>2044</v>
      </c>
      <c r="D179" s="5" t="s">
        <v>134</v>
      </c>
      <c r="E179" s="45">
        <v>309.22000000000003</v>
      </c>
      <c r="F179" s="71">
        <v>2.5842076346743851E-2</v>
      </c>
      <c r="G179" s="71">
        <v>6.1420686636120079E-3</v>
      </c>
      <c r="H179" s="45">
        <f>E179*(1-F179)*(1-G179)</f>
        <v>299.37894325560097</v>
      </c>
      <c r="I179" s="7" t="s">
        <v>3461</v>
      </c>
      <c r="J179" s="7" t="s">
        <v>3462</v>
      </c>
    </row>
    <row r="180" spans="1:10">
      <c r="A180" s="5" t="s">
        <v>3463</v>
      </c>
      <c r="B180" s="5" t="s">
        <v>2388</v>
      </c>
      <c r="C180" s="5" t="s">
        <v>2044</v>
      </c>
      <c r="D180" s="5" t="s">
        <v>135</v>
      </c>
      <c r="E180" s="45">
        <v>273.97000000000003</v>
      </c>
      <c r="F180" s="71">
        <v>1.9065920580178499E-2</v>
      </c>
      <c r="G180" s="71">
        <v>1.9023840534500777E-2</v>
      </c>
      <c r="H180" s="45">
        <f>E180*(1-F180)*(1-G180)</f>
        <v>263.63391899317679</v>
      </c>
      <c r="I180" s="7" t="s">
        <v>3464</v>
      </c>
      <c r="J180" s="7" t="s">
        <v>3465</v>
      </c>
    </row>
    <row r="181" spans="1:10">
      <c r="A181" s="5" t="s">
        <v>3466</v>
      </c>
      <c r="B181" s="5" t="s">
        <v>2389</v>
      </c>
      <c r="C181" s="5" t="s">
        <v>2317</v>
      </c>
      <c r="D181" s="5" t="s">
        <v>136</v>
      </c>
      <c r="E181" s="45">
        <v>236.41</v>
      </c>
      <c r="F181" s="71">
        <v>2.1355846782680599E-2</v>
      </c>
      <c r="G181" s="71">
        <v>1.196532040834427E-2</v>
      </c>
      <c r="H181" s="45">
        <f>E181*(1-F181)*(1-G181)</f>
        <v>228.59295260513073</v>
      </c>
      <c r="I181" s="7" t="s">
        <v>3467</v>
      </c>
      <c r="J181" s="7" t="s">
        <v>3468</v>
      </c>
    </row>
    <row r="182" spans="1:10">
      <c r="A182" s="5" t="s">
        <v>3469</v>
      </c>
      <c r="B182" s="5" t="s">
        <v>2390</v>
      </c>
      <c r="C182" s="5" t="s">
        <v>2307</v>
      </c>
      <c r="D182" s="5" t="s">
        <v>140</v>
      </c>
      <c r="E182" s="45">
        <v>297.31</v>
      </c>
      <c r="F182" s="71">
        <v>2.3191358568146825E-3</v>
      </c>
      <c r="G182" s="71">
        <v>1.1129402429796756E-2</v>
      </c>
      <c r="H182" s="45">
        <f>E182*(1-F182)*(1-G182)</f>
        <v>293.31928883037563</v>
      </c>
      <c r="I182" s="7" t="s">
        <v>3470</v>
      </c>
      <c r="J182" s="7" t="s">
        <v>3471</v>
      </c>
    </row>
    <row r="183" spans="1:10">
      <c r="A183" s="5" t="s">
        <v>3472</v>
      </c>
      <c r="B183" s="5" t="s">
        <v>2391</v>
      </c>
      <c r="C183" s="5" t="s">
        <v>2047</v>
      </c>
      <c r="D183" s="5" t="s">
        <v>141</v>
      </c>
      <c r="E183" s="45">
        <v>244.58</v>
      </c>
      <c r="F183" s="71">
        <v>2.0951389598194509E-2</v>
      </c>
      <c r="G183" s="71">
        <v>1.2568649267777801E-2</v>
      </c>
      <c r="H183" s="45">
        <f>E183*(1-F183)*(1-G183)</f>
        <v>236.44607430882556</v>
      </c>
      <c r="I183" s="7" t="s">
        <v>3473</v>
      </c>
      <c r="J183" s="7" t="s">
        <v>3474</v>
      </c>
    </row>
    <row r="184" spans="1:10">
      <c r="A184" s="5" t="s">
        <v>3475</v>
      </c>
      <c r="B184" s="5" t="s">
        <v>2392</v>
      </c>
      <c r="C184" s="5" t="s">
        <v>2096</v>
      </c>
      <c r="D184" s="5" t="s">
        <v>172</v>
      </c>
      <c r="E184" s="45">
        <v>161.22</v>
      </c>
      <c r="F184" s="71">
        <v>1.8643539128825069E-2</v>
      </c>
      <c r="G184" s="71">
        <v>9.3669644882902504E-3</v>
      </c>
      <c r="H184" s="45">
        <f>E184*(1-F184)*(1-G184)</f>
        <v>156.73230099859171</v>
      </c>
      <c r="I184" s="7" t="s">
        <v>3476</v>
      </c>
      <c r="J184" s="7" t="s">
        <v>3477</v>
      </c>
    </row>
    <row r="185" spans="1:10">
      <c r="A185" s="5" t="s">
        <v>3478</v>
      </c>
      <c r="B185" s="5" t="s">
        <v>2393</v>
      </c>
      <c r="C185" s="5" t="s">
        <v>2313</v>
      </c>
      <c r="D185" s="5" t="s">
        <v>143</v>
      </c>
      <c r="E185" s="45">
        <v>233.94</v>
      </c>
      <c r="F185" s="71">
        <v>2.2442156381439416E-2</v>
      </c>
      <c r="G185" s="71">
        <v>1.1621903087943792E-2</v>
      </c>
      <c r="H185" s="45">
        <f>E185*(1-F185)*(1-G185)</f>
        <v>226.03207029107111</v>
      </c>
      <c r="I185" s="7" t="s">
        <v>3479</v>
      </c>
      <c r="J185" s="7" t="s">
        <v>3480</v>
      </c>
    </row>
    <row r="186" spans="1:10">
      <c r="A186" s="5" t="s">
        <v>3481</v>
      </c>
      <c r="B186" s="5" t="s">
        <v>2394</v>
      </c>
      <c r="C186" s="5" t="s">
        <v>2044</v>
      </c>
      <c r="D186" s="5" t="s">
        <v>144</v>
      </c>
      <c r="E186" s="45">
        <v>312.36</v>
      </c>
      <c r="F186" s="71">
        <v>2.2694032914005218E-2</v>
      </c>
      <c r="G186" s="71">
        <v>1.4812149149365723E-2</v>
      </c>
      <c r="H186" s="45">
        <f>E186*(1-F186)*(1-G186)</f>
        <v>300.74956797265031</v>
      </c>
      <c r="I186" s="7" t="s">
        <v>3482</v>
      </c>
      <c r="J186" s="7" t="s">
        <v>3483</v>
      </c>
    </row>
    <row r="187" spans="1:10">
      <c r="A187" s="5" t="s">
        <v>3484</v>
      </c>
      <c r="B187" s="5" t="s">
        <v>2395</v>
      </c>
      <c r="C187" s="5" t="s">
        <v>2044</v>
      </c>
      <c r="D187" s="5" t="s">
        <v>145</v>
      </c>
      <c r="E187" s="45">
        <v>262.86</v>
      </c>
      <c r="F187" s="71">
        <v>7.8370862198062236E-3</v>
      </c>
      <c r="G187" s="71">
        <v>8.6813747603446244E-3</v>
      </c>
      <c r="H187" s="45">
        <f>E187*(1-F187)*(1-G187)</f>
        <v>258.53584146912038</v>
      </c>
      <c r="I187" s="7" t="s">
        <v>3485</v>
      </c>
      <c r="J187" s="7" t="s">
        <v>3486</v>
      </c>
    </row>
    <row r="188" spans="1:10">
      <c r="A188" s="5" t="s">
        <v>3487</v>
      </c>
      <c r="B188" s="5" t="s">
        <v>2396</v>
      </c>
      <c r="C188" s="5" t="s">
        <v>2317</v>
      </c>
      <c r="D188" s="5" t="s">
        <v>146</v>
      </c>
      <c r="E188" s="45">
        <v>272.92</v>
      </c>
      <c r="F188" s="71">
        <v>1.1182135082781314E-2</v>
      </c>
      <c r="G188" s="71">
        <v>1.3653803835622966E-2</v>
      </c>
      <c r="H188" s="45">
        <f>E188*(1-F188)*(1-G188)</f>
        <v>266.18344461543006</v>
      </c>
      <c r="I188" s="7" t="s">
        <v>3488</v>
      </c>
      <c r="J188" s="7" t="s">
        <v>3489</v>
      </c>
    </row>
    <row r="189" spans="1:10">
      <c r="A189" s="5" t="s">
        <v>3490</v>
      </c>
      <c r="B189" s="5" t="s">
        <v>2397</v>
      </c>
      <c r="C189" s="5" t="s">
        <v>2307</v>
      </c>
      <c r="D189" s="5" t="s">
        <v>93</v>
      </c>
      <c r="E189" s="45">
        <v>222.91</v>
      </c>
      <c r="F189" s="71">
        <v>2.6882189714815468E-2</v>
      </c>
      <c r="G189" s="71">
        <v>2.6113949343562126E-3</v>
      </c>
      <c r="H189" s="45">
        <f>E189*(1-F189)*(1-G189)</f>
        <v>216.35123333098403</v>
      </c>
      <c r="I189" s="7" t="s">
        <v>3491</v>
      </c>
      <c r="J189" s="7" t="s">
        <v>3492</v>
      </c>
    </row>
    <row r="190" spans="1:10">
      <c r="A190" s="5" t="s">
        <v>3493</v>
      </c>
      <c r="B190" s="5" t="s">
        <v>2398</v>
      </c>
      <c r="C190" s="5" t="s">
        <v>2047</v>
      </c>
      <c r="D190" s="5" t="s">
        <v>96</v>
      </c>
      <c r="E190" s="45">
        <v>305.14</v>
      </c>
      <c r="F190" s="71">
        <v>1.1518347174860537E-2</v>
      </c>
      <c r="G190" s="71">
        <v>2.608849280513823E-3</v>
      </c>
      <c r="H190" s="45">
        <f>E190*(1-F190)*(1-G190)</f>
        <v>300.83839661823612</v>
      </c>
      <c r="I190" s="7" t="s">
        <v>3494</v>
      </c>
      <c r="J190" s="7" t="s">
        <v>3495</v>
      </c>
    </row>
    <row r="191" spans="1:10">
      <c r="A191" s="5" t="s">
        <v>3496</v>
      </c>
      <c r="B191" s="5" t="s">
        <v>2399</v>
      </c>
      <c r="C191" s="5" t="s">
        <v>2096</v>
      </c>
      <c r="D191" s="5" t="s">
        <v>127</v>
      </c>
      <c r="E191" s="45">
        <v>188.7</v>
      </c>
      <c r="F191" s="71">
        <v>1.6370413026306777E-2</v>
      </c>
      <c r="G191" s="71">
        <v>1.92164349835366E-2</v>
      </c>
      <c r="H191" s="45">
        <f>E191*(1-F191)*(1-G191)</f>
        <v>182.04412321101069</v>
      </c>
      <c r="I191" s="7" t="s">
        <v>3497</v>
      </c>
      <c r="J191" s="7" t="s">
        <v>3498</v>
      </c>
    </row>
    <row r="192" spans="1:10">
      <c r="A192" s="5" t="s">
        <v>3499</v>
      </c>
      <c r="B192" s="5" t="s">
        <v>2400</v>
      </c>
      <c r="C192" s="5" t="s">
        <v>2313</v>
      </c>
      <c r="D192" s="5" t="s">
        <v>102</v>
      </c>
      <c r="E192" s="45">
        <v>291.70999999999998</v>
      </c>
      <c r="F192" s="71">
        <v>2.7855493174865843E-2</v>
      </c>
      <c r="G192" s="71">
        <v>1.2392885005101562E-3</v>
      </c>
      <c r="H192" s="45">
        <f>E192*(1-F192)*(1-G192)</f>
        <v>283.23283135615964</v>
      </c>
      <c r="I192" s="7" t="s">
        <v>3500</v>
      </c>
      <c r="J192" s="7" t="s">
        <v>3501</v>
      </c>
    </row>
    <row r="193" spans="1:10">
      <c r="A193" s="5" t="s">
        <v>3502</v>
      </c>
      <c r="B193" s="5" t="s">
        <v>2401</v>
      </c>
      <c r="C193" s="5" t="s">
        <v>2044</v>
      </c>
      <c r="D193" s="5" t="s">
        <v>105</v>
      </c>
      <c r="E193" s="45">
        <v>239.26</v>
      </c>
      <c r="F193" s="71">
        <v>2.2229557740502059E-3</v>
      </c>
      <c r="G193" s="71">
        <v>1.694560069590807E-3</v>
      </c>
      <c r="H193" s="45">
        <f>E193*(1-F193)*(1-G193)</f>
        <v>238.32359643542259</v>
      </c>
      <c r="I193" s="7" t="s">
        <v>3503</v>
      </c>
      <c r="J193" s="7" t="s">
        <v>3504</v>
      </c>
    </row>
    <row r="194" spans="1:10">
      <c r="A194" s="5" t="s">
        <v>3505</v>
      </c>
      <c r="B194" s="5" t="s">
        <v>2402</v>
      </c>
      <c r="C194" s="5" t="s">
        <v>2096</v>
      </c>
      <c r="D194" s="5" t="s">
        <v>172</v>
      </c>
      <c r="E194" s="45">
        <v>168.17</v>
      </c>
      <c r="F194" s="71">
        <v>2.9666085387580095E-2</v>
      </c>
      <c r="G194" s="71">
        <v>5.2412006305530669E-3</v>
      </c>
      <c r="H194" s="45">
        <f>E194*(1-F194)*(1-G194)</f>
        <v>162.32578977504829</v>
      </c>
      <c r="I194" s="7" t="s">
        <v>3506</v>
      </c>
      <c r="J194" s="7" t="s">
        <v>3507</v>
      </c>
    </row>
    <row r="195" spans="1:10">
      <c r="A195" s="5" t="s">
        <v>3508</v>
      </c>
      <c r="B195" s="5" t="s">
        <v>2403</v>
      </c>
      <c r="C195" s="5" t="s">
        <v>2317</v>
      </c>
      <c r="D195" s="5" t="s">
        <v>109</v>
      </c>
      <c r="E195" s="45">
        <v>249.93</v>
      </c>
      <c r="F195" s="71">
        <v>1.1843263499904423E-2</v>
      </c>
      <c r="G195" s="71">
        <v>1.6839478397741914E-2</v>
      </c>
      <c r="H195" s="45">
        <f>E195*(1-F195)*(1-G195)</f>
        <v>242.81116695208101</v>
      </c>
      <c r="I195" s="7" t="s">
        <v>3509</v>
      </c>
      <c r="J195" s="7" t="s">
        <v>3510</v>
      </c>
    </row>
    <row r="196" spans="1:10">
      <c r="A196" s="5" t="s">
        <v>3511</v>
      </c>
      <c r="B196" s="5" t="s">
        <v>2404</v>
      </c>
      <c r="C196" s="5" t="s">
        <v>2307</v>
      </c>
      <c r="D196" s="5" t="s">
        <v>120</v>
      </c>
      <c r="E196" s="45">
        <v>314.64999999999998</v>
      </c>
      <c r="F196" s="71">
        <v>5.7895084284245966E-3</v>
      </c>
      <c r="G196" s="71">
        <v>5.7325750915333627E-3</v>
      </c>
      <c r="H196" s="45">
        <f>E196*(1-F196)*(1-G196)</f>
        <v>311.0350192737879</v>
      </c>
      <c r="I196" s="7" t="s">
        <v>3512</v>
      </c>
      <c r="J196" s="7" t="s">
        <v>3513</v>
      </c>
    </row>
    <row r="197" spans="1:10">
      <c r="A197" s="5" t="s">
        <v>3514</v>
      </c>
      <c r="B197" s="5" t="s">
        <v>2405</v>
      </c>
      <c r="C197" s="5" t="s">
        <v>2311</v>
      </c>
      <c r="D197" s="5" t="s">
        <v>137</v>
      </c>
      <c r="E197" s="45">
        <v>214.54</v>
      </c>
      <c r="F197" s="71">
        <v>9.8210872686468054E-3</v>
      </c>
      <c r="G197" s="71">
        <v>1.5785890072584153E-3</v>
      </c>
      <c r="H197" s="45">
        <f>E197*(1-F197)*(1-G197)</f>
        <v>212.09763956416185</v>
      </c>
      <c r="I197" s="7" t="s">
        <v>3515</v>
      </c>
      <c r="J197" s="7" t="s">
        <v>3516</v>
      </c>
    </row>
    <row r="198" spans="1:10">
      <c r="A198" s="5" t="s">
        <v>3517</v>
      </c>
      <c r="B198" s="5" t="s">
        <v>2406</v>
      </c>
      <c r="C198" s="5" t="s">
        <v>2044</v>
      </c>
      <c r="D198" s="5" t="s">
        <v>122</v>
      </c>
      <c r="E198" s="45">
        <v>241.93</v>
      </c>
      <c r="F198" s="71">
        <v>2.7578171719796953E-2</v>
      </c>
      <c r="G198" s="71">
        <v>2.2426228085532787E-3</v>
      </c>
      <c r="H198" s="45">
        <f>E198*(1-F198)*(1-G198)</f>
        <v>234.73041793016958</v>
      </c>
      <c r="I198" s="7" t="s">
        <v>3518</v>
      </c>
      <c r="J198" s="7" t="s">
        <v>3519</v>
      </c>
    </row>
    <row r="199" spans="1:10">
      <c r="A199" s="5" t="s">
        <v>3520</v>
      </c>
      <c r="B199" s="5" t="s">
        <v>2407</v>
      </c>
      <c r="C199" s="5" t="s">
        <v>2313</v>
      </c>
      <c r="D199" s="5" t="s">
        <v>123</v>
      </c>
      <c r="E199" s="45">
        <v>307.57</v>
      </c>
      <c r="F199" s="71">
        <v>2.7593299860600381E-2</v>
      </c>
      <c r="G199" s="71">
        <v>9.6883366908878093E-3</v>
      </c>
      <c r="H199" s="45">
        <f>E199*(1-F199)*(1-G199)</f>
        <v>296.18551071186602</v>
      </c>
      <c r="I199" s="7" t="s">
        <v>3521</v>
      </c>
      <c r="J199" s="7" t="s">
        <v>3522</v>
      </c>
    </row>
    <row r="200" spans="1:10">
      <c r="A200" s="5" t="s">
        <v>3523</v>
      </c>
      <c r="B200" s="5" t="s">
        <v>2408</v>
      </c>
      <c r="C200" s="5" t="s">
        <v>2044</v>
      </c>
      <c r="D200" s="5" t="s">
        <v>124</v>
      </c>
      <c r="E200" s="45">
        <v>295.52</v>
      </c>
      <c r="F200" s="71">
        <v>1.273076525889337E-2</v>
      </c>
      <c r="G200" s="71">
        <v>2.7497324487194418E-3</v>
      </c>
      <c r="H200" s="45">
        <f>E200*(1-F200)*(1-G200)</f>
        <v>290.95554834917658</v>
      </c>
      <c r="I200" s="7" t="s">
        <v>3524</v>
      </c>
      <c r="J200" s="7" t="s">
        <v>3525</v>
      </c>
    </row>
    <row r="201" spans="1:10">
      <c r="A201" s="5" t="s">
        <v>3526</v>
      </c>
      <c r="B201" s="5" t="s">
        <v>2409</v>
      </c>
      <c r="C201" s="5" t="s">
        <v>2044</v>
      </c>
      <c r="D201" s="5" t="s">
        <v>125</v>
      </c>
      <c r="E201" s="45">
        <v>235.3</v>
      </c>
      <c r="F201" s="71">
        <v>1.9025579884182662E-2</v>
      </c>
      <c r="G201" s="71">
        <v>1.3625838886946439E-2</v>
      </c>
      <c r="H201" s="45">
        <f>E201*(1-F201)*(1-G201)</f>
        <v>227.67812021426386</v>
      </c>
      <c r="I201" s="7" t="s">
        <v>3527</v>
      </c>
      <c r="J201" s="7" t="s">
        <v>3528</v>
      </c>
    </row>
    <row r="202" spans="1:10">
      <c r="A202" s="5" t="s">
        <v>3529</v>
      </c>
      <c r="B202" s="5" t="s">
        <v>2410</v>
      </c>
      <c r="C202" s="5" t="s">
        <v>2094</v>
      </c>
      <c r="D202" s="5" t="s">
        <v>129</v>
      </c>
      <c r="E202" s="45">
        <v>124.2</v>
      </c>
      <c r="F202" s="71">
        <v>2.6000362797640262E-2</v>
      </c>
      <c r="G202" s="71">
        <v>1.3978520897217095E-2</v>
      </c>
      <c r="H202" s="45">
        <f>E202*(1-F202)*(1-G202)</f>
        <v>119.27976271464472</v>
      </c>
      <c r="I202" s="7" t="s">
        <v>3530</v>
      </c>
      <c r="J202" s="7" t="s">
        <v>3531</v>
      </c>
    </row>
    <row r="203" spans="1:10">
      <c r="A203" s="5" t="s">
        <v>3532</v>
      </c>
      <c r="B203" s="5" t="s">
        <v>2411</v>
      </c>
      <c r="C203" s="5" t="s">
        <v>2044</v>
      </c>
      <c r="D203" s="5" t="s">
        <v>130</v>
      </c>
      <c r="E203" s="45">
        <v>255.73</v>
      </c>
      <c r="F203" s="71">
        <v>1.5939622011501342E-2</v>
      </c>
      <c r="G203" s="71">
        <v>1.7607155637815595E-2</v>
      </c>
      <c r="H203" s="45">
        <f>E203*(1-F203)*(1-G203)</f>
        <v>247.22285353568518</v>
      </c>
      <c r="I203" s="7" t="s">
        <v>3533</v>
      </c>
      <c r="J203" s="7" t="s">
        <v>3534</v>
      </c>
    </row>
    <row r="204" spans="1:10">
      <c r="A204" s="5" t="s">
        <v>3535</v>
      </c>
      <c r="B204" s="5" t="s">
        <v>2412</v>
      </c>
      <c r="C204" s="5" t="s">
        <v>2047</v>
      </c>
      <c r="D204" s="5" t="s">
        <v>131</v>
      </c>
      <c r="E204" s="45">
        <v>291.68</v>
      </c>
      <c r="F204" s="71">
        <v>1.8580350950360296E-2</v>
      </c>
      <c r="G204" s="71">
        <v>1.0498458440415562E-2</v>
      </c>
      <c r="H204" s="45">
        <f>E204*(1-F204)*(1-G204)</f>
        <v>283.25518944842514</v>
      </c>
      <c r="I204" s="7" t="s">
        <v>3536</v>
      </c>
      <c r="J204" s="7" t="s">
        <v>3537</v>
      </c>
    </row>
    <row r="205" spans="1:10">
      <c r="A205" s="5" t="s">
        <v>3538</v>
      </c>
      <c r="B205" s="5" t="s">
        <v>2306</v>
      </c>
      <c r="C205" s="5" t="s">
        <v>2307</v>
      </c>
      <c r="D205" s="5" t="s">
        <v>93</v>
      </c>
      <c r="E205" s="45">
        <v>268.73</v>
      </c>
      <c r="F205" s="71">
        <v>1.2249203415121883E-2</v>
      </c>
      <c r="G205" s="71">
        <v>1.5977299585938454E-3</v>
      </c>
      <c r="H205" s="45">
        <f>E205*(1-F205)*(1-G205)</f>
        <v>265.01417288761553</v>
      </c>
      <c r="I205" s="7" t="s">
        <v>3539</v>
      </c>
      <c r="J205" s="7" t="s">
        <v>3540</v>
      </c>
    </row>
    <row r="206" spans="1:10">
      <c r="A206" s="5" t="s">
        <v>3541</v>
      </c>
      <c r="B206" s="5" t="s">
        <v>2309</v>
      </c>
      <c r="C206" s="5" t="s">
        <v>2047</v>
      </c>
      <c r="D206" s="5" t="s">
        <v>96</v>
      </c>
      <c r="E206" s="45">
        <v>297.43</v>
      </c>
      <c r="F206" s="71">
        <v>1.3977022119797766E-2</v>
      </c>
      <c r="G206" s="71">
        <v>1.3217330374754966E-2</v>
      </c>
      <c r="H206" s="45">
        <f>E206*(1-F206)*(1-G206)</f>
        <v>289.39653063422708</v>
      </c>
      <c r="I206" s="7" t="s">
        <v>3542</v>
      </c>
      <c r="J206" s="7" t="s">
        <v>3543</v>
      </c>
    </row>
    <row r="207" spans="1:10">
      <c r="A207" s="5" t="s">
        <v>3544</v>
      </c>
      <c r="B207" s="5" t="s">
        <v>2310</v>
      </c>
      <c r="C207" s="5" t="s">
        <v>2311</v>
      </c>
      <c r="D207" s="5" t="s">
        <v>137</v>
      </c>
      <c r="E207" s="45">
        <v>165.72</v>
      </c>
      <c r="F207" s="71">
        <v>9.4602333591319622E-3</v>
      </c>
      <c r="G207" s="71">
        <v>8.0094322096556422E-3</v>
      </c>
      <c r="H207" s="45">
        <f>E207*(1-F207)*(1-G207)</f>
        <v>162.83748380826418</v>
      </c>
      <c r="I207" s="7" t="s">
        <v>3545</v>
      </c>
      <c r="J207" s="7" t="s">
        <v>3546</v>
      </c>
    </row>
    <row r="208" spans="1:10">
      <c r="A208" s="5" t="s">
        <v>3547</v>
      </c>
      <c r="B208" s="5" t="s">
        <v>2312</v>
      </c>
      <c r="C208" s="5" t="s">
        <v>2313</v>
      </c>
      <c r="D208" s="5" t="s">
        <v>102</v>
      </c>
      <c r="E208" s="45">
        <v>277.88</v>
      </c>
      <c r="F208" s="71">
        <v>2.8949153507128358E-2</v>
      </c>
      <c r="G208" s="71">
        <v>1.7882328010164202E-2</v>
      </c>
      <c r="H208" s="45">
        <f>E208*(1-F208)*(1-G208)</f>
        <v>265.01032035048314</v>
      </c>
      <c r="I208" s="7" t="s">
        <v>3548</v>
      </c>
      <c r="J208" s="7" t="s">
        <v>3549</v>
      </c>
    </row>
    <row r="209" spans="1:10">
      <c r="A209" s="5" t="s">
        <v>3550</v>
      </c>
      <c r="B209" s="5" t="s">
        <v>2314</v>
      </c>
      <c r="C209" s="5" t="s">
        <v>2044</v>
      </c>
      <c r="D209" s="5" t="s">
        <v>105</v>
      </c>
      <c r="E209" s="45">
        <v>252.37</v>
      </c>
      <c r="F209" s="71">
        <v>1.7098347726278006E-3</v>
      </c>
      <c r="G209" s="71">
        <v>1.9871298316866161E-2</v>
      </c>
      <c r="H209" s="45">
        <f>E209*(1-F209)*(1-G209)</f>
        <v>246.9321441260436</v>
      </c>
      <c r="I209" s="7" t="s">
        <v>3551</v>
      </c>
      <c r="J209" s="7" t="s">
        <v>3552</v>
      </c>
    </row>
    <row r="210" spans="1:10">
      <c r="A210" s="5" t="s">
        <v>3553</v>
      </c>
      <c r="B210" s="5" t="s">
        <v>2315</v>
      </c>
      <c r="C210" s="5" t="s">
        <v>2044</v>
      </c>
      <c r="D210" s="5" t="s">
        <v>107</v>
      </c>
      <c r="E210" s="45">
        <v>291.39999999999998</v>
      </c>
      <c r="F210" s="71">
        <v>2.3007003846578299E-2</v>
      </c>
      <c r="G210" s="71">
        <v>1.3439843286760152E-2</v>
      </c>
      <c r="H210" s="45">
        <f>E210*(1-F210)*(1-G210)</f>
        <v>280.86949269267865</v>
      </c>
      <c r="I210" s="7" t="s">
        <v>3554</v>
      </c>
      <c r="J210" s="7" t="s">
        <v>3555</v>
      </c>
    </row>
    <row r="211" spans="1:10">
      <c r="A211" s="5" t="s">
        <v>3556</v>
      </c>
      <c r="B211" s="5" t="s">
        <v>2316</v>
      </c>
      <c r="C211" s="5" t="s">
        <v>2317</v>
      </c>
      <c r="D211" s="5" t="s">
        <v>109</v>
      </c>
      <c r="E211" s="45">
        <v>221.93</v>
      </c>
      <c r="F211" s="71">
        <v>2.2142553508747369E-2</v>
      </c>
      <c r="G211" s="71">
        <v>7.3074579332023859E-3</v>
      </c>
      <c r="H211" s="45">
        <f>E211*(1-F211)*(1-G211)</f>
        <v>215.43006851706593</v>
      </c>
      <c r="I211" s="7" t="s">
        <v>3557</v>
      </c>
      <c r="J211" s="7" t="s">
        <v>3558</v>
      </c>
    </row>
    <row r="212" spans="1:10">
      <c r="A212" s="5" t="s">
        <v>3559</v>
      </c>
      <c r="B212" s="5" t="s">
        <v>2318</v>
      </c>
      <c r="C212" s="5" t="s">
        <v>2307</v>
      </c>
      <c r="D212" s="5" t="s">
        <v>120</v>
      </c>
      <c r="E212" s="45">
        <v>298.51</v>
      </c>
      <c r="F212" s="71">
        <v>2.3390893880277871E-2</v>
      </c>
      <c r="G212" s="71">
        <v>9.8120724735781557E-3</v>
      </c>
      <c r="H212" s="45">
        <f>E212*(1-F212)*(1-G212)</f>
        <v>288.66709448291545</v>
      </c>
      <c r="I212" s="7" t="s">
        <v>3560</v>
      </c>
      <c r="J212" s="7" t="s">
        <v>3561</v>
      </c>
    </row>
    <row r="213" spans="1:10">
      <c r="A213" s="5" t="s">
        <v>3562</v>
      </c>
      <c r="B213" s="5" t="s">
        <v>2319</v>
      </c>
      <c r="C213" s="5" t="s">
        <v>2047</v>
      </c>
      <c r="D213" s="5" t="s">
        <v>121</v>
      </c>
      <c r="E213" s="45">
        <v>234.52</v>
      </c>
      <c r="F213" s="71">
        <v>6.1229628673754631E-3</v>
      </c>
      <c r="G213" s="71">
        <v>1.4565904885530473E-2</v>
      </c>
      <c r="H213" s="45">
        <f>E213*(1-F213)*(1-G213)</f>
        <v>229.68896275133582</v>
      </c>
      <c r="I213" s="7" t="s">
        <v>3563</v>
      </c>
      <c r="J213" s="7" t="s">
        <v>3564</v>
      </c>
    </row>
    <row r="214" spans="1:10">
      <c r="A214" s="5" t="s">
        <v>3565</v>
      </c>
      <c r="B214" s="5" t="s">
        <v>2320</v>
      </c>
      <c r="C214" s="5" t="s">
        <v>2044</v>
      </c>
      <c r="D214" s="5" t="s">
        <v>122</v>
      </c>
      <c r="E214" s="45">
        <v>236.2</v>
      </c>
      <c r="F214" s="71">
        <v>3.7678959639742969E-3</v>
      </c>
      <c r="G214" s="71">
        <v>1.6074315668083726E-2</v>
      </c>
      <c r="H214" s="45">
        <f>E214*(1-F214)*(1-G214)</f>
        <v>231.52757538417225</v>
      </c>
      <c r="I214" s="7" t="s">
        <v>3566</v>
      </c>
      <c r="J214" s="7" t="s">
        <v>3567</v>
      </c>
    </row>
    <row r="215" spans="1:10">
      <c r="A215" s="5" t="s">
        <v>3568</v>
      </c>
      <c r="B215" s="5" t="s">
        <v>2321</v>
      </c>
      <c r="C215" s="5" t="s">
        <v>2313</v>
      </c>
      <c r="D215" s="5" t="s">
        <v>123</v>
      </c>
      <c r="E215" s="45">
        <v>249.14</v>
      </c>
      <c r="F215" s="71">
        <v>2.7438227834645657E-2</v>
      </c>
      <c r="G215" s="71">
        <v>8.8456685002893214E-3</v>
      </c>
      <c r="H215" s="45">
        <f>E215*(1-F215)*(1-G215)</f>
        <v>240.16069870388725</v>
      </c>
      <c r="I215" s="7" t="s">
        <v>3569</v>
      </c>
      <c r="J215" s="7" t="s">
        <v>3570</v>
      </c>
    </row>
    <row r="216" spans="1:10">
      <c r="A216" s="5" t="s">
        <v>3571</v>
      </c>
      <c r="B216" s="5" t="s">
        <v>2323</v>
      </c>
      <c r="C216" s="5" t="s">
        <v>2044</v>
      </c>
      <c r="D216" s="5" t="s">
        <v>124</v>
      </c>
      <c r="E216" s="45">
        <v>294.01</v>
      </c>
      <c r="F216" s="71">
        <v>1.8469142569229005E-2</v>
      </c>
      <c r="G216" s="71">
        <v>4.4113900652155277E-3</v>
      </c>
      <c r="H216" s="45">
        <f>E216*(1-F216)*(1-G216)</f>
        <v>287.30684894495352</v>
      </c>
      <c r="I216" s="7" t="s">
        <v>3572</v>
      </c>
      <c r="J216" s="7" t="s">
        <v>3573</v>
      </c>
    </row>
    <row r="217" spans="1:10">
      <c r="A217" s="5" t="s">
        <v>3574</v>
      </c>
      <c r="B217" s="5" t="s">
        <v>2324</v>
      </c>
      <c r="C217" s="5" t="s">
        <v>2044</v>
      </c>
      <c r="D217" s="5" t="s">
        <v>125</v>
      </c>
      <c r="E217" s="45">
        <v>245.77</v>
      </c>
      <c r="F217" s="71">
        <v>1.3126615367364139E-2</v>
      </c>
      <c r="G217" s="71">
        <v>1.1017600651830436E-2</v>
      </c>
      <c r="H217" s="45">
        <f>E217*(1-F217)*(1-G217)</f>
        <v>239.87162022177</v>
      </c>
      <c r="I217" s="7" t="s">
        <v>3575</v>
      </c>
      <c r="J217" s="7" t="s">
        <v>3576</v>
      </c>
    </row>
    <row r="218" spans="1:10">
      <c r="A218" s="5" t="s">
        <v>3577</v>
      </c>
      <c r="B218" s="5" t="s">
        <v>2325</v>
      </c>
      <c r="C218" s="5" t="s">
        <v>2311</v>
      </c>
      <c r="D218" s="5" t="s">
        <v>147</v>
      </c>
      <c r="E218" s="45">
        <v>223.91</v>
      </c>
      <c r="F218" s="71">
        <v>9.3148728227242829E-3</v>
      </c>
      <c r="G218" s="71">
        <v>3.8448562147095802E-3</v>
      </c>
      <c r="H218" s="45">
        <f>E218*(1-F218)*(1-G218)</f>
        <v>220.97142426158922</v>
      </c>
      <c r="I218" s="7" t="s">
        <v>3578</v>
      </c>
      <c r="J218" s="7" t="s">
        <v>3579</v>
      </c>
    </row>
    <row r="219" spans="1:10">
      <c r="A219" s="5" t="s">
        <v>3580</v>
      </c>
      <c r="B219" s="5" t="s">
        <v>2326</v>
      </c>
      <c r="C219" s="5" t="s">
        <v>2327</v>
      </c>
      <c r="D219" s="5" t="s">
        <v>138</v>
      </c>
      <c r="E219" s="45">
        <v>148.08000000000001</v>
      </c>
      <c r="F219" s="71">
        <v>2.7753483925480396E-2</v>
      </c>
      <c r="G219" s="71">
        <v>3.2753996271640065E-3</v>
      </c>
      <c r="H219" s="45">
        <f>E219*(1-F219)*(1-G219)</f>
        <v>143.49870395095797</v>
      </c>
      <c r="I219" s="7" t="s">
        <v>3581</v>
      </c>
      <c r="J219" s="7" t="s">
        <v>3582</v>
      </c>
    </row>
    <row r="220" spans="1:10">
      <c r="A220" s="5" t="s">
        <v>3583</v>
      </c>
      <c r="B220" s="5" t="s">
        <v>2328</v>
      </c>
      <c r="C220" s="5" t="s">
        <v>2327</v>
      </c>
      <c r="D220" s="5" t="s">
        <v>148</v>
      </c>
      <c r="E220" s="45">
        <v>169.9</v>
      </c>
      <c r="F220" s="71">
        <v>1.3314570598304272E-2</v>
      </c>
      <c r="G220" s="71">
        <v>1.8047877354547381E-3</v>
      </c>
      <c r="H220" s="45">
        <f>E220*(1-F220)*(1-G220)</f>
        <v>167.33530371162914</v>
      </c>
      <c r="I220" s="7" t="s">
        <v>3584</v>
      </c>
      <c r="J220" s="7" t="s">
        <v>3585</v>
      </c>
    </row>
    <row r="221" spans="1:10">
      <c r="A221" s="5" t="s">
        <v>3586</v>
      </c>
      <c r="B221" s="5" t="s">
        <v>2329</v>
      </c>
      <c r="C221" s="5" t="s">
        <v>2044</v>
      </c>
      <c r="D221" s="5" t="s">
        <v>132</v>
      </c>
      <c r="E221" s="45">
        <v>272.87</v>
      </c>
      <c r="F221" s="71">
        <v>2.0719957330729812E-2</v>
      </c>
      <c r="G221" s="71">
        <v>1.6038648150861264E-2</v>
      </c>
      <c r="H221" s="45">
        <f>E221*(1-F221)*(1-G221)</f>
        <v>262.93035950937917</v>
      </c>
      <c r="I221" s="7" t="s">
        <v>3587</v>
      </c>
      <c r="J221" s="7" t="s">
        <v>3588</v>
      </c>
    </row>
    <row r="222" spans="1:10">
      <c r="A222" s="5" t="s">
        <v>3589</v>
      </c>
      <c r="B222" s="5" t="s">
        <v>2330</v>
      </c>
      <c r="C222" s="5" t="s">
        <v>2311</v>
      </c>
      <c r="D222" s="5" t="s">
        <v>137</v>
      </c>
      <c r="E222" s="45">
        <v>206.55</v>
      </c>
      <c r="F222" s="71">
        <v>2.6160407052375375E-2</v>
      </c>
      <c r="G222" s="71">
        <v>1.2420596205629408E-2</v>
      </c>
      <c r="H222" s="45">
        <f>E222*(1-F222)*(1-G222)</f>
        <v>198.64820762500798</v>
      </c>
      <c r="I222" s="7" t="s">
        <v>3590</v>
      </c>
      <c r="J222" s="7" t="s">
        <v>3591</v>
      </c>
    </row>
    <row r="223" spans="1:10">
      <c r="A223" s="5" t="s">
        <v>3592</v>
      </c>
      <c r="B223" s="5" t="s">
        <v>2331</v>
      </c>
      <c r="C223" s="5" t="s">
        <v>2327</v>
      </c>
      <c r="D223" s="5" t="s">
        <v>138</v>
      </c>
      <c r="E223" s="45">
        <v>199.4</v>
      </c>
      <c r="F223" s="71">
        <v>2.740628490457311E-2</v>
      </c>
      <c r="G223" s="71">
        <v>2.3085491638630629E-3</v>
      </c>
      <c r="H223" s="45">
        <f>E223*(1-F223)*(1-G223)</f>
        <v>193.48747787672039</v>
      </c>
      <c r="I223" s="7" t="s">
        <v>3593</v>
      </c>
      <c r="J223" s="7" t="s">
        <v>3594</v>
      </c>
    </row>
    <row r="224" spans="1:10">
      <c r="A224" s="5" t="s">
        <v>3595</v>
      </c>
      <c r="B224" s="5" t="s">
        <v>2332</v>
      </c>
      <c r="C224" s="5" t="s">
        <v>2044</v>
      </c>
      <c r="D224" s="5" t="s">
        <v>135</v>
      </c>
      <c r="E224" s="45">
        <v>243.79</v>
      </c>
      <c r="F224" s="71">
        <v>2.8286848682910204E-3</v>
      </c>
      <c r="G224" s="71">
        <v>9.1749541973695156E-3</v>
      </c>
      <c r="H224" s="45">
        <f>E224*(1-F224)*(1-G224)</f>
        <v>240.86995992724297</v>
      </c>
      <c r="I224" s="7" t="s">
        <v>3596</v>
      </c>
      <c r="J224" s="7" t="s">
        <v>3597</v>
      </c>
    </row>
    <row r="225" spans="1:10">
      <c r="A225" s="5" t="s">
        <v>3598</v>
      </c>
      <c r="B225" s="5" t="s">
        <v>2333</v>
      </c>
      <c r="C225" s="5" t="s">
        <v>2317</v>
      </c>
      <c r="D225" s="5" t="s">
        <v>136</v>
      </c>
      <c r="E225" s="45">
        <v>297.91000000000003</v>
      </c>
      <c r="F225" s="71">
        <v>1.8496811713557691E-2</v>
      </c>
      <c r="G225" s="71">
        <v>8.3996991999447344E-3</v>
      </c>
      <c r="H225" s="45">
        <f>E225*(1-F225)*(1-G225)</f>
        <v>289.94354601172603</v>
      </c>
      <c r="I225" s="7" t="s">
        <v>3599</v>
      </c>
      <c r="J225" s="7" t="s">
        <v>3600</v>
      </c>
    </row>
    <row r="226" spans="1:10">
      <c r="A226" s="5" t="s">
        <v>3601</v>
      </c>
      <c r="B226" s="5" t="s">
        <v>2334</v>
      </c>
      <c r="C226" s="5" t="s">
        <v>2307</v>
      </c>
      <c r="D226" s="5" t="s">
        <v>140</v>
      </c>
      <c r="E226" s="45">
        <v>233.64</v>
      </c>
      <c r="F226" s="71">
        <v>2.1410908503457903E-3</v>
      </c>
      <c r="G226" s="71">
        <v>1.7553140674717724E-2</v>
      </c>
      <c r="H226" s="45">
        <f>E226*(1-F226)*(1-G226)</f>
        <v>229.04742060797244</v>
      </c>
      <c r="I226" s="7" t="s">
        <v>3602</v>
      </c>
      <c r="J226" s="7" t="s">
        <v>3603</v>
      </c>
    </row>
    <row r="227" spans="1:10">
      <c r="A227" s="5" t="s">
        <v>3604</v>
      </c>
      <c r="B227" s="5" t="s">
        <v>2335</v>
      </c>
      <c r="C227" s="5" t="s">
        <v>2047</v>
      </c>
      <c r="D227" s="5" t="s">
        <v>141</v>
      </c>
      <c r="E227" s="45">
        <v>225.15</v>
      </c>
      <c r="F227" s="71">
        <v>2.858152962522581E-2</v>
      </c>
      <c r="G227" s="71">
        <v>1.1787645453587174E-2</v>
      </c>
      <c r="H227" s="45">
        <f>E227*(1-F227)*(1-G227)</f>
        <v>216.13673527833816</v>
      </c>
      <c r="I227" s="7" t="s">
        <v>3605</v>
      </c>
      <c r="J227" s="7" t="s">
        <v>3606</v>
      </c>
    </row>
    <row r="228" spans="1:10">
      <c r="A228" s="5" t="s">
        <v>3607</v>
      </c>
      <c r="B228" s="5" t="s">
        <v>2336</v>
      </c>
      <c r="C228" s="5" t="s">
        <v>2327</v>
      </c>
      <c r="D228" s="5" t="s">
        <v>148</v>
      </c>
      <c r="E228" s="45">
        <v>148.59</v>
      </c>
      <c r="F228" s="71">
        <v>1.119029788300395E-2</v>
      </c>
      <c r="G228" s="71">
        <v>1.1777164223603904E-2</v>
      </c>
      <c r="H228" s="45">
        <f>E228*(1-F228)*(1-G228)</f>
        <v>145.19684747809504</v>
      </c>
      <c r="I228" s="7" t="s">
        <v>3608</v>
      </c>
      <c r="J228" s="7" t="s">
        <v>3609</v>
      </c>
    </row>
    <row r="229" spans="1:10">
      <c r="A229" s="5" t="s">
        <v>3610</v>
      </c>
      <c r="B229" s="5" t="s">
        <v>2337</v>
      </c>
      <c r="C229" s="5" t="s">
        <v>2094</v>
      </c>
      <c r="D229" s="5" t="s">
        <v>117</v>
      </c>
      <c r="E229" s="45">
        <v>142.51</v>
      </c>
      <c r="F229" s="71">
        <v>1.6955351752694695E-2</v>
      </c>
      <c r="G229" s="71">
        <v>1.5972128883004189E-2</v>
      </c>
      <c r="H229" s="45">
        <f>E229*(1-F229)*(1-G229)</f>
        <v>137.8560983042789</v>
      </c>
      <c r="I229" s="7" t="s">
        <v>3611</v>
      </c>
      <c r="J229" s="7" t="s">
        <v>3612</v>
      </c>
    </row>
    <row r="230" spans="1:10">
      <c r="A230" s="5" t="s">
        <v>3613</v>
      </c>
      <c r="B230" s="5" t="s">
        <v>2338</v>
      </c>
      <c r="C230" s="5" t="s">
        <v>2044</v>
      </c>
      <c r="D230" s="5" t="s">
        <v>144</v>
      </c>
      <c r="E230" s="45">
        <v>235.35</v>
      </c>
      <c r="F230" s="71">
        <v>2.7477816645987332E-2</v>
      </c>
      <c r="G230" s="71">
        <v>1.9889800832606854E-2</v>
      </c>
      <c r="H230" s="45">
        <f>E230*(1-F230)*(1-G230)</f>
        <v>224.33065666191283</v>
      </c>
      <c r="I230" s="7" t="s">
        <v>3614</v>
      </c>
      <c r="J230" s="7" t="s">
        <v>3615</v>
      </c>
    </row>
    <row r="231" spans="1:10">
      <c r="A231" s="5" t="s">
        <v>3616</v>
      </c>
      <c r="B231" s="5" t="s">
        <v>2339</v>
      </c>
      <c r="C231" s="5" t="s">
        <v>2044</v>
      </c>
      <c r="D231" s="5" t="s">
        <v>145</v>
      </c>
      <c r="E231" s="45">
        <v>294.56</v>
      </c>
      <c r="F231" s="71">
        <v>2.7315549741033465E-2</v>
      </c>
      <c r="G231" s="71">
        <v>1.5009821942076087E-2</v>
      </c>
      <c r="H231" s="45">
        <f>E231*(1-F231)*(1-G231)</f>
        <v>282.21340857001616</v>
      </c>
      <c r="I231" s="7" t="s">
        <v>3617</v>
      </c>
      <c r="J231" s="7" t="s">
        <v>3618</v>
      </c>
    </row>
    <row r="232" spans="1:10">
      <c r="A232" s="5" t="s">
        <v>3619</v>
      </c>
      <c r="B232" s="5" t="s">
        <v>2340</v>
      </c>
      <c r="C232" s="5" t="s">
        <v>2317</v>
      </c>
      <c r="D232" s="5" t="s">
        <v>146</v>
      </c>
      <c r="E232" s="45">
        <v>262.24</v>
      </c>
      <c r="F232" s="71">
        <v>1.5820981850847602E-2</v>
      </c>
      <c r="G232" s="71">
        <v>4.5982141932472591E-3</v>
      </c>
      <c r="H232" s="45">
        <f>E232*(1-F232)*(1-G232)</f>
        <v>256.9043475339638</v>
      </c>
      <c r="I232" s="7" t="s">
        <v>3620</v>
      </c>
      <c r="J232" s="7" t="s">
        <v>3621</v>
      </c>
    </row>
    <row r="233" spans="1:10">
      <c r="A233" s="5" t="s">
        <v>3622</v>
      </c>
      <c r="B233" s="5" t="s">
        <v>2341</v>
      </c>
      <c r="C233" s="5" t="s">
        <v>2307</v>
      </c>
      <c r="D233" s="5" t="s">
        <v>93</v>
      </c>
      <c r="E233" s="45">
        <v>301.74</v>
      </c>
      <c r="F233" s="71">
        <v>6.6521522356197235E-4</v>
      </c>
      <c r="G233" s="71">
        <v>2.9680257849395274E-3</v>
      </c>
      <c r="H233" s="45">
        <f>E233*(1-F233)*(1-G233)</f>
        <v>300.64430160628973</v>
      </c>
      <c r="I233" s="7" t="s">
        <v>3623</v>
      </c>
      <c r="J233" s="7" t="s">
        <v>3624</v>
      </c>
    </row>
    <row r="234" spans="1:10">
      <c r="A234" s="5" t="s">
        <v>3625</v>
      </c>
      <c r="B234" s="5" t="s">
        <v>2342</v>
      </c>
      <c r="C234" s="5" t="s">
        <v>2047</v>
      </c>
      <c r="D234" s="5" t="s">
        <v>96</v>
      </c>
      <c r="E234" s="45">
        <v>289.05</v>
      </c>
      <c r="F234" s="71">
        <v>2.9355671396479009E-3</v>
      </c>
      <c r="G234" s="71">
        <v>1.4650107738561929E-2</v>
      </c>
      <c r="H234" s="45">
        <f>E234*(1-F234)*(1-G234)</f>
        <v>283.97929166910956</v>
      </c>
      <c r="I234" s="7" t="s">
        <v>3626</v>
      </c>
      <c r="J234" s="7" t="s">
        <v>3627</v>
      </c>
    </row>
    <row r="235" spans="1:10">
      <c r="A235" s="5" t="s">
        <v>3628</v>
      </c>
      <c r="B235" s="5" t="s">
        <v>2343</v>
      </c>
      <c r="C235" s="5" t="s">
        <v>2044</v>
      </c>
      <c r="D235" s="5" t="s">
        <v>99</v>
      </c>
      <c r="E235" s="45">
        <v>248.31</v>
      </c>
      <c r="F235" s="71">
        <v>2.4041153651196509E-2</v>
      </c>
      <c r="G235" s="71">
        <v>1.224219803698361E-2</v>
      </c>
      <c r="H235" s="45">
        <f>E235*(1-F235)*(1-G235)</f>
        <v>239.37356268832366</v>
      </c>
      <c r="I235" s="7" t="s">
        <v>3629</v>
      </c>
      <c r="J235" s="7" t="s">
        <v>3630</v>
      </c>
    </row>
    <row r="236" spans="1:10">
      <c r="A236" s="5" t="s">
        <v>3631</v>
      </c>
      <c r="B236" s="5" t="s">
        <v>2344</v>
      </c>
      <c r="C236" s="5" t="s">
        <v>2313</v>
      </c>
      <c r="D236" s="5" t="s">
        <v>102</v>
      </c>
      <c r="E236" s="45">
        <v>319.01</v>
      </c>
      <c r="F236" s="71">
        <v>2.946575716137886E-2</v>
      </c>
      <c r="G236" s="71">
        <v>4.3473888887092475E-3</v>
      </c>
      <c r="H236" s="45">
        <f>E236*(1-F236)*(1-G236)</f>
        <v>308.26413317413699</v>
      </c>
      <c r="I236" s="7" t="s">
        <v>3632</v>
      </c>
      <c r="J236" s="7" t="s">
        <v>3633</v>
      </c>
    </row>
    <row r="237" spans="1:10">
      <c r="A237" s="5" t="s">
        <v>3634</v>
      </c>
      <c r="B237" s="5" t="s">
        <v>2345</v>
      </c>
      <c r="C237" s="5" t="s">
        <v>2044</v>
      </c>
      <c r="D237" s="5" t="s">
        <v>105</v>
      </c>
      <c r="E237" s="45">
        <v>257.39</v>
      </c>
      <c r="F237" s="71">
        <v>1.8573290572967381E-2</v>
      </c>
      <c r="G237" s="71">
        <v>1.5715338476002216E-2</v>
      </c>
      <c r="H237" s="45">
        <f>E237*(1-F237)*(1-G237)</f>
        <v>248.63957819027701</v>
      </c>
      <c r="I237" s="7" t="s">
        <v>3635</v>
      </c>
      <c r="J237" s="7" t="s">
        <v>3636</v>
      </c>
    </row>
    <row r="238" spans="1:10">
      <c r="A238" s="5" t="s">
        <v>3637</v>
      </c>
      <c r="B238" s="5" t="s">
        <v>2346</v>
      </c>
      <c r="C238" s="5" t="s">
        <v>2044</v>
      </c>
      <c r="D238" s="5" t="s">
        <v>107</v>
      </c>
      <c r="E238" s="45">
        <v>229.97</v>
      </c>
      <c r="F238" s="71">
        <v>2.6489064716733991E-2</v>
      </c>
      <c r="G238" s="71">
        <v>1.8353107222355902E-2</v>
      </c>
      <c r="H238" s="45">
        <f>E238*(1-F238)*(1-G238)</f>
        <v>219.76944716281037</v>
      </c>
      <c r="I238" s="7" t="s">
        <v>3338</v>
      </c>
      <c r="J238" s="7" t="s">
        <v>3638</v>
      </c>
    </row>
    <row r="239" spans="1:10">
      <c r="A239" s="5" t="s">
        <v>3639</v>
      </c>
      <c r="B239" s="5" t="s">
        <v>2347</v>
      </c>
      <c r="C239" s="5" t="s">
        <v>2317</v>
      </c>
      <c r="D239" s="5" t="s">
        <v>109</v>
      </c>
      <c r="E239" s="45">
        <v>270.45</v>
      </c>
      <c r="F239" s="71">
        <v>1.0724467320833354E-2</v>
      </c>
      <c r="G239" s="71">
        <v>7.3661662172526121E-3</v>
      </c>
      <c r="H239" s="45">
        <f>E239*(1-F239)*(1-G239)</f>
        <v>265.57875322521534</v>
      </c>
      <c r="I239" s="7" t="s">
        <v>3640</v>
      </c>
      <c r="J239" s="7" t="s">
        <v>3641</v>
      </c>
    </row>
    <row r="240" spans="1:10">
      <c r="A240" s="5" t="s">
        <v>3642</v>
      </c>
      <c r="B240" s="5" t="s">
        <v>2348</v>
      </c>
      <c r="C240" s="5" t="s">
        <v>2307</v>
      </c>
      <c r="D240" s="5" t="s">
        <v>120</v>
      </c>
      <c r="E240" s="45">
        <v>266.16000000000003</v>
      </c>
      <c r="F240" s="71">
        <v>1.5545265236869454E-2</v>
      </c>
      <c r="G240" s="71">
        <v>6.4669595425948505E-3</v>
      </c>
      <c r="H240" s="45">
        <f>E240*(1-F240)*(1-G240)</f>
        <v>260.32798347755732</v>
      </c>
      <c r="I240" s="7" t="s">
        <v>3643</v>
      </c>
      <c r="J240" s="7" t="s">
        <v>3644</v>
      </c>
    </row>
    <row r="241" spans="1:10">
      <c r="A241" s="5" t="s">
        <v>3645</v>
      </c>
      <c r="B241" s="5" t="s">
        <v>2349</v>
      </c>
      <c r="C241" s="5" t="s">
        <v>2047</v>
      </c>
      <c r="D241" s="5" t="s">
        <v>121</v>
      </c>
      <c r="E241" s="45">
        <v>225.39</v>
      </c>
      <c r="F241" s="71">
        <v>2.2294249269180001E-3</v>
      </c>
      <c r="G241" s="71">
        <v>4.0567824617028237E-4</v>
      </c>
      <c r="H241" s="45">
        <f>E241*(1-F241)*(1-G241)</f>
        <v>224.7962779451137</v>
      </c>
      <c r="I241" s="7" t="s">
        <v>3646</v>
      </c>
      <c r="J241" s="7" t="s">
        <v>3647</v>
      </c>
    </row>
    <row r="242" spans="1:10">
      <c r="A242" s="5" t="s">
        <v>3648</v>
      </c>
      <c r="B242" s="5" t="s">
        <v>2350</v>
      </c>
      <c r="C242" s="5" t="s">
        <v>2044</v>
      </c>
      <c r="D242" s="5" t="s">
        <v>122</v>
      </c>
      <c r="E242" s="45">
        <v>221.33</v>
      </c>
      <c r="F242" s="71">
        <v>7.4005302367731928E-3</v>
      </c>
      <c r="G242" s="71">
        <v>9.782936056144536E-3</v>
      </c>
      <c r="H242" s="45">
        <f>E242*(1-F242)*(1-G242)</f>
        <v>217.54280745704361</v>
      </c>
      <c r="I242" s="7" t="s">
        <v>3649</v>
      </c>
      <c r="J242" s="7" t="s">
        <v>3650</v>
      </c>
    </row>
    <row r="243" spans="1:10">
      <c r="A243" s="5" t="s">
        <v>3651</v>
      </c>
      <c r="B243" s="5" t="s">
        <v>2351</v>
      </c>
      <c r="C243" s="5" t="s">
        <v>2313</v>
      </c>
      <c r="D243" s="5" t="s">
        <v>123</v>
      </c>
      <c r="E243" s="45">
        <v>230.33</v>
      </c>
      <c r="F243" s="71">
        <v>2.4124821976292878E-2</v>
      </c>
      <c r="G243" s="71">
        <v>1.758808539249003E-2</v>
      </c>
      <c r="H243" s="45">
        <f>E243*(1-F243)*(1-G243)</f>
        <v>220.8199972365293</v>
      </c>
      <c r="I243" s="7" t="s">
        <v>3652</v>
      </c>
      <c r="J243" s="7" t="s">
        <v>3653</v>
      </c>
    </row>
    <row r="244" spans="1:10">
      <c r="A244" s="5" t="s">
        <v>3654</v>
      </c>
      <c r="B244" s="5" t="s">
        <v>2352</v>
      </c>
      <c r="C244" s="5" t="s">
        <v>2044</v>
      </c>
      <c r="D244" s="5" t="s">
        <v>124</v>
      </c>
      <c r="E244" s="45">
        <v>298.55</v>
      </c>
      <c r="F244" s="71">
        <v>9.4356757588684552E-3</v>
      </c>
      <c r="G244" s="71">
        <v>1.684971313457936E-2</v>
      </c>
      <c r="H244" s="45">
        <f>E244*(1-F244)*(1-G244)</f>
        <v>290.74996314156834</v>
      </c>
      <c r="I244" s="7" t="s">
        <v>3655</v>
      </c>
      <c r="J244" s="7" t="s">
        <v>3656</v>
      </c>
    </row>
    <row r="245" spans="1:10">
      <c r="A245" s="5" t="s">
        <v>3657</v>
      </c>
      <c r="B245" s="5" t="s">
        <v>2353</v>
      </c>
      <c r="C245" s="5" t="s">
        <v>2044</v>
      </c>
      <c r="D245" s="5" t="s">
        <v>125</v>
      </c>
      <c r="E245" s="45">
        <v>266.92</v>
      </c>
      <c r="F245" s="71">
        <v>2.0213303973432628E-2</v>
      </c>
      <c r="G245" s="71">
        <v>1.1252278089523315E-2</v>
      </c>
      <c r="H245" s="45">
        <f>E245*(1-F245)*(1-G245)</f>
        <v>258.58191664664878</v>
      </c>
      <c r="I245" s="7" t="s">
        <v>3658</v>
      </c>
      <c r="J245" s="7" t="s">
        <v>3659</v>
      </c>
    </row>
    <row r="246" spans="1:10">
      <c r="A246" s="5" t="s">
        <v>3660</v>
      </c>
      <c r="B246" s="5" t="s">
        <v>2354</v>
      </c>
      <c r="C246" s="5" t="s">
        <v>2096</v>
      </c>
      <c r="D246" s="5" t="s">
        <v>127</v>
      </c>
      <c r="E246" s="45">
        <v>205.73</v>
      </c>
      <c r="F246" s="71">
        <v>2.4115801197476684E-2</v>
      </c>
      <c r="G246" s="71">
        <v>7.3801793763414031E-3</v>
      </c>
      <c r="H246" s="45">
        <f>E246*(1-F246)*(1-G246)</f>
        <v>199.28694752359513</v>
      </c>
      <c r="I246" s="7" t="s">
        <v>3661</v>
      </c>
      <c r="J246" s="7" t="s">
        <v>3662</v>
      </c>
    </row>
    <row r="247" spans="1:10">
      <c r="A247" s="5" t="s">
        <v>3663</v>
      </c>
      <c r="B247" s="5" t="s">
        <v>2355</v>
      </c>
      <c r="C247" s="5" t="s">
        <v>2044</v>
      </c>
      <c r="D247" s="5" t="s">
        <v>130</v>
      </c>
      <c r="E247" s="45">
        <v>257.05</v>
      </c>
      <c r="F247" s="71">
        <v>2.2089386754669247E-3</v>
      </c>
      <c r="G247" s="71">
        <v>7.1538805123418569E-3</v>
      </c>
      <c r="H247" s="45">
        <f>E247*(1-F247)*(1-G247)</f>
        <v>254.64734935611722</v>
      </c>
      <c r="I247" s="7" t="s">
        <v>3664</v>
      </c>
      <c r="J247" s="7" t="s">
        <v>3665</v>
      </c>
    </row>
    <row r="248" spans="1:10">
      <c r="A248" s="5" t="s">
        <v>3666</v>
      </c>
      <c r="B248" s="5" t="s">
        <v>2356</v>
      </c>
      <c r="C248" s="5" t="s">
        <v>2327</v>
      </c>
      <c r="D248" s="5" t="s">
        <v>148</v>
      </c>
      <c r="E248" s="45">
        <v>165.95</v>
      </c>
      <c r="F248" s="71">
        <v>1.583257826976478E-2</v>
      </c>
      <c r="G248" s="71">
        <v>1.2951012938283385E-2</v>
      </c>
      <c r="H248" s="45">
        <f>E248*(1-F248)*(1-G248)</f>
        <v>161.20739074234709</v>
      </c>
      <c r="I248" s="7" t="s">
        <v>3667</v>
      </c>
      <c r="J248" s="7" t="s">
        <v>3668</v>
      </c>
    </row>
    <row r="249" spans="1:10">
      <c r="A249" s="5" t="s">
        <v>3669</v>
      </c>
      <c r="B249" s="5" t="s">
        <v>2357</v>
      </c>
      <c r="C249" s="5" t="s">
        <v>2044</v>
      </c>
      <c r="D249" s="5" t="s">
        <v>132</v>
      </c>
      <c r="E249" s="45">
        <v>258.06</v>
      </c>
      <c r="F249" s="71">
        <v>4.5437537203542886E-3</v>
      </c>
      <c r="G249" s="71">
        <v>1.2495607938617467E-2</v>
      </c>
      <c r="H249" s="45">
        <f>E249*(1-F249)*(1-G249)</f>
        <v>253.67747419388894</v>
      </c>
      <c r="I249" s="7" t="s">
        <v>3670</v>
      </c>
      <c r="J249" s="7" t="s">
        <v>3671</v>
      </c>
    </row>
    <row r="250" spans="1:10">
      <c r="A250" s="5" t="s">
        <v>3672</v>
      </c>
      <c r="B250" s="5" t="s">
        <v>2358</v>
      </c>
      <c r="C250" s="5" t="s">
        <v>2313</v>
      </c>
      <c r="D250" s="5" t="s">
        <v>133</v>
      </c>
      <c r="E250" s="45">
        <v>273.23</v>
      </c>
      <c r="F250" s="71">
        <v>9.8850592738017433E-3</v>
      </c>
      <c r="G250" s="71">
        <v>1.0246509355492889E-2</v>
      </c>
      <c r="H250" s="45">
        <f>E250*(1-F250)*(1-G250)</f>
        <v>267.75712624669455</v>
      </c>
      <c r="I250" s="7" t="s">
        <v>3673</v>
      </c>
      <c r="J250" s="7" t="s">
        <v>3674</v>
      </c>
    </row>
    <row r="251" spans="1:10">
      <c r="A251" s="5" t="s">
        <v>3675</v>
      </c>
      <c r="B251" s="5" t="s">
        <v>2359</v>
      </c>
      <c r="C251" s="5" t="s">
        <v>2044</v>
      </c>
      <c r="D251" s="5" t="s">
        <v>134</v>
      </c>
      <c r="E251" s="45">
        <v>294.18</v>
      </c>
      <c r="F251" s="71">
        <v>2.8250659753102807E-2</v>
      </c>
      <c r="G251" s="71">
        <v>1.1005048425868153E-2</v>
      </c>
      <c r="H251" s="45">
        <f>E251*(1-F251)*(1-G251)</f>
        <v>282.72321629421032</v>
      </c>
      <c r="I251" s="7" t="s">
        <v>3676</v>
      </c>
      <c r="J251" s="7" t="s">
        <v>3677</v>
      </c>
    </row>
    <row r="252" spans="1:10">
      <c r="A252" s="5" t="s">
        <v>3678</v>
      </c>
      <c r="B252" s="5" t="s">
        <v>2360</v>
      </c>
      <c r="C252" s="5" t="s">
        <v>2044</v>
      </c>
      <c r="D252" s="5" t="s">
        <v>135</v>
      </c>
      <c r="E252" s="45">
        <v>266.25</v>
      </c>
      <c r="F252" s="71">
        <v>9.8551081493496884E-3</v>
      </c>
      <c r="G252" s="71">
        <v>1.3982890318147839E-2</v>
      </c>
      <c r="H252" s="45">
        <f>E252*(1-F252)*(1-G252)</f>
        <v>259.93982292917553</v>
      </c>
      <c r="I252" s="7" t="s">
        <v>3679</v>
      </c>
      <c r="J252" s="7" t="s">
        <v>3680</v>
      </c>
    </row>
    <row r="253" spans="1:10">
      <c r="A253" s="5" t="s">
        <v>3681</v>
      </c>
      <c r="B253" s="5" t="s">
        <v>2361</v>
      </c>
      <c r="C253" s="5" t="s">
        <v>2317</v>
      </c>
      <c r="D253" s="5" t="s">
        <v>136</v>
      </c>
      <c r="E253" s="45">
        <v>317.51</v>
      </c>
      <c r="F253" s="71">
        <v>2.3517141281627118E-3</v>
      </c>
      <c r="G253" s="71">
        <v>2.6941461488604545E-3</v>
      </c>
      <c r="H253" s="45">
        <f>E253*(1-F253)*(1-G253)</f>
        <v>315.90990060284679</v>
      </c>
      <c r="I253" s="7" t="s">
        <v>3682</v>
      </c>
      <c r="J253" s="7" t="s">
        <v>3683</v>
      </c>
    </row>
    <row r="254" spans="1:10">
      <c r="A254" s="5" t="s">
        <v>3684</v>
      </c>
      <c r="B254" s="5" t="s">
        <v>2362</v>
      </c>
      <c r="C254" s="5" t="s">
        <v>2307</v>
      </c>
      <c r="D254" s="5" t="s">
        <v>140</v>
      </c>
      <c r="E254" s="45">
        <v>298.08</v>
      </c>
      <c r="F254" s="71">
        <v>2.7514417232014237E-2</v>
      </c>
      <c r="G254" s="71">
        <v>1.4950105124153196E-2</v>
      </c>
      <c r="H254" s="45">
        <f>E254*(1-F254)*(1-G254)</f>
        <v>285.54478842570245</v>
      </c>
      <c r="I254" s="7" t="s">
        <v>3685</v>
      </c>
      <c r="J254" s="7" t="s">
        <v>3686</v>
      </c>
    </row>
    <row r="255" spans="1:10">
      <c r="A255" s="5" t="s">
        <v>3687</v>
      </c>
      <c r="B255" s="5" t="s">
        <v>2363</v>
      </c>
      <c r="C255" s="5" t="s">
        <v>2047</v>
      </c>
      <c r="D255" s="5" t="s">
        <v>141</v>
      </c>
      <c r="E255" s="45">
        <v>301.73</v>
      </c>
      <c r="F255" s="71">
        <v>2.4647477141115814E-2</v>
      </c>
      <c r="G255" s="71">
        <v>1.9313569990918041E-2</v>
      </c>
      <c r="H255" s="45">
        <f>E255*(1-F255)*(1-G255)</f>
        <v>288.60926601455134</v>
      </c>
      <c r="I255" s="7" t="s">
        <v>3688</v>
      </c>
      <c r="J255" s="7" t="s">
        <v>3689</v>
      </c>
    </row>
    <row r="256" spans="1:10">
      <c r="A256" s="5" t="s">
        <v>3690</v>
      </c>
      <c r="B256" s="5" t="s">
        <v>2364</v>
      </c>
      <c r="C256" s="5" t="s">
        <v>2044</v>
      </c>
      <c r="D256" s="5" t="s">
        <v>142</v>
      </c>
      <c r="E256" s="45">
        <v>280.42</v>
      </c>
      <c r="F256" s="71">
        <v>1.7046556966379283E-2</v>
      </c>
      <c r="G256" s="71">
        <v>4.8776677763089542E-3</v>
      </c>
      <c r="H256" s="45">
        <f>E256*(1-F256)*(1-G256)</f>
        <v>274.29532510323224</v>
      </c>
      <c r="I256" s="7" t="s">
        <v>3691</v>
      </c>
      <c r="J256" s="7" t="s">
        <v>3692</v>
      </c>
    </row>
    <row r="257" spans="1:10">
      <c r="A257" s="5" t="s">
        <v>3693</v>
      </c>
      <c r="B257" s="5" t="s">
        <v>2365</v>
      </c>
      <c r="C257" s="5" t="s">
        <v>2313</v>
      </c>
      <c r="D257" s="5" t="s">
        <v>143</v>
      </c>
      <c r="E257" s="45">
        <v>237.18</v>
      </c>
      <c r="F257" s="71">
        <v>3.5981346177868545E-3</v>
      </c>
      <c r="G257" s="71">
        <v>1.4737807232886552E-2</v>
      </c>
      <c r="H257" s="45">
        <f>E257*(1-F257)*(1-G257)</f>
        <v>232.84365863861944</v>
      </c>
      <c r="I257" s="7" t="s">
        <v>3694</v>
      </c>
      <c r="J257" s="7" t="s">
        <v>3695</v>
      </c>
    </row>
    <row r="258" spans="1:10">
      <c r="A258" s="5" t="s">
        <v>3696</v>
      </c>
      <c r="B258" s="5" t="s">
        <v>2366</v>
      </c>
      <c r="C258" s="5" t="s">
        <v>2311</v>
      </c>
      <c r="D258" s="5" t="s">
        <v>147</v>
      </c>
      <c r="E258" s="45">
        <v>200.9</v>
      </c>
      <c r="F258" s="71">
        <v>2.1546152187511326E-3</v>
      </c>
      <c r="G258" s="71">
        <v>5.3193539427593348E-3</v>
      </c>
      <c r="H258" s="45">
        <f>E258*(1-F258)*(1-G258)</f>
        <v>199.40078214268922</v>
      </c>
      <c r="I258" s="7" t="s">
        <v>3697</v>
      </c>
      <c r="J258" s="7" t="s">
        <v>3698</v>
      </c>
    </row>
    <row r="259" spans="1:10">
      <c r="A259" s="5" t="s">
        <v>3699</v>
      </c>
      <c r="B259" s="5" t="s">
        <v>2367</v>
      </c>
      <c r="C259" s="5" t="s">
        <v>2044</v>
      </c>
      <c r="D259" s="5" t="s">
        <v>145</v>
      </c>
      <c r="E259" s="45">
        <v>297.74</v>
      </c>
      <c r="F259" s="71">
        <v>5.9851075639016926E-3</v>
      </c>
      <c r="G259" s="71">
        <v>1.8833228433504701E-2</v>
      </c>
      <c r="H259" s="45">
        <f>E259*(1-F259)*(1-G259)</f>
        <v>290.3841495648079</v>
      </c>
      <c r="I259" s="7" t="s">
        <v>3700</v>
      </c>
      <c r="J259" s="7" t="s">
        <v>3701</v>
      </c>
    </row>
    <row r="260" spans="1:10">
      <c r="A260" s="5" t="s">
        <v>3702</v>
      </c>
      <c r="B260" s="5" t="s">
        <v>2368</v>
      </c>
      <c r="C260" s="5" t="s">
        <v>2317</v>
      </c>
      <c r="D260" s="5" t="s">
        <v>146</v>
      </c>
      <c r="E260" s="45">
        <v>249.59</v>
      </c>
      <c r="F260" s="71">
        <v>1.4927717205137013E-2</v>
      </c>
      <c r="G260" s="71">
        <v>3.708613249473274E-3</v>
      </c>
      <c r="H260" s="45">
        <f>E260*(1-F260)*(1-G260)</f>
        <v>244.95237586622346</v>
      </c>
      <c r="I260" s="7" t="s">
        <v>3703</v>
      </c>
      <c r="J260" s="7" t="s">
        <v>3704</v>
      </c>
    </row>
    <row r="261" spans="1:10">
      <c r="A261" s="5" t="s">
        <v>3705</v>
      </c>
      <c r="B261" s="5" t="s">
        <v>2369</v>
      </c>
      <c r="C261" s="5" t="s">
        <v>2096</v>
      </c>
      <c r="D261" s="5" t="s">
        <v>127</v>
      </c>
      <c r="E261" s="45">
        <v>160.22</v>
      </c>
      <c r="F261" s="71">
        <v>2.3118041453417389E-2</v>
      </c>
      <c r="G261" s="71">
        <v>1.0021525844931602E-2</v>
      </c>
      <c r="H261" s="45">
        <f>E261*(1-F261)*(1-G261)</f>
        <v>154.94749798461504</v>
      </c>
      <c r="I261" s="7" t="s">
        <v>3706</v>
      </c>
      <c r="J261" s="7" t="s">
        <v>3707</v>
      </c>
    </row>
    <row r="262" spans="1:10">
      <c r="A262" s="5" t="s">
        <v>3708</v>
      </c>
      <c r="B262" s="5" t="s">
        <v>2370</v>
      </c>
      <c r="C262" s="5" t="s">
        <v>2047</v>
      </c>
      <c r="D262" s="5" t="s">
        <v>96</v>
      </c>
      <c r="E262" s="45">
        <v>266.58999999999997</v>
      </c>
      <c r="F262" s="71">
        <v>8.5330764250829815E-3</v>
      </c>
      <c r="G262" s="71">
        <v>1.7412333623506131E-2</v>
      </c>
      <c r="H262" s="45">
        <f>E262*(1-F262)*(1-G262)</f>
        <v>259.71282328356688</v>
      </c>
      <c r="I262" s="7" t="s">
        <v>3709</v>
      </c>
      <c r="J262" s="7" t="s">
        <v>3710</v>
      </c>
    </row>
    <row r="263" spans="1:10">
      <c r="A263" s="5" t="s">
        <v>3711</v>
      </c>
      <c r="B263" s="5" t="s">
        <v>2371</v>
      </c>
      <c r="C263" s="5" t="s">
        <v>2044</v>
      </c>
      <c r="D263" s="5" t="s">
        <v>99</v>
      </c>
      <c r="E263" s="45">
        <v>256.60000000000002</v>
      </c>
      <c r="F263" s="71">
        <v>2.8381364608649165E-2</v>
      </c>
      <c r="G263" s="71">
        <v>1.2004833957180381E-2</v>
      </c>
      <c r="H263" s="45">
        <f>E263*(1-F263)*(1-G263)</f>
        <v>246.32432854996881</v>
      </c>
      <c r="I263" s="7" t="s">
        <v>3712</v>
      </c>
      <c r="J263" s="7" t="s">
        <v>3713</v>
      </c>
    </row>
    <row r="264" spans="1:10">
      <c r="A264" s="5" t="s">
        <v>3714</v>
      </c>
      <c r="B264" s="5" t="s">
        <v>2372</v>
      </c>
      <c r="C264" s="5" t="s">
        <v>2313</v>
      </c>
      <c r="D264" s="5" t="s">
        <v>102</v>
      </c>
      <c r="E264" s="45">
        <v>240.94</v>
      </c>
      <c r="F264" s="71">
        <v>6.2592113669961685E-3</v>
      </c>
      <c r="G264" s="71">
        <v>7.255125655792654E-3</v>
      </c>
      <c r="H264" s="45">
        <f>E264*(1-F264)*(1-G264)</f>
        <v>237.69479705200604</v>
      </c>
      <c r="I264" s="7" t="s">
        <v>3715</v>
      </c>
      <c r="J264" s="7" t="s">
        <v>3716</v>
      </c>
    </row>
    <row r="265" spans="1:10">
      <c r="A265" s="5" t="s">
        <v>3717</v>
      </c>
      <c r="B265" s="5" t="s">
        <v>2373</v>
      </c>
      <c r="C265" s="5" t="s">
        <v>2044</v>
      </c>
      <c r="D265" s="5" t="s">
        <v>105</v>
      </c>
      <c r="E265" s="45">
        <v>256.79000000000002</v>
      </c>
      <c r="F265" s="71">
        <v>1.2772027000319212E-2</v>
      </c>
      <c r="G265" s="71">
        <v>1.0216497015208006E-2</v>
      </c>
      <c r="H265" s="45">
        <f>E265*(1-F265)*(1-G265)</f>
        <v>250.92028425768572</v>
      </c>
      <c r="I265" s="7" t="s">
        <v>3718</v>
      </c>
      <c r="J265" s="7" t="s">
        <v>3719</v>
      </c>
    </row>
    <row r="266" spans="1:10">
      <c r="A266" s="5" t="s">
        <v>3720</v>
      </c>
      <c r="B266" s="5" t="s">
        <v>2374</v>
      </c>
      <c r="C266" s="5" t="s">
        <v>2044</v>
      </c>
      <c r="D266" s="5" t="s">
        <v>107</v>
      </c>
      <c r="E266" s="45">
        <v>259.74</v>
      </c>
      <c r="F266" s="71">
        <v>2.6535572125576435E-2</v>
      </c>
      <c r="G266" s="71">
        <v>6.849576202221215E-3</v>
      </c>
      <c r="H266" s="45">
        <f>E266*(1-F266)*(1-G266)</f>
        <v>251.11575124647712</v>
      </c>
      <c r="I266" s="7" t="s">
        <v>3721</v>
      </c>
      <c r="J266" s="7" t="s">
        <v>3722</v>
      </c>
    </row>
    <row r="267" spans="1:10">
      <c r="A267" s="5" t="s">
        <v>3723</v>
      </c>
      <c r="B267" s="5" t="s">
        <v>2375</v>
      </c>
      <c r="C267" s="5" t="s">
        <v>2317</v>
      </c>
      <c r="D267" s="5" t="s">
        <v>109</v>
      </c>
      <c r="E267" s="45">
        <v>306.24</v>
      </c>
      <c r="F267" s="71">
        <v>2.9640577670652417E-2</v>
      </c>
      <c r="G267" s="71">
        <v>1.9752854602411388E-2</v>
      </c>
      <c r="H267" s="45">
        <f>E267*(1-F267)*(1-G267)</f>
        <v>291.29305453978628</v>
      </c>
      <c r="I267" s="7" t="s">
        <v>3724</v>
      </c>
      <c r="J267" s="7" t="s">
        <v>3725</v>
      </c>
    </row>
    <row r="268" spans="1:10">
      <c r="A268" s="5" t="s">
        <v>3726</v>
      </c>
      <c r="B268" s="5" t="s">
        <v>2376</v>
      </c>
      <c r="C268" s="5" t="s">
        <v>2307</v>
      </c>
      <c r="D268" s="5" t="s">
        <v>120</v>
      </c>
      <c r="E268" s="45">
        <v>276.67</v>
      </c>
      <c r="F268" s="71">
        <v>2.1669055446982381E-2</v>
      </c>
      <c r="G268" s="71">
        <v>1.4399951691739261E-2</v>
      </c>
      <c r="H268" s="45">
        <f>E268*(1-F268)*(1-G268)</f>
        <v>266.77711806232878</v>
      </c>
      <c r="I268" s="7" t="s">
        <v>3727</v>
      </c>
      <c r="J268" s="7" t="s">
        <v>3728</v>
      </c>
    </row>
    <row r="269" spans="1:10">
      <c r="A269" s="5" t="s">
        <v>3729</v>
      </c>
      <c r="B269" s="5" t="s">
        <v>2377</v>
      </c>
      <c r="C269" s="5" t="s">
        <v>2047</v>
      </c>
      <c r="D269" s="5" t="s">
        <v>121</v>
      </c>
      <c r="E269" s="45">
        <v>290.31</v>
      </c>
      <c r="F269" s="71">
        <v>2.698641085764393E-2</v>
      </c>
      <c r="G269" s="71">
        <v>1.5076572634279728E-2</v>
      </c>
      <c r="H269" s="45">
        <f>E269*(1-F269)*(1-G269)</f>
        <v>278.21681153905632</v>
      </c>
      <c r="I269" s="7" t="s">
        <v>3730</v>
      </c>
      <c r="J269" s="7" t="s">
        <v>3731</v>
      </c>
    </row>
    <row r="270" spans="1:10">
      <c r="A270" s="5" t="s">
        <v>3732</v>
      </c>
      <c r="B270" s="5" t="s">
        <v>2378</v>
      </c>
      <c r="C270" s="5" t="s">
        <v>2094</v>
      </c>
      <c r="D270" s="5" t="s">
        <v>129</v>
      </c>
      <c r="E270" s="45">
        <v>148.44</v>
      </c>
      <c r="F270" s="71">
        <v>6.5437460923567408E-3</v>
      </c>
      <c r="G270" s="71">
        <v>1.0697612860240043E-2</v>
      </c>
      <c r="H270" s="45">
        <f>E270*(1-F270)*(1-G270)</f>
        <v>145.89108384258805</v>
      </c>
      <c r="I270" s="7" t="s">
        <v>3733</v>
      </c>
      <c r="J270" s="7" t="s">
        <v>3734</v>
      </c>
    </row>
    <row r="271" spans="1:10">
      <c r="A271" s="5" t="s">
        <v>3735</v>
      </c>
      <c r="B271" s="5" t="s">
        <v>2379</v>
      </c>
      <c r="C271" s="5" t="s">
        <v>2313</v>
      </c>
      <c r="D271" s="5" t="s">
        <v>123</v>
      </c>
      <c r="E271" s="45">
        <v>291.56</v>
      </c>
      <c r="F271" s="71">
        <v>2.2498077736236156E-3</v>
      </c>
      <c r="G271" s="71">
        <v>1.8910953355953098E-2</v>
      </c>
      <c r="H271" s="45">
        <f>E271*(1-F271)*(1-G271)</f>
        <v>285.40277319969744</v>
      </c>
      <c r="I271" s="7" t="s">
        <v>3736</v>
      </c>
      <c r="J271" s="7" t="s">
        <v>3737</v>
      </c>
    </row>
    <row r="272" spans="1:10">
      <c r="A272" s="5" t="s">
        <v>3738</v>
      </c>
      <c r="B272" s="5" t="s">
        <v>2380</v>
      </c>
      <c r="C272" s="5" t="s">
        <v>2044</v>
      </c>
      <c r="D272" s="5" t="s">
        <v>124</v>
      </c>
      <c r="E272" s="45">
        <v>274.42</v>
      </c>
      <c r="F272" s="71">
        <v>2.6801706785336134E-2</v>
      </c>
      <c r="G272" s="71">
        <v>1.2045933878980578E-2</v>
      </c>
      <c r="H272" s="45">
        <f>E272*(1-F272)*(1-G272)</f>
        <v>263.84802738161682</v>
      </c>
      <c r="I272" s="7" t="s">
        <v>3739</v>
      </c>
      <c r="J272" s="7" t="s">
        <v>3740</v>
      </c>
    </row>
    <row r="273" spans="1:10">
      <c r="A273" s="5" t="s">
        <v>3741</v>
      </c>
      <c r="B273" s="5" t="s">
        <v>2381</v>
      </c>
      <c r="C273" s="5" t="s">
        <v>2044</v>
      </c>
      <c r="D273" s="5" t="s">
        <v>125</v>
      </c>
      <c r="E273" s="45">
        <v>257.22000000000003</v>
      </c>
      <c r="F273" s="71">
        <v>2.2463322866242377E-2</v>
      </c>
      <c r="G273" s="71">
        <v>1.9717314187437298E-2</v>
      </c>
      <c r="H273" s="45">
        <f>E273*(1-F273)*(1-G273)</f>
        <v>246.48422349208377</v>
      </c>
      <c r="I273" s="7" t="s">
        <v>3742</v>
      </c>
      <c r="J273" s="7" t="s">
        <v>3743</v>
      </c>
    </row>
    <row r="274" spans="1:10">
      <c r="A274" s="5" t="s">
        <v>3744</v>
      </c>
      <c r="B274" s="5" t="s">
        <v>2382</v>
      </c>
      <c r="C274" s="5" t="s">
        <v>2317</v>
      </c>
      <c r="D274" s="5" t="s">
        <v>126</v>
      </c>
      <c r="E274" s="45">
        <v>233.67</v>
      </c>
      <c r="F274" s="71">
        <v>1.3434748384170234E-2</v>
      </c>
      <c r="G274" s="71">
        <v>1.0908000962808729E-3</v>
      </c>
      <c r="H274" s="45">
        <f>E274*(1-F274)*(1-G274)</f>
        <v>230.27923943275724</v>
      </c>
      <c r="I274" s="7" t="s">
        <v>3745</v>
      </c>
      <c r="J274" s="7" t="s">
        <v>3746</v>
      </c>
    </row>
    <row r="275" spans="1:10">
      <c r="A275" s="5" t="s">
        <v>3747</v>
      </c>
      <c r="B275" s="5" t="s">
        <v>2383</v>
      </c>
      <c r="C275" s="5" t="s">
        <v>2044</v>
      </c>
      <c r="D275" s="5" t="s">
        <v>130</v>
      </c>
      <c r="E275" s="45">
        <v>295.98</v>
      </c>
      <c r="F275" s="71">
        <v>1.8748110265005381E-2</v>
      </c>
      <c r="G275" s="71">
        <v>1.0213931510224939E-2</v>
      </c>
      <c r="H275" s="45">
        <f>E275*(1-F275)*(1-G275)</f>
        <v>287.46449265213016</v>
      </c>
      <c r="I275" s="7" t="s">
        <v>3748</v>
      </c>
      <c r="J275" s="7" t="s">
        <v>3749</v>
      </c>
    </row>
    <row r="276" spans="1:10">
      <c r="A276" s="5" t="s">
        <v>3750</v>
      </c>
      <c r="B276" s="5" t="s">
        <v>2384</v>
      </c>
      <c r="C276" s="5" t="s">
        <v>2047</v>
      </c>
      <c r="D276" s="5" t="s">
        <v>131</v>
      </c>
      <c r="E276" s="45">
        <v>301.02999999999997</v>
      </c>
      <c r="F276" s="71">
        <v>1.6644846294075252E-2</v>
      </c>
      <c r="G276" s="71">
        <v>1.3239789861254394E-2</v>
      </c>
      <c r="H276" s="45">
        <f>E276*(1-F276)*(1-G276)</f>
        <v>292.10016724381825</v>
      </c>
      <c r="I276" s="7" t="s">
        <v>3751</v>
      </c>
      <c r="J276" s="7" t="s">
        <v>3752</v>
      </c>
    </row>
    <row r="277" spans="1:10">
      <c r="A277" s="5" t="s">
        <v>3753</v>
      </c>
      <c r="B277" s="5" t="s">
        <v>2385</v>
      </c>
      <c r="C277" s="5" t="s">
        <v>2044</v>
      </c>
      <c r="D277" s="5" t="s">
        <v>132</v>
      </c>
      <c r="E277" s="45">
        <v>301.52999999999997</v>
      </c>
      <c r="F277" s="71">
        <v>3.4195799147710202E-4</v>
      </c>
      <c r="G277" s="71">
        <v>9.8052017390728007E-3</v>
      </c>
      <c r="H277" s="45">
        <f>E277*(1-F277)*(1-G277)</f>
        <v>298.47133794661471</v>
      </c>
      <c r="I277" s="7" t="s">
        <v>3754</v>
      </c>
      <c r="J277" s="7" t="s">
        <v>3755</v>
      </c>
    </row>
    <row r="278" spans="1:10">
      <c r="A278" s="5" t="s">
        <v>3756</v>
      </c>
      <c r="B278" s="5" t="s">
        <v>2386</v>
      </c>
      <c r="C278" s="5" t="s">
        <v>2313</v>
      </c>
      <c r="D278" s="5" t="s">
        <v>133</v>
      </c>
      <c r="E278" s="45">
        <v>237.77</v>
      </c>
      <c r="F278" s="71">
        <v>1.5649228510446846E-2</v>
      </c>
      <c r="G278" s="71">
        <v>1.2778927148319781E-2</v>
      </c>
      <c r="H278" s="45">
        <f>E278*(1-F278)*(1-G278)</f>
        <v>231.05818675708719</v>
      </c>
      <c r="I278" s="7" t="s">
        <v>3757</v>
      </c>
      <c r="J278" s="7" t="s">
        <v>3758</v>
      </c>
    </row>
    <row r="279" spans="1:10">
      <c r="A279" s="5" t="s">
        <v>3759</v>
      </c>
      <c r="B279" s="5" t="s">
        <v>2387</v>
      </c>
      <c r="C279" s="5" t="s">
        <v>2044</v>
      </c>
      <c r="D279" s="5" t="s">
        <v>134</v>
      </c>
      <c r="E279" s="45">
        <v>238.66</v>
      </c>
      <c r="F279" s="71">
        <v>2.6500094386283306E-2</v>
      </c>
      <c r="G279" s="71">
        <v>1.779357827268541E-2</v>
      </c>
      <c r="H279" s="45">
        <f>E279*(1-F279)*(1-G279)</f>
        <v>228.20140779188259</v>
      </c>
      <c r="I279" s="7" t="s">
        <v>3760</v>
      </c>
      <c r="J279" s="7" t="s">
        <v>3761</v>
      </c>
    </row>
    <row r="280" spans="1:10">
      <c r="A280" s="5" t="s">
        <v>3762</v>
      </c>
      <c r="B280" s="5" t="s">
        <v>2388</v>
      </c>
      <c r="C280" s="5" t="s">
        <v>2044</v>
      </c>
      <c r="D280" s="5" t="s">
        <v>135</v>
      </c>
      <c r="E280" s="45">
        <v>275.57</v>
      </c>
      <c r="F280" s="71">
        <v>1.7190145058557392E-2</v>
      </c>
      <c r="G280" s="71">
        <v>2.1904229512438177E-3</v>
      </c>
      <c r="H280" s="45">
        <f>E280*(1-F280)*(1-G280)</f>
        <v>270.23967310041598</v>
      </c>
      <c r="I280" s="7" t="s">
        <v>3763</v>
      </c>
      <c r="J280" s="7" t="s">
        <v>3764</v>
      </c>
    </row>
    <row r="281" spans="1:10">
      <c r="A281" s="5" t="s">
        <v>3765</v>
      </c>
      <c r="B281" s="5" t="s">
        <v>2389</v>
      </c>
      <c r="C281" s="5" t="s">
        <v>2317</v>
      </c>
      <c r="D281" s="5" t="s">
        <v>136</v>
      </c>
      <c r="E281" s="45">
        <v>295.95</v>
      </c>
      <c r="F281" s="71">
        <v>6.5922530810348691E-3</v>
      </c>
      <c r="G281" s="71">
        <v>1.8094499167054891E-2</v>
      </c>
      <c r="H281" s="45">
        <f>E281*(1-F281)*(1-G281)</f>
        <v>288.67925762929559</v>
      </c>
      <c r="I281" s="7" t="s">
        <v>3766</v>
      </c>
      <c r="J281" s="7" t="s">
        <v>3767</v>
      </c>
    </row>
    <row r="282" spans="1:10">
      <c r="A282" s="5" t="s">
        <v>3768</v>
      </c>
      <c r="B282" s="5" t="s">
        <v>2390</v>
      </c>
      <c r="C282" s="5" t="s">
        <v>2307</v>
      </c>
      <c r="D282" s="5" t="s">
        <v>140</v>
      </c>
      <c r="E282" s="45">
        <v>221.11</v>
      </c>
      <c r="F282" s="71">
        <v>3.2339379703626037E-3</v>
      </c>
      <c r="G282" s="71">
        <v>1.1788104665465654E-2</v>
      </c>
      <c r="H282" s="45">
        <f>E282*(1-F282)*(1-G282)</f>
        <v>217.796905308052</v>
      </c>
      <c r="I282" s="7" t="s">
        <v>3769</v>
      </c>
      <c r="J282" s="7" t="s">
        <v>3770</v>
      </c>
    </row>
    <row r="283" spans="1:10">
      <c r="A283" s="5" t="s">
        <v>3771</v>
      </c>
      <c r="B283" s="5" t="s">
        <v>2391</v>
      </c>
      <c r="C283" s="5" t="s">
        <v>2047</v>
      </c>
      <c r="D283" s="5" t="s">
        <v>141</v>
      </c>
      <c r="E283" s="45">
        <v>289.27</v>
      </c>
      <c r="F283" s="71">
        <v>2.6405029718298462E-2</v>
      </c>
      <c r="G283" s="71">
        <v>6.1159266252070665E-3</v>
      </c>
      <c r="H283" s="45">
        <f>E283*(1-F283)*(1-G283)</f>
        <v>279.90937752496546</v>
      </c>
      <c r="I283" s="7" t="s">
        <v>3509</v>
      </c>
      <c r="J283" s="7" t="s">
        <v>3772</v>
      </c>
    </row>
    <row r="284" spans="1:10">
      <c r="A284" s="5" t="s">
        <v>3773</v>
      </c>
      <c r="B284" s="5" t="s">
        <v>2392</v>
      </c>
      <c r="C284" s="5" t="s">
        <v>2096</v>
      </c>
      <c r="D284" s="5" t="s">
        <v>172</v>
      </c>
      <c r="E284" s="45">
        <v>203.9</v>
      </c>
      <c r="F284" s="71">
        <v>2.2084265314042568E-2</v>
      </c>
      <c r="G284" s="71">
        <v>5.8692639274522665E-3</v>
      </c>
      <c r="H284" s="45">
        <f>E284*(1-F284)*(1-G284)</f>
        <v>198.22670457570251</v>
      </c>
      <c r="I284" s="7" t="s">
        <v>3774</v>
      </c>
      <c r="J284" s="7" t="s">
        <v>3775</v>
      </c>
    </row>
    <row r="285" spans="1:10">
      <c r="A285" s="5" t="s">
        <v>3776</v>
      </c>
      <c r="B285" s="5" t="s">
        <v>2393</v>
      </c>
      <c r="C285" s="5" t="s">
        <v>2313</v>
      </c>
      <c r="D285" s="5" t="s">
        <v>143</v>
      </c>
      <c r="E285" s="45">
        <v>223.56</v>
      </c>
      <c r="F285" s="71">
        <v>2.3922235497739166E-2</v>
      </c>
      <c r="G285" s="71">
        <v>1.0749275647103786E-2</v>
      </c>
      <c r="H285" s="45">
        <f>E285*(1-F285)*(1-G285)</f>
        <v>215.86632468548444</v>
      </c>
      <c r="I285" s="7" t="s">
        <v>3777</v>
      </c>
      <c r="J285" s="7" t="s">
        <v>3778</v>
      </c>
    </row>
    <row r="286" spans="1:10">
      <c r="A286" s="5" t="s">
        <v>3779</v>
      </c>
      <c r="B286" s="5" t="s">
        <v>2394</v>
      </c>
      <c r="C286" s="5" t="s">
        <v>2044</v>
      </c>
      <c r="D286" s="5" t="s">
        <v>144</v>
      </c>
      <c r="E286" s="45">
        <v>314.58999999999997</v>
      </c>
      <c r="F286" s="71">
        <v>1.6265192166902125E-2</v>
      </c>
      <c r="G286" s="71">
        <v>1.738243462983519E-2</v>
      </c>
      <c r="H286" s="45">
        <f>E286*(1-F286)*(1-G286)</f>
        <v>304.09373668874076</v>
      </c>
      <c r="I286" s="7" t="s">
        <v>3780</v>
      </c>
      <c r="J286" s="7" t="s">
        <v>3781</v>
      </c>
    </row>
    <row r="287" spans="1:10">
      <c r="A287" s="5" t="s">
        <v>3782</v>
      </c>
      <c r="B287" s="5" t="s">
        <v>2395</v>
      </c>
      <c r="C287" s="5" t="s">
        <v>2044</v>
      </c>
      <c r="D287" s="5" t="s">
        <v>145</v>
      </c>
      <c r="E287" s="45">
        <v>267.67</v>
      </c>
      <c r="F287" s="71">
        <v>2.7572749501559881E-2</v>
      </c>
      <c r="G287" s="71">
        <v>5.2974154334515331E-3</v>
      </c>
      <c r="H287" s="45">
        <f>E287*(1-F287)*(1-G287)</f>
        <v>258.91073998536928</v>
      </c>
      <c r="I287" s="7" t="s">
        <v>3783</v>
      </c>
      <c r="J287" s="7" t="s">
        <v>3784</v>
      </c>
    </row>
    <row r="288" spans="1:10">
      <c r="A288" s="5" t="s">
        <v>3785</v>
      </c>
      <c r="B288" s="5" t="s">
        <v>2396</v>
      </c>
      <c r="C288" s="5" t="s">
        <v>2317</v>
      </c>
      <c r="D288" s="5" t="s">
        <v>146</v>
      </c>
      <c r="E288" s="45">
        <v>282.23</v>
      </c>
      <c r="F288" s="71">
        <v>1.9426345797255634E-2</v>
      </c>
      <c r="G288" s="71">
        <v>1.688014408107847E-2</v>
      </c>
      <c r="H288" s="45">
        <f>E288*(1-F288)*(1-G288)</f>
        <v>272.07576808664595</v>
      </c>
      <c r="I288" s="7" t="s">
        <v>3786</v>
      </c>
      <c r="J288" s="7" t="s">
        <v>3787</v>
      </c>
    </row>
    <row r="289" spans="1:10">
      <c r="A289" s="5" t="s">
        <v>3788</v>
      </c>
      <c r="B289" s="5" t="s">
        <v>2397</v>
      </c>
      <c r="C289" s="5" t="s">
        <v>2307</v>
      </c>
      <c r="D289" s="5" t="s">
        <v>93</v>
      </c>
      <c r="E289" s="45">
        <v>299.79000000000002</v>
      </c>
      <c r="F289" s="71">
        <v>5.9802936273626985E-3</v>
      </c>
      <c r="G289" s="71">
        <v>1.6888083387166263E-2</v>
      </c>
      <c r="H289" s="45">
        <f>E289*(1-F289)*(1-G289)</f>
        <v>292.96456675495546</v>
      </c>
      <c r="I289" s="7" t="s">
        <v>3789</v>
      </c>
      <c r="J289" s="7" t="s">
        <v>3790</v>
      </c>
    </row>
    <row r="290" spans="1:10">
      <c r="A290" s="5" t="s">
        <v>3791</v>
      </c>
      <c r="B290" s="5" t="s">
        <v>2398</v>
      </c>
      <c r="C290" s="5" t="s">
        <v>2047</v>
      </c>
      <c r="D290" s="5" t="s">
        <v>96</v>
      </c>
      <c r="E290" s="45">
        <v>264.33999999999997</v>
      </c>
      <c r="F290" s="71">
        <v>2.5594416959211228E-3</v>
      </c>
      <c r="G290" s="71">
        <v>1.4513961528427899E-2</v>
      </c>
      <c r="H290" s="45">
        <f>E290*(1-F290)*(1-G290)</f>
        <v>259.83663619838609</v>
      </c>
      <c r="I290" s="7" t="s">
        <v>3792</v>
      </c>
      <c r="J290" s="7" t="s">
        <v>3793</v>
      </c>
    </row>
    <row r="291" spans="1:10">
      <c r="A291" s="5" t="s">
        <v>3794</v>
      </c>
      <c r="B291" s="5" t="s">
        <v>2399</v>
      </c>
      <c r="C291" s="5" t="s">
        <v>2096</v>
      </c>
      <c r="D291" s="5" t="s">
        <v>127</v>
      </c>
      <c r="E291" s="45">
        <v>160.47</v>
      </c>
      <c r="F291" s="71">
        <v>1.7497600831557065E-2</v>
      </c>
      <c r="G291" s="71">
        <v>7.3745780624449257E-4</v>
      </c>
      <c r="H291" s="45">
        <f>E291*(1-F291)*(1-G291)</f>
        <v>157.54589080392267</v>
      </c>
      <c r="I291" s="7" t="s">
        <v>3795</v>
      </c>
      <c r="J291" s="7" t="s">
        <v>3796</v>
      </c>
    </row>
    <row r="292" spans="1:10">
      <c r="A292" s="5" t="s">
        <v>3797</v>
      </c>
      <c r="B292" s="5" t="s">
        <v>2400</v>
      </c>
      <c r="C292" s="5" t="s">
        <v>2313</v>
      </c>
      <c r="D292" s="5" t="s">
        <v>102</v>
      </c>
      <c r="E292" s="45">
        <v>225.6</v>
      </c>
      <c r="F292" s="71">
        <v>1.3682214729487895E-3</v>
      </c>
      <c r="G292" s="71">
        <v>1.7286199512891471E-2</v>
      </c>
      <c r="H292" s="45">
        <f>E292*(1-F292)*(1-G292)</f>
        <v>221.39689837000986</v>
      </c>
      <c r="I292" s="7" t="s">
        <v>3798</v>
      </c>
      <c r="J292" s="7" t="s">
        <v>3799</v>
      </c>
    </row>
    <row r="293" spans="1:10">
      <c r="A293" s="5" t="s">
        <v>3800</v>
      </c>
      <c r="B293" s="5" t="s">
        <v>2401</v>
      </c>
      <c r="C293" s="5" t="s">
        <v>2044</v>
      </c>
      <c r="D293" s="5" t="s">
        <v>105</v>
      </c>
      <c r="E293" s="45">
        <v>239.4</v>
      </c>
      <c r="F293" s="71">
        <v>1.2133619261439889E-2</v>
      </c>
      <c r="G293" s="71">
        <v>1.9788791611790656E-2</v>
      </c>
      <c r="H293" s="45">
        <f>E293*(1-F293)*(1-G293)</f>
        <v>231.81525709028554</v>
      </c>
      <c r="I293" s="7" t="s">
        <v>3801</v>
      </c>
      <c r="J293" s="7" t="s">
        <v>3802</v>
      </c>
    </row>
    <row r="294" spans="1:10">
      <c r="A294" s="5" t="s">
        <v>3803</v>
      </c>
      <c r="B294" s="5" t="s">
        <v>2402</v>
      </c>
      <c r="C294" s="5" t="s">
        <v>2096</v>
      </c>
      <c r="D294" s="5" t="s">
        <v>172</v>
      </c>
      <c r="E294" s="45">
        <v>201.64</v>
      </c>
      <c r="F294" s="71">
        <v>1.0772030102089048E-3</v>
      </c>
      <c r="G294" s="71">
        <v>1.894840477500111E-2</v>
      </c>
      <c r="H294" s="45">
        <f>E294*(1-F294)*(1-G294)</f>
        <v>197.6061521764197</v>
      </c>
      <c r="I294" s="7" t="s">
        <v>3804</v>
      </c>
      <c r="J294" s="7" t="s">
        <v>3805</v>
      </c>
    </row>
    <row r="295" spans="1:10">
      <c r="A295" s="5" t="s">
        <v>3806</v>
      </c>
      <c r="B295" s="5" t="s">
        <v>2403</v>
      </c>
      <c r="C295" s="5" t="s">
        <v>2317</v>
      </c>
      <c r="D295" s="5" t="s">
        <v>109</v>
      </c>
      <c r="E295" s="45">
        <v>292.94</v>
      </c>
      <c r="F295" s="71">
        <v>1.4761691729072482E-2</v>
      </c>
      <c r="G295" s="71">
        <v>8.0049157049506912E-3</v>
      </c>
      <c r="H295" s="45">
        <f>E295*(1-F295)*(1-G295)</f>
        <v>286.30536559501184</v>
      </c>
      <c r="I295" s="7" t="s">
        <v>3807</v>
      </c>
      <c r="J295" s="7" t="s">
        <v>3808</v>
      </c>
    </row>
    <row r="296" spans="1:10">
      <c r="A296" s="5" t="s">
        <v>3809</v>
      </c>
      <c r="B296" s="5" t="s">
        <v>2404</v>
      </c>
      <c r="C296" s="5" t="s">
        <v>2307</v>
      </c>
      <c r="D296" s="5" t="s">
        <v>120</v>
      </c>
      <c r="E296" s="45">
        <v>315.77999999999997</v>
      </c>
      <c r="F296" s="71">
        <v>6.6736276354640717E-3</v>
      </c>
      <c r="G296" s="71">
        <v>1.8081306680105626E-2</v>
      </c>
      <c r="H296" s="45">
        <f>E296*(1-F296)*(1-G296)</f>
        <v>308.00099135380043</v>
      </c>
      <c r="I296" s="7" t="s">
        <v>3810</v>
      </c>
      <c r="J296" s="7" t="s">
        <v>3811</v>
      </c>
    </row>
    <row r="297" spans="1:10">
      <c r="A297" s="5" t="s">
        <v>3812</v>
      </c>
      <c r="B297" s="5" t="s">
        <v>2405</v>
      </c>
      <c r="C297" s="5" t="s">
        <v>2311</v>
      </c>
      <c r="D297" s="5" t="s">
        <v>137</v>
      </c>
      <c r="E297" s="45">
        <v>214.78</v>
      </c>
      <c r="F297" s="71">
        <v>1.8604071855079382E-2</v>
      </c>
      <c r="G297" s="71">
        <v>1.3191076796501874E-2</v>
      </c>
      <c r="H297" s="45">
        <f>E297*(1-F297)*(1-G297)</f>
        <v>208.00374664713254</v>
      </c>
      <c r="I297" s="7" t="s">
        <v>3813</v>
      </c>
      <c r="J297" s="7" t="s">
        <v>3814</v>
      </c>
    </row>
    <row r="298" spans="1:10">
      <c r="A298" s="5" t="s">
        <v>3815</v>
      </c>
      <c r="B298" s="5" t="s">
        <v>2406</v>
      </c>
      <c r="C298" s="5" t="s">
        <v>2044</v>
      </c>
      <c r="D298" s="5" t="s">
        <v>122</v>
      </c>
      <c r="E298" s="45">
        <v>250.3</v>
      </c>
      <c r="F298" s="71">
        <v>1.492659845855087E-2</v>
      </c>
      <c r="G298" s="71">
        <v>2.2541723819449544E-3</v>
      </c>
      <c r="H298" s="45">
        <f>E298*(1-F298)*(1-G298)</f>
        <v>246.00807493426214</v>
      </c>
      <c r="I298" s="7" t="s">
        <v>3816</v>
      </c>
      <c r="J298" s="7" t="s">
        <v>3817</v>
      </c>
    </row>
    <row r="299" spans="1:10">
      <c r="A299" s="5" t="s">
        <v>3818</v>
      </c>
      <c r="B299" s="5" t="s">
        <v>2407</v>
      </c>
      <c r="C299" s="5" t="s">
        <v>2313</v>
      </c>
      <c r="D299" s="5" t="s">
        <v>123</v>
      </c>
      <c r="E299" s="45">
        <v>234.44</v>
      </c>
      <c r="F299" s="71">
        <v>8.7986850854940707E-3</v>
      </c>
      <c r="G299" s="71">
        <v>1.8915980802848936E-2</v>
      </c>
      <c r="H299" s="45">
        <f>E299*(1-F299)*(1-G299)</f>
        <v>227.98159292828166</v>
      </c>
      <c r="I299" s="7" t="s">
        <v>3819</v>
      </c>
      <c r="J299" s="7" t="s">
        <v>3820</v>
      </c>
    </row>
    <row r="300" spans="1:10">
      <c r="A300" s="5" t="s">
        <v>3821</v>
      </c>
      <c r="B300" s="5" t="s">
        <v>2408</v>
      </c>
      <c r="C300" s="5" t="s">
        <v>2044</v>
      </c>
      <c r="D300" s="5" t="s">
        <v>124</v>
      </c>
      <c r="E300" s="45">
        <v>270.89</v>
      </c>
      <c r="F300" s="71">
        <v>1.3892638385295867E-2</v>
      </c>
      <c r="G300" s="71">
        <v>1.3993549193255603E-2</v>
      </c>
      <c r="H300" s="45">
        <f>E300*(1-F300)*(1-G300)</f>
        <v>263.38857364540036</v>
      </c>
      <c r="I300" s="7" t="s">
        <v>3822</v>
      </c>
      <c r="J300" s="7" t="s">
        <v>3823</v>
      </c>
    </row>
    <row r="301" spans="1:10">
      <c r="A301" s="5" t="s">
        <v>3824</v>
      </c>
      <c r="B301" s="5" t="s">
        <v>2409</v>
      </c>
      <c r="C301" s="5" t="s">
        <v>2044</v>
      </c>
      <c r="D301" s="5" t="s">
        <v>125</v>
      </c>
      <c r="E301" s="45">
        <v>244.39</v>
      </c>
      <c r="F301" s="71">
        <v>9.2427146597765381E-3</v>
      </c>
      <c r="G301" s="71">
        <v>1.1134069152176381E-2</v>
      </c>
      <c r="H301" s="45">
        <f>E301*(1-F301)*(1-G301)</f>
        <v>239.43526774061513</v>
      </c>
      <c r="I301" s="7" t="s">
        <v>3825</v>
      </c>
      <c r="J301" s="7" t="s">
        <v>3826</v>
      </c>
    </row>
    <row r="302" spans="1:10">
      <c r="A302" s="5" t="s">
        <v>3827</v>
      </c>
      <c r="B302" s="5" t="s">
        <v>2410</v>
      </c>
      <c r="C302" s="5" t="s">
        <v>2094</v>
      </c>
      <c r="D302" s="5" t="s">
        <v>129</v>
      </c>
      <c r="E302" s="45">
        <v>114.11</v>
      </c>
      <c r="F302" s="71">
        <v>2.5372755699791014E-2</v>
      </c>
      <c r="G302" s="71">
        <v>8.8421558821573862E-3</v>
      </c>
      <c r="H302" s="45">
        <f>E302*(1-F302)*(1-G302)</f>
        <v>110.23133700202912</v>
      </c>
      <c r="I302" s="7" t="s">
        <v>3828</v>
      </c>
      <c r="J302" s="7" t="s">
        <v>3829</v>
      </c>
    </row>
    <row r="303" spans="1:10">
      <c r="A303" s="5" t="s">
        <v>3830</v>
      </c>
      <c r="B303" s="5" t="s">
        <v>2411</v>
      </c>
      <c r="C303" s="5" t="s">
        <v>2044</v>
      </c>
      <c r="D303" s="5" t="s">
        <v>130</v>
      </c>
      <c r="E303" s="45">
        <v>311.43</v>
      </c>
      <c r="F303" s="71">
        <v>1.8749389483127741E-2</v>
      </c>
      <c r="G303" s="71">
        <v>9.7409615945070992E-3</v>
      </c>
      <c r="H303" s="45">
        <f>E303*(1-F303)*(1-G303)</f>
        <v>302.61412863061213</v>
      </c>
      <c r="I303" s="7" t="s">
        <v>3831</v>
      </c>
      <c r="J303" s="7" t="s">
        <v>3832</v>
      </c>
    </row>
    <row r="304" spans="1:10">
      <c r="A304" s="5" t="s">
        <v>3833</v>
      </c>
      <c r="B304" s="5" t="s">
        <v>2412</v>
      </c>
      <c r="C304" s="5" t="s">
        <v>2047</v>
      </c>
      <c r="D304" s="5" t="s">
        <v>131</v>
      </c>
      <c r="E304" s="45">
        <v>277.85000000000002</v>
      </c>
      <c r="F304" s="71">
        <v>2.0307589480653403E-2</v>
      </c>
      <c r="G304" s="71">
        <v>1.8308215863071381E-2</v>
      </c>
      <c r="H304" s="45">
        <f>E304*(1-F304)*(1-G304)</f>
        <v>267.22390192934631</v>
      </c>
      <c r="I304" s="7" t="s">
        <v>3834</v>
      </c>
      <c r="J304" s="7" t="s">
        <v>3835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D3FF-0E63-544B-A2D3-D845C3EF07C9}">
  <sheetPr>
    <tabColor rgb="FF92D050"/>
  </sheetPr>
  <dimension ref="A1:F504"/>
  <sheetViews>
    <sheetView workbookViewId="0">
      <pane ySplit="4" topLeftCell="C5" activePane="bottomLeft" state="frozen"/>
      <selection pane="bottomLeft" activeCell="E2" sqref="E2"/>
    </sheetView>
  </sheetViews>
  <sheetFormatPr defaultColWidth="11.5546875" defaultRowHeight="15.95"/>
  <cols>
    <col min="1" max="1" width="26.33203125" bestFit="1" customWidth="1"/>
    <col min="2" max="2" width="22.6640625" bestFit="1" customWidth="1"/>
    <col min="3" max="3" width="20.6640625" bestFit="1" customWidth="1"/>
    <col min="4" max="4" width="52.6640625" bestFit="1" customWidth="1"/>
    <col min="5" max="5" width="8.77734375" bestFit="1" customWidth="1"/>
    <col min="6" max="6" width="27" bestFit="1" customWidth="1"/>
  </cols>
  <sheetData>
    <row r="1" spans="1:6">
      <c r="A1" s="33" t="s">
        <v>1267</v>
      </c>
      <c r="B1" s="33"/>
    </row>
    <row r="2" spans="1:6">
      <c r="A2" s="33" t="s">
        <v>1268</v>
      </c>
      <c r="B2" s="33"/>
    </row>
    <row r="3" spans="1:6">
      <c r="A3" s="72" t="s">
        <v>1269</v>
      </c>
      <c r="B3" s="72">
        <v>500</v>
      </c>
    </row>
    <row r="4" spans="1:6">
      <c r="A4" s="20" t="s">
        <v>71</v>
      </c>
      <c r="B4" s="26" t="s">
        <v>3836</v>
      </c>
      <c r="C4" s="26" t="s">
        <v>3837</v>
      </c>
      <c r="D4" s="26" t="s">
        <v>1509</v>
      </c>
      <c r="E4" s="48" t="s">
        <v>1974</v>
      </c>
      <c r="F4" s="48" t="s">
        <v>3838</v>
      </c>
    </row>
    <row r="5" spans="1:6">
      <c r="A5" s="11" t="s">
        <v>3839</v>
      </c>
      <c r="B5" s="11" t="s">
        <v>2942</v>
      </c>
      <c r="C5" s="11"/>
      <c r="D5" s="11" t="s">
        <v>93</v>
      </c>
      <c r="E5" s="45">
        <v>48.3</v>
      </c>
      <c r="F5" s="28">
        <v>46092</v>
      </c>
    </row>
    <row r="6" spans="1:6">
      <c r="A6" s="11" t="s">
        <v>3840</v>
      </c>
      <c r="B6" s="11" t="s">
        <v>2942</v>
      </c>
      <c r="C6" s="11"/>
      <c r="D6" s="11" t="s">
        <v>93</v>
      </c>
      <c r="E6" s="45">
        <v>48.3</v>
      </c>
      <c r="F6" s="28">
        <v>46092</v>
      </c>
    </row>
    <row r="7" spans="1:6">
      <c r="A7" s="11" t="s">
        <v>3841</v>
      </c>
      <c r="B7" s="11" t="s">
        <v>2942</v>
      </c>
      <c r="C7" s="11"/>
      <c r="D7" s="11" t="s">
        <v>93</v>
      </c>
      <c r="E7" s="45">
        <v>48.3</v>
      </c>
      <c r="F7" s="28">
        <v>46092</v>
      </c>
    </row>
    <row r="8" spans="1:6">
      <c r="A8" s="11" t="s">
        <v>3842</v>
      </c>
      <c r="B8" s="11" t="s">
        <v>2942</v>
      </c>
      <c r="C8" s="11"/>
      <c r="D8" s="11" t="s">
        <v>93</v>
      </c>
      <c r="E8" s="45">
        <v>48.3</v>
      </c>
      <c r="F8" s="28">
        <v>46092</v>
      </c>
    </row>
    <row r="9" spans="1:6">
      <c r="A9" s="11" t="s">
        <v>3843</v>
      </c>
      <c r="B9" s="11" t="s">
        <v>2942</v>
      </c>
      <c r="C9" s="11"/>
      <c r="D9" s="11" t="s">
        <v>93</v>
      </c>
      <c r="E9" s="45">
        <v>48.3</v>
      </c>
      <c r="F9" s="28">
        <v>46092</v>
      </c>
    </row>
    <row r="10" spans="1:6">
      <c r="A10" s="11" t="s">
        <v>3844</v>
      </c>
      <c r="B10" s="11" t="s">
        <v>2942</v>
      </c>
      <c r="C10" s="11"/>
      <c r="D10" s="11" t="s">
        <v>93</v>
      </c>
      <c r="E10" s="45">
        <v>48.33</v>
      </c>
      <c r="F10" s="28">
        <v>46092</v>
      </c>
    </row>
    <row r="11" spans="1:6">
      <c r="A11" s="11" t="s">
        <v>3845</v>
      </c>
      <c r="B11" s="11" t="s">
        <v>2945</v>
      </c>
      <c r="C11" s="11"/>
      <c r="D11" s="11" t="s">
        <v>96</v>
      </c>
      <c r="E11" s="45">
        <v>50.98</v>
      </c>
      <c r="F11" s="28">
        <v>46113</v>
      </c>
    </row>
    <row r="12" spans="1:6">
      <c r="A12" s="11" t="s">
        <v>3846</v>
      </c>
      <c r="B12" s="11" t="s">
        <v>2945</v>
      </c>
      <c r="C12" s="11"/>
      <c r="D12" s="11" t="s">
        <v>96</v>
      </c>
      <c r="E12" s="45">
        <v>50.98</v>
      </c>
      <c r="F12" s="28">
        <v>46113</v>
      </c>
    </row>
    <row r="13" spans="1:6">
      <c r="A13" s="11" t="s">
        <v>3847</v>
      </c>
      <c r="B13" s="11" t="s">
        <v>2945</v>
      </c>
      <c r="C13" s="11"/>
      <c r="D13" s="11" t="s">
        <v>96</v>
      </c>
      <c r="E13" s="45">
        <v>50.98</v>
      </c>
      <c r="F13" s="28">
        <v>46113</v>
      </c>
    </row>
    <row r="14" spans="1:6">
      <c r="A14" s="11" t="s">
        <v>3848</v>
      </c>
      <c r="B14" s="11" t="s">
        <v>2945</v>
      </c>
      <c r="C14" s="11"/>
      <c r="D14" s="11" t="s">
        <v>96</v>
      </c>
      <c r="E14" s="45">
        <v>50.98</v>
      </c>
      <c r="F14" s="28">
        <v>46113</v>
      </c>
    </row>
    <row r="15" spans="1:6">
      <c r="A15" s="11" t="s">
        <v>3849</v>
      </c>
      <c r="B15" s="11" t="s">
        <v>2945</v>
      </c>
      <c r="C15" s="11"/>
      <c r="D15" s="11" t="s">
        <v>96</v>
      </c>
      <c r="E15" s="45">
        <v>50.98</v>
      </c>
      <c r="F15" s="28">
        <v>46113</v>
      </c>
    </row>
    <row r="16" spans="1:6">
      <c r="A16" s="11" t="s">
        <v>3850</v>
      </c>
      <c r="B16" s="11" t="s">
        <v>2945</v>
      </c>
      <c r="C16" s="11"/>
      <c r="D16" s="11" t="s">
        <v>96</v>
      </c>
      <c r="E16" s="45">
        <v>51</v>
      </c>
      <c r="F16" s="28">
        <v>46113</v>
      </c>
    </row>
    <row r="17" spans="1:6">
      <c r="A17" s="11" t="s">
        <v>3851</v>
      </c>
      <c r="B17" s="11" t="s">
        <v>2948</v>
      </c>
      <c r="C17" s="11"/>
      <c r="D17" s="11" t="s">
        <v>137</v>
      </c>
      <c r="E17" s="45">
        <v>33.590000000000003</v>
      </c>
      <c r="F17" s="28">
        <v>46112</v>
      </c>
    </row>
    <row r="18" spans="1:6">
      <c r="A18" s="11" t="s">
        <v>3852</v>
      </c>
      <c r="B18" s="11" t="s">
        <v>2948</v>
      </c>
      <c r="C18" s="11"/>
      <c r="D18" s="11" t="s">
        <v>137</v>
      </c>
      <c r="E18" s="45">
        <v>33.590000000000003</v>
      </c>
      <c r="F18" s="28">
        <v>46112</v>
      </c>
    </row>
    <row r="19" spans="1:6">
      <c r="A19" s="11" t="s">
        <v>3853</v>
      </c>
      <c r="B19" s="11" t="s">
        <v>2948</v>
      </c>
      <c r="C19" s="11"/>
      <c r="D19" s="11" t="s">
        <v>137</v>
      </c>
      <c r="E19" s="45">
        <v>33.590000000000003</v>
      </c>
      <c r="F19" s="28">
        <v>46112</v>
      </c>
    </row>
    <row r="20" spans="1:6">
      <c r="A20" s="11" t="s">
        <v>3854</v>
      </c>
      <c r="B20" s="11" t="s">
        <v>2948</v>
      </c>
      <c r="C20" s="11"/>
      <c r="D20" s="11" t="s">
        <v>137</v>
      </c>
      <c r="E20" s="45">
        <v>33.590000000000003</v>
      </c>
      <c r="F20" s="28">
        <v>46112</v>
      </c>
    </row>
    <row r="21" spans="1:6">
      <c r="A21" s="11" t="s">
        <v>3855</v>
      </c>
      <c r="B21" s="11" t="s">
        <v>2948</v>
      </c>
      <c r="C21" s="11"/>
      <c r="D21" s="11" t="s">
        <v>137</v>
      </c>
      <c r="E21" s="45">
        <v>33.590000000000003</v>
      </c>
      <c r="F21" s="28">
        <v>46112</v>
      </c>
    </row>
    <row r="22" spans="1:6">
      <c r="A22" s="11" t="s">
        <v>3856</v>
      </c>
      <c r="B22" s="11" t="s">
        <v>2948</v>
      </c>
      <c r="C22" s="11"/>
      <c r="D22" s="11" t="s">
        <v>137</v>
      </c>
      <c r="E22" s="45">
        <v>33.58</v>
      </c>
      <c r="F22" s="28">
        <v>46112</v>
      </c>
    </row>
    <row r="23" spans="1:6">
      <c r="A23" s="11" t="s">
        <v>3857</v>
      </c>
      <c r="B23" s="11" t="s">
        <v>2951</v>
      </c>
      <c r="C23" s="11"/>
      <c r="D23" s="11" t="s">
        <v>102</v>
      </c>
      <c r="E23" s="45">
        <v>41.17</v>
      </c>
      <c r="F23" s="28">
        <v>46086</v>
      </c>
    </row>
    <row r="24" spans="1:6">
      <c r="A24" s="11" t="s">
        <v>3858</v>
      </c>
      <c r="B24" s="11" t="s">
        <v>2951</v>
      </c>
      <c r="C24" s="11"/>
      <c r="D24" s="11" t="s">
        <v>102</v>
      </c>
      <c r="E24" s="45">
        <v>41.17</v>
      </c>
      <c r="F24" s="28">
        <v>46086</v>
      </c>
    </row>
    <row r="25" spans="1:6">
      <c r="A25" s="11" t="s">
        <v>3859</v>
      </c>
      <c r="B25" s="11" t="s">
        <v>2951</v>
      </c>
      <c r="C25" s="11"/>
      <c r="D25" s="11" t="s">
        <v>102</v>
      </c>
      <c r="E25" s="45">
        <v>41.17</v>
      </c>
      <c r="F25" s="28">
        <v>46086</v>
      </c>
    </row>
    <row r="26" spans="1:6">
      <c r="A26" s="11" t="s">
        <v>3860</v>
      </c>
      <c r="B26" s="11" t="s">
        <v>2951</v>
      </c>
      <c r="C26" s="11"/>
      <c r="D26" s="11" t="s">
        <v>102</v>
      </c>
      <c r="E26" s="45">
        <v>41.17</v>
      </c>
      <c r="F26" s="28">
        <v>46086</v>
      </c>
    </row>
    <row r="27" spans="1:6">
      <c r="A27" s="11" t="s">
        <v>3861</v>
      </c>
      <c r="B27" s="11" t="s">
        <v>2951</v>
      </c>
      <c r="C27" s="11"/>
      <c r="D27" s="11" t="s">
        <v>102</v>
      </c>
      <c r="E27" s="45">
        <v>41.17</v>
      </c>
      <c r="F27" s="28">
        <v>46086</v>
      </c>
    </row>
    <row r="28" spans="1:6">
      <c r="A28" s="11" t="s">
        <v>3862</v>
      </c>
      <c r="B28" s="11" t="s">
        <v>2951</v>
      </c>
      <c r="C28" s="11"/>
      <c r="D28" s="11" t="s">
        <v>102</v>
      </c>
      <c r="E28" s="45">
        <v>41.2</v>
      </c>
      <c r="F28" s="28">
        <v>46086</v>
      </c>
    </row>
    <row r="29" spans="1:6">
      <c r="A29" s="11" t="s">
        <v>3863</v>
      </c>
      <c r="B29" s="11" t="s">
        <v>2954</v>
      </c>
      <c r="C29" s="11"/>
      <c r="D29" s="11" t="s">
        <v>105</v>
      </c>
      <c r="E29" s="45">
        <v>37.47</v>
      </c>
      <c r="F29" s="28">
        <v>46090</v>
      </c>
    </row>
    <row r="30" spans="1:6">
      <c r="A30" s="11" t="s">
        <v>3864</v>
      </c>
      <c r="B30" s="11" t="s">
        <v>2954</v>
      </c>
      <c r="C30" s="11"/>
      <c r="D30" s="11" t="s">
        <v>105</v>
      </c>
      <c r="E30" s="45">
        <v>37.47</v>
      </c>
      <c r="F30" s="28">
        <v>46090</v>
      </c>
    </row>
    <row r="31" spans="1:6">
      <c r="A31" s="11" t="s">
        <v>3865</v>
      </c>
      <c r="B31" s="11" t="s">
        <v>2954</v>
      </c>
      <c r="C31" s="11"/>
      <c r="D31" s="11" t="s">
        <v>105</v>
      </c>
      <c r="E31" s="45">
        <v>37.47</v>
      </c>
      <c r="F31" s="28">
        <v>46090</v>
      </c>
    </row>
    <row r="32" spans="1:6">
      <c r="A32" s="11" t="s">
        <v>3866</v>
      </c>
      <c r="B32" s="11" t="s">
        <v>2954</v>
      </c>
      <c r="C32" s="11"/>
      <c r="D32" s="11" t="s">
        <v>105</v>
      </c>
      <c r="E32" s="45">
        <v>37.47</v>
      </c>
      <c r="F32" s="28">
        <v>46090</v>
      </c>
    </row>
    <row r="33" spans="1:6">
      <c r="A33" s="11" t="s">
        <v>3867</v>
      </c>
      <c r="B33" s="11" t="s">
        <v>2954</v>
      </c>
      <c r="C33" s="11"/>
      <c r="D33" s="11" t="s">
        <v>105</v>
      </c>
      <c r="E33" s="45">
        <v>37.47</v>
      </c>
      <c r="F33" s="28">
        <v>46090</v>
      </c>
    </row>
    <row r="34" spans="1:6">
      <c r="A34" s="11" t="s">
        <v>3868</v>
      </c>
      <c r="B34" s="11" t="s">
        <v>2954</v>
      </c>
      <c r="C34" s="11"/>
      <c r="D34" s="11" t="s">
        <v>105</v>
      </c>
      <c r="E34" s="45">
        <v>37.44</v>
      </c>
      <c r="F34" s="28">
        <v>46090</v>
      </c>
    </row>
    <row r="35" spans="1:6">
      <c r="A35" s="11" t="s">
        <v>3869</v>
      </c>
      <c r="B35" s="11" t="s">
        <v>2957</v>
      </c>
      <c r="C35" s="11"/>
      <c r="D35" s="11" t="s">
        <v>107</v>
      </c>
      <c r="E35" s="45">
        <v>42.31</v>
      </c>
      <c r="F35" s="28">
        <v>46112</v>
      </c>
    </row>
    <row r="36" spans="1:6">
      <c r="A36" s="11" t="s">
        <v>3870</v>
      </c>
      <c r="B36" s="11" t="s">
        <v>2957</v>
      </c>
      <c r="C36" s="11"/>
      <c r="D36" s="11" t="s">
        <v>107</v>
      </c>
      <c r="E36" s="45">
        <v>42.31</v>
      </c>
      <c r="F36" s="28">
        <v>46112</v>
      </c>
    </row>
    <row r="37" spans="1:6">
      <c r="A37" s="11" t="s">
        <v>3871</v>
      </c>
      <c r="B37" s="11" t="s">
        <v>2957</v>
      </c>
      <c r="C37" s="11"/>
      <c r="D37" s="11" t="s">
        <v>107</v>
      </c>
      <c r="E37" s="45">
        <v>42.31</v>
      </c>
      <c r="F37" s="28">
        <v>46112</v>
      </c>
    </row>
    <row r="38" spans="1:6">
      <c r="A38" s="11" t="s">
        <v>3872</v>
      </c>
      <c r="B38" s="11" t="s">
        <v>2957</v>
      </c>
      <c r="C38" s="11"/>
      <c r="D38" s="11" t="s">
        <v>107</v>
      </c>
      <c r="E38" s="45">
        <v>42.31</v>
      </c>
      <c r="F38" s="28">
        <v>46112</v>
      </c>
    </row>
    <row r="39" spans="1:6">
      <c r="A39" s="11" t="s">
        <v>3873</v>
      </c>
      <c r="B39" s="11" t="s">
        <v>2957</v>
      </c>
      <c r="C39" s="11"/>
      <c r="D39" s="11" t="s">
        <v>107</v>
      </c>
      <c r="E39" s="45">
        <v>42.31</v>
      </c>
      <c r="F39" s="28">
        <v>46112</v>
      </c>
    </row>
    <row r="40" spans="1:6">
      <c r="A40" s="11" t="s">
        <v>3874</v>
      </c>
      <c r="B40" s="11" t="s">
        <v>2957</v>
      </c>
      <c r="C40" s="11"/>
      <c r="D40" s="11" t="s">
        <v>107</v>
      </c>
      <c r="E40" s="45">
        <v>42.32</v>
      </c>
      <c r="F40" s="28">
        <v>46112</v>
      </c>
    </row>
    <row r="41" spans="1:6">
      <c r="A41" s="11" t="s">
        <v>3875</v>
      </c>
      <c r="B41" s="11" t="s">
        <v>2960</v>
      </c>
      <c r="C41" s="11"/>
      <c r="D41" s="11" t="s">
        <v>109</v>
      </c>
      <c r="E41" s="45">
        <v>37.799999999999997</v>
      </c>
      <c r="F41" s="28">
        <v>46101</v>
      </c>
    </row>
    <row r="42" spans="1:6">
      <c r="A42" s="11" t="s">
        <v>3876</v>
      </c>
      <c r="B42" s="11" t="s">
        <v>2960</v>
      </c>
      <c r="C42" s="11"/>
      <c r="D42" s="11" t="s">
        <v>109</v>
      </c>
      <c r="E42" s="45">
        <v>37.799999999999997</v>
      </c>
      <c r="F42" s="28">
        <v>46101</v>
      </c>
    </row>
    <row r="43" spans="1:6">
      <c r="A43" s="11" t="s">
        <v>3877</v>
      </c>
      <c r="B43" s="11" t="s">
        <v>2960</v>
      </c>
      <c r="C43" s="11"/>
      <c r="D43" s="11" t="s">
        <v>109</v>
      </c>
      <c r="E43" s="45">
        <v>37.799999999999997</v>
      </c>
      <c r="F43" s="28">
        <v>46101</v>
      </c>
    </row>
    <row r="44" spans="1:6">
      <c r="A44" s="11" t="s">
        <v>3878</v>
      </c>
      <c r="B44" s="11" t="s">
        <v>2960</v>
      </c>
      <c r="C44" s="11"/>
      <c r="D44" s="11" t="s">
        <v>109</v>
      </c>
      <c r="E44" s="45">
        <v>37.799999999999997</v>
      </c>
      <c r="F44" s="28">
        <v>46101</v>
      </c>
    </row>
    <row r="45" spans="1:6">
      <c r="A45" s="11" t="s">
        <v>3879</v>
      </c>
      <c r="B45" s="11" t="s">
        <v>2960</v>
      </c>
      <c r="C45" s="11"/>
      <c r="D45" s="11" t="s">
        <v>109</v>
      </c>
      <c r="E45" s="45">
        <v>37.799999999999997</v>
      </c>
      <c r="F45" s="28">
        <v>46101</v>
      </c>
    </row>
    <row r="46" spans="1:6">
      <c r="A46" s="11" t="s">
        <v>3880</v>
      </c>
      <c r="B46" s="11" t="s">
        <v>2960</v>
      </c>
      <c r="C46" s="11"/>
      <c r="D46" s="11" t="s">
        <v>109</v>
      </c>
      <c r="E46" s="45">
        <v>37.799999999999997</v>
      </c>
      <c r="F46" s="28">
        <v>46101</v>
      </c>
    </row>
    <row r="47" spans="1:6">
      <c r="A47" s="11" t="s">
        <v>3881</v>
      </c>
      <c r="B47" s="11" t="s">
        <v>2963</v>
      </c>
      <c r="C47" s="11"/>
      <c r="D47" s="11" t="s">
        <v>120</v>
      </c>
      <c r="E47" s="45">
        <v>46.22</v>
      </c>
      <c r="F47" s="28">
        <v>46085</v>
      </c>
    </row>
    <row r="48" spans="1:6">
      <c r="A48" s="11" t="s">
        <v>3882</v>
      </c>
      <c r="B48" s="11" t="s">
        <v>2963</v>
      </c>
      <c r="C48" s="11"/>
      <c r="D48" s="11" t="s">
        <v>120</v>
      </c>
      <c r="E48" s="45">
        <v>46.22</v>
      </c>
      <c r="F48" s="28">
        <v>46085</v>
      </c>
    </row>
    <row r="49" spans="1:6">
      <c r="A49" s="11" t="s">
        <v>3883</v>
      </c>
      <c r="B49" s="11" t="s">
        <v>2963</v>
      </c>
      <c r="C49" s="11"/>
      <c r="D49" s="11" t="s">
        <v>120</v>
      </c>
      <c r="E49" s="45">
        <v>46.22</v>
      </c>
      <c r="F49" s="28">
        <v>46085</v>
      </c>
    </row>
    <row r="50" spans="1:6">
      <c r="A50" s="11" t="s">
        <v>3884</v>
      </c>
      <c r="B50" s="11" t="s">
        <v>2963</v>
      </c>
      <c r="C50" s="11"/>
      <c r="D50" s="11" t="s">
        <v>120</v>
      </c>
      <c r="E50" s="45">
        <v>46.22</v>
      </c>
      <c r="F50" s="28">
        <v>46085</v>
      </c>
    </row>
    <row r="51" spans="1:6">
      <c r="A51" s="11" t="s">
        <v>3885</v>
      </c>
      <c r="B51" s="11" t="s">
        <v>2963</v>
      </c>
      <c r="C51" s="11"/>
      <c r="D51" s="11" t="s">
        <v>120</v>
      </c>
      <c r="E51" s="45">
        <v>46.22</v>
      </c>
      <c r="F51" s="28">
        <v>46085</v>
      </c>
    </row>
    <row r="52" spans="1:6">
      <c r="A52" s="11" t="s">
        <v>3886</v>
      </c>
      <c r="B52" s="11" t="s">
        <v>2963</v>
      </c>
      <c r="C52" s="11"/>
      <c r="D52" s="11" t="s">
        <v>120</v>
      </c>
      <c r="E52" s="45">
        <v>46.25</v>
      </c>
      <c r="F52" s="28">
        <v>46085</v>
      </c>
    </row>
    <row r="53" spans="1:6">
      <c r="A53" s="11" t="s">
        <v>3887</v>
      </c>
      <c r="B53" s="11" t="s">
        <v>2966</v>
      </c>
      <c r="C53" s="11"/>
      <c r="D53" s="11" t="s">
        <v>121</v>
      </c>
      <c r="E53" s="45">
        <v>52.52</v>
      </c>
      <c r="F53" s="28">
        <v>46112</v>
      </c>
    </row>
    <row r="54" spans="1:6">
      <c r="A54" s="11" t="s">
        <v>3888</v>
      </c>
      <c r="B54" s="11" t="s">
        <v>2966</v>
      </c>
      <c r="C54" s="11"/>
      <c r="D54" s="11" t="s">
        <v>121</v>
      </c>
      <c r="E54" s="45">
        <v>52.52</v>
      </c>
      <c r="F54" s="28">
        <v>46112</v>
      </c>
    </row>
    <row r="55" spans="1:6">
      <c r="A55" s="11" t="s">
        <v>3889</v>
      </c>
      <c r="B55" s="11" t="s">
        <v>2966</v>
      </c>
      <c r="C55" s="11"/>
      <c r="D55" s="11" t="s">
        <v>121</v>
      </c>
      <c r="E55" s="45">
        <v>52.52</v>
      </c>
      <c r="F55" s="28">
        <v>46112</v>
      </c>
    </row>
    <row r="56" spans="1:6">
      <c r="A56" s="11" t="s">
        <v>3890</v>
      </c>
      <c r="B56" s="11" t="s">
        <v>2966</v>
      </c>
      <c r="C56" s="11"/>
      <c r="D56" s="11" t="s">
        <v>121</v>
      </c>
      <c r="E56" s="45">
        <v>52.52</v>
      </c>
      <c r="F56" s="28">
        <v>46112</v>
      </c>
    </row>
    <row r="57" spans="1:6">
      <c r="A57" s="11" t="s">
        <v>3891</v>
      </c>
      <c r="B57" s="11" t="s">
        <v>2966</v>
      </c>
      <c r="C57" s="11"/>
      <c r="D57" s="11" t="s">
        <v>121</v>
      </c>
      <c r="E57" s="45">
        <v>52.52</v>
      </c>
      <c r="F57" s="28">
        <v>46112</v>
      </c>
    </row>
    <row r="58" spans="1:6">
      <c r="A58" s="11" t="s">
        <v>3892</v>
      </c>
      <c r="B58" s="11" t="s">
        <v>2966</v>
      </c>
      <c r="C58" s="11"/>
      <c r="D58" s="11" t="s">
        <v>121</v>
      </c>
      <c r="E58" s="45">
        <v>52.52</v>
      </c>
      <c r="F58" s="28">
        <v>46112</v>
      </c>
    </row>
    <row r="59" spans="1:6">
      <c r="A59" s="11" t="s">
        <v>3893</v>
      </c>
      <c r="B59" s="11" t="s">
        <v>2969</v>
      </c>
      <c r="C59" s="11"/>
      <c r="D59" s="11" t="s">
        <v>122</v>
      </c>
      <c r="E59" s="45">
        <v>36.270000000000003</v>
      </c>
      <c r="F59" s="28">
        <v>46090</v>
      </c>
    </row>
    <row r="60" spans="1:6">
      <c r="A60" s="11" t="s">
        <v>3894</v>
      </c>
      <c r="B60" s="11" t="s">
        <v>2969</v>
      </c>
      <c r="C60" s="11"/>
      <c r="D60" s="11" t="s">
        <v>122</v>
      </c>
      <c r="E60" s="45">
        <v>36.270000000000003</v>
      </c>
      <c r="F60" s="28">
        <v>46090</v>
      </c>
    </row>
    <row r="61" spans="1:6">
      <c r="A61" s="11" t="s">
        <v>3895</v>
      </c>
      <c r="B61" s="11" t="s">
        <v>2969</v>
      </c>
      <c r="C61" s="11"/>
      <c r="D61" s="11" t="s">
        <v>122</v>
      </c>
      <c r="E61" s="45">
        <v>36.270000000000003</v>
      </c>
      <c r="F61" s="28">
        <v>46090</v>
      </c>
    </row>
    <row r="62" spans="1:6">
      <c r="A62" s="11" t="s">
        <v>3896</v>
      </c>
      <c r="B62" s="11" t="s">
        <v>2969</v>
      </c>
      <c r="C62" s="11"/>
      <c r="D62" s="11" t="s">
        <v>122</v>
      </c>
      <c r="E62" s="45">
        <v>36.270000000000003</v>
      </c>
      <c r="F62" s="28">
        <v>46090</v>
      </c>
    </row>
    <row r="63" spans="1:6">
      <c r="A63" s="11" t="s">
        <v>3897</v>
      </c>
      <c r="B63" s="11" t="s">
        <v>2969</v>
      </c>
      <c r="C63" s="11"/>
      <c r="D63" s="11" t="s">
        <v>122</v>
      </c>
      <c r="E63" s="45">
        <v>36.270000000000003</v>
      </c>
      <c r="F63" s="28">
        <v>46090</v>
      </c>
    </row>
    <row r="64" spans="1:6">
      <c r="A64" s="11" t="s">
        <v>3898</v>
      </c>
      <c r="B64" s="11" t="s">
        <v>2969</v>
      </c>
      <c r="C64" s="11"/>
      <c r="D64" s="11" t="s">
        <v>122</v>
      </c>
      <c r="E64" s="45">
        <v>36.26</v>
      </c>
      <c r="F64" s="28">
        <v>46090</v>
      </c>
    </row>
    <row r="65" spans="1:6">
      <c r="A65" s="11" t="s">
        <v>3899</v>
      </c>
      <c r="B65" s="11" t="s">
        <v>2972</v>
      </c>
      <c r="C65" s="11"/>
      <c r="D65" s="11" t="s">
        <v>123</v>
      </c>
      <c r="E65" s="45">
        <v>48.66</v>
      </c>
      <c r="F65" s="28">
        <v>46110</v>
      </c>
    </row>
    <row r="66" spans="1:6">
      <c r="A66" s="11" t="s">
        <v>3900</v>
      </c>
      <c r="B66" s="11" t="s">
        <v>2972</v>
      </c>
      <c r="C66" s="11"/>
      <c r="D66" s="11" t="s">
        <v>123</v>
      </c>
      <c r="E66" s="45">
        <v>48.66</v>
      </c>
      <c r="F66" s="28">
        <v>46110</v>
      </c>
    </row>
    <row r="67" spans="1:6">
      <c r="A67" s="11" t="s">
        <v>3901</v>
      </c>
      <c r="B67" s="11" t="s">
        <v>2972</v>
      </c>
      <c r="C67" s="11"/>
      <c r="D67" s="11" t="s">
        <v>123</v>
      </c>
      <c r="E67" s="45">
        <v>48.66</v>
      </c>
      <c r="F67" s="28">
        <v>46110</v>
      </c>
    </row>
    <row r="68" spans="1:6">
      <c r="A68" s="11" t="s">
        <v>3902</v>
      </c>
      <c r="B68" s="11" t="s">
        <v>2972</v>
      </c>
      <c r="C68" s="11"/>
      <c r="D68" s="11" t="s">
        <v>123</v>
      </c>
      <c r="E68" s="45">
        <v>48.66</v>
      </c>
      <c r="F68" s="28">
        <v>46110</v>
      </c>
    </row>
    <row r="69" spans="1:6">
      <c r="A69" s="11" t="s">
        <v>3903</v>
      </c>
      <c r="B69" s="11" t="s">
        <v>2972</v>
      </c>
      <c r="C69" s="11"/>
      <c r="D69" s="11" t="s">
        <v>123</v>
      </c>
      <c r="E69" s="45">
        <v>48.66</v>
      </c>
      <c r="F69" s="28">
        <v>46110</v>
      </c>
    </row>
    <row r="70" spans="1:6">
      <c r="A70" s="11" t="s">
        <v>3904</v>
      </c>
      <c r="B70" s="11" t="s">
        <v>2972</v>
      </c>
      <c r="C70" s="11"/>
      <c r="D70" s="11" t="s">
        <v>123</v>
      </c>
      <c r="E70" s="45">
        <v>48.65</v>
      </c>
      <c r="F70" s="28">
        <v>46110</v>
      </c>
    </row>
    <row r="71" spans="1:6">
      <c r="A71" s="11" t="s">
        <v>3905</v>
      </c>
      <c r="B71" s="11" t="s">
        <v>2975</v>
      </c>
      <c r="C71" s="11"/>
      <c r="D71" s="11" t="s">
        <v>124</v>
      </c>
      <c r="E71" s="45">
        <v>44.57</v>
      </c>
      <c r="F71" s="28">
        <v>46109</v>
      </c>
    </row>
    <row r="72" spans="1:6">
      <c r="A72" s="11" t="s">
        <v>3906</v>
      </c>
      <c r="B72" s="11" t="s">
        <v>2975</v>
      </c>
      <c r="C72" s="11"/>
      <c r="D72" s="11" t="s">
        <v>124</v>
      </c>
      <c r="E72" s="45">
        <v>44.57</v>
      </c>
      <c r="F72" s="28">
        <v>46109</v>
      </c>
    </row>
    <row r="73" spans="1:6">
      <c r="A73" s="11" t="s">
        <v>3907</v>
      </c>
      <c r="B73" s="11" t="s">
        <v>2975</v>
      </c>
      <c r="C73" s="11"/>
      <c r="D73" s="11" t="s">
        <v>124</v>
      </c>
      <c r="E73" s="45">
        <v>44.57</v>
      </c>
      <c r="F73" s="28">
        <v>46109</v>
      </c>
    </row>
    <row r="74" spans="1:6">
      <c r="A74" s="11" t="s">
        <v>3908</v>
      </c>
      <c r="B74" s="11" t="s">
        <v>2975</v>
      </c>
      <c r="C74" s="11"/>
      <c r="D74" s="11" t="s">
        <v>124</v>
      </c>
      <c r="E74" s="45">
        <v>44.57</v>
      </c>
      <c r="F74" s="28">
        <v>46109</v>
      </c>
    </row>
    <row r="75" spans="1:6">
      <c r="A75" s="11" t="s">
        <v>3909</v>
      </c>
      <c r="B75" s="11" t="s">
        <v>2975</v>
      </c>
      <c r="C75" s="11"/>
      <c r="D75" s="11" t="s">
        <v>124</v>
      </c>
      <c r="E75" s="45">
        <v>44.57</v>
      </c>
      <c r="F75" s="28">
        <v>46109</v>
      </c>
    </row>
    <row r="76" spans="1:6">
      <c r="A76" s="11" t="s">
        <v>3910</v>
      </c>
      <c r="B76" s="11" t="s">
        <v>2975</v>
      </c>
      <c r="C76" s="11"/>
      <c r="D76" s="11" t="s">
        <v>124</v>
      </c>
      <c r="E76" s="45">
        <v>44.59</v>
      </c>
      <c r="F76" s="28">
        <v>46109</v>
      </c>
    </row>
    <row r="77" spans="1:6">
      <c r="A77" s="11" t="s">
        <v>3911</v>
      </c>
      <c r="B77" s="11" t="s">
        <v>2978</v>
      </c>
      <c r="C77" s="11"/>
      <c r="D77" s="11" t="s">
        <v>125</v>
      </c>
      <c r="E77" s="45">
        <v>47.93</v>
      </c>
      <c r="F77" s="28">
        <v>46082</v>
      </c>
    </row>
    <row r="78" spans="1:6">
      <c r="A78" s="11" t="s">
        <v>3912</v>
      </c>
      <c r="B78" s="11" t="s">
        <v>2978</v>
      </c>
      <c r="C78" s="11"/>
      <c r="D78" s="11" t="s">
        <v>125</v>
      </c>
      <c r="E78" s="45">
        <v>47.93</v>
      </c>
      <c r="F78" s="28">
        <v>46082</v>
      </c>
    </row>
    <row r="79" spans="1:6">
      <c r="A79" s="11" t="s">
        <v>3913</v>
      </c>
      <c r="B79" s="11" t="s">
        <v>2978</v>
      </c>
      <c r="C79" s="11"/>
      <c r="D79" s="11" t="s">
        <v>125</v>
      </c>
      <c r="E79" s="45">
        <v>47.93</v>
      </c>
      <c r="F79" s="28">
        <v>46082</v>
      </c>
    </row>
    <row r="80" spans="1:6">
      <c r="A80" s="11" t="s">
        <v>3914</v>
      </c>
      <c r="B80" s="11" t="s">
        <v>2978</v>
      </c>
      <c r="C80" s="11"/>
      <c r="D80" s="11" t="s">
        <v>125</v>
      </c>
      <c r="E80" s="45">
        <v>47.93</v>
      </c>
      <c r="F80" s="28">
        <v>46082</v>
      </c>
    </row>
    <row r="81" spans="1:6">
      <c r="A81" s="11" t="s">
        <v>3915</v>
      </c>
      <c r="B81" s="11" t="s">
        <v>2978</v>
      </c>
      <c r="C81" s="11"/>
      <c r="D81" s="11" t="s">
        <v>125</v>
      </c>
      <c r="E81" s="45">
        <v>47.93</v>
      </c>
      <c r="F81" s="28">
        <v>46082</v>
      </c>
    </row>
    <row r="82" spans="1:6">
      <c r="A82" s="11" t="s">
        <v>3916</v>
      </c>
      <c r="B82" s="11" t="s">
        <v>2978</v>
      </c>
      <c r="C82" s="11"/>
      <c r="D82" s="11" t="s">
        <v>125</v>
      </c>
      <c r="E82" s="45">
        <v>47.91</v>
      </c>
      <c r="F82" s="28">
        <v>46082</v>
      </c>
    </row>
    <row r="83" spans="1:6">
      <c r="A83" s="11" t="s">
        <v>3917</v>
      </c>
      <c r="B83" s="11" t="s">
        <v>2981</v>
      </c>
      <c r="C83" s="11"/>
      <c r="D83" s="11" t="s">
        <v>147</v>
      </c>
      <c r="E83" s="45">
        <v>28.76</v>
      </c>
      <c r="F83" s="28">
        <v>46095</v>
      </c>
    </row>
    <row r="84" spans="1:6">
      <c r="A84" s="11" t="s">
        <v>3918</v>
      </c>
      <c r="B84" s="11" t="s">
        <v>2981</v>
      </c>
      <c r="C84" s="11"/>
      <c r="D84" s="11" t="s">
        <v>147</v>
      </c>
      <c r="E84" s="45">
        <v>28.76</v>
      </c>
      <c r="F84" s="28">
        <v>46095</v>
      </c>
    </row>
    <row r="85" spans="1:6">
      <c r="A85" s="11" t="s">
        <v>3919</v>
      </c>
      <c r="B85" s="11" t="s">
        <v>2981</v>
      </c>
      <c r="C85" s="11"/>
      <c r="D85" s="11" t="s">
        <v>147</v>
      </c>
      <c r="E85" s="45">
        <v>28.76</v>
      </c>
      <c r="F85" s="28">
        <v>46095</v>
      </c>
    </row>
    <row r="86" spans="1:6">
      <c r="A86" s="11" t="s">
        <v>3920</v>
      </c>
      <c r="B86" s="11" t="s">
        <v>2981</v>
      </c>
      <c r="C86" s="11"/>
      <c r="D86" s="11" t="s">
        <v>147</v>
      </c>
      <c r="E86" s="45">
        <v>28.76</v>
      </c>
      <c r="F86" s="28">
        <v>46095</v>
      </c>
    </row>
    <row r="87" spans="1:6">
      <c r="A87" s="11" t="s">
        <v>3921</v>
      </c>
      <c r="B87" s="11" t="s">
        <v>2981</v>
      </c>
      <c r="C87" s="11"/>
      <c r="D87" s="11" t="s">
        <v>147</v>
      </c>
      <c r="E87" s="45">
        <v>28.76</v>
      </c>
      <c r="F87" s="28">
        <v>46095</v>
      </c>
    </row>
    <row r="88" spans="1:6">
      <c r="A88" s="11" t="s">
        <v>3922</v>
      </c>
      <c r="B88" s="11" t="s">
        <v>2981</v>
      </c>
      <c r="C88" s="11"/>
      <c r="D88" s="11" t="s">
        <v>147</v>
      </c>
      <c r="E88" s="45">
        <v>28.74</v>
      </c>
      <c r="F88" s="28">
        <v>46095</v>
      </c>
    </row>
    <row r="89" spans="1:6">
      <c r="A89" s="11" t="s">
        <v>3923</v>
      </c>
      <c r="B89" s="11" t="s">
        <v>2984</v>
      </c>
      <c r="C89" s="11"/>
      <c r="D89" s="11" t="s">
        <v>138</v>
      </c>
      <c r="E89" s="45">
        <v>23.43</v>
      </c>
      <c r="F89" s="28">
        <v>46090</v>
      </c>
    </row>
    <row r="90" spans="1:6">
      <c r="A90" s="11" t="s">
        <v>3924</v>
      </c>
      <c r="B90" s="11" t="s">
        <v>2984</v>
      </c>
      <c r="C90" s="11"/>
      <c r="D90" s="11" t="s">
        <v>138</v>
      </c>
      <c r="E90" s="45">
        <v>23.43</v>
      </c>
      <c r="F90" s="28">
        <v>46090</v>
      </c>
    </row>
    <row r="91" spans="1:6">
      <c r="A91" s="11" t="s">
        <v>3925</v>
      </c>
      <c r="B91" s="11" t="s">
        <v>2984</v>
      </c>
      <c r="C91" s="11"/>
      <c r="D91" s="11" t="s">
        <v>138</v>
      </c>
      <c r="E91" s="45">
        <v>23.43</v>
      </c>
      <c r="F91" s="28">
        <v>46090</v>
      </c>
    </row>
    <row r="92" spans="1:6">
      <c r="A92" s="11" t="s">
        <v>3926</v>
      </c>
      <c r="B92" s="11" t="s">
        <v>2984</v>
      </c>
      <c r="C92" s="11"/>
      <c r="D92" s="11" t="s">
        <v>138</v>
      </c>
      <c r="E92" s="45">
        <v>23.43</v>
      </c>
      <c r="F92" s="28">
        <v>46090</v>
      </c>
    </row>
    <row r="93" spans="1:6">
      <c r="A93" s="11" t="s">
        <v>3927</v>
      </c>
      <c r="B93" s="11" t="s">
        <v>2984</v>
      </c>
      <c r="C93" s="11"/>
      <c r="D93" s="11" t="s">
        <v>138</v>
      </c>
      <c r="E93" s="45">
        <v>23.43</v>
      </c>
      <c r="F93" s="28">
        <v>46090</v>
      </c>
    </row>
    <row r="94" spans="1:6">
      <c r="A94" s="11" t="s">
        <v>3928</v>
      </c>
      <c r="B94" s="11" t="s">
        <v>2984</v>
      </c>
      <c r="C94" s="11"/>
      <c r="D94" s="11" t="s">
        <v>138</v>
      </c>
      <c r="E94" s="45">
        <v>23.45</v>
      </c>
      <c r="F94" s="28">
        <v>46090</v>
      </c>
    </row>
    <row r="95" spans="1:6">
      <c r="A95" s="11" t="s">
        <v>3929</v>
      </c>
      <c r="B95" s="11" t="s">
        <v>2987</v>
      </c>
      <c r="C95" s="11"/>
      <c r="D95" s="11" t="s">
        <v>148</v>
      </c>
      <c r="E95" s="45">
        <v>23.37</v>
      </c>
      <c r="F95" s="28">
        <v>46103</v>
      </c>
    </row>
    <row r="96" spans="1:6">
      <c r="A96" s="11" t="s">
        <v>3930</v>
      </c>
      <c r="B96" s="11" t="s">
        <v>2987</v>
      </c>
      <c r="C96" s="11"/>
      <c r="D96" s="11" t="s">
        <v>148</v>
      </c>
      <c r="E96" s="45">
        <v>23.37</v>
      </c>
      <c r="F96" s="28">
        <v>46103</v>
      </c>
    </row>
    <row r="97" spans="1:6">
      <c r="A97" s="11" t="s">
        <v>3931</v>
      </c>
      <c r="B97" s="11" t="s">
        <v>2987</v>
      </c>
      <c r="C97" s="11"/>
      <c r="D97" s="11" t="s">
        <v>148</v>
      </c>
      <c r="E97" s="45">
        <v>23.37</v>
      </c>
      <c r="F97" s="28">
        <v>46103</v>
      </c>
    </row>
    <row r="98" spans="1:6">
      <c r="A98" s="11" t="s">
        <v>3932</v>
      </c>
      <c r="B98" s="11" t="s">
        <v>2987</v>
      </c>
      <c r="C98" s="11"/>
      <c r="D98" s="11" t="s">
        <v>148</v>
      </c>
      <c r="E98" s="45">
        <v>23.37</v>
      </c>
      <c r="F98" s="28">
        <v>46103</v>
      </c>
    </row>
    <row r="99" spans="1:6">
      <c r="A99" s="11" t="s">
        <v>3933</v>
      </c>
      <c r="B99" s="11" t="s">
        <v>2987</v>
      </c>
      <c r="C99" s="11"/>
      <c r="D99" s="11" t="s">
        <v>148</v>
      </c>
      <c r="E99" s="45">
        <v>23.37</v>
      </c>
      <c r="F99" s="28">
        <v>46103</v>
      </c>
    </row>
    <row r="100" spans="1:6">
      <c r="A100" s="11" t="s">
        <v>3934</v>
      </c>
      <c r="B100" s="11" t="s">
        <v>2987</v>
      </c>
      <c r="C100" s="11"/>
      <c r="D100" s="11" t="s">
        <v>148</v>
      </c>
      <c r="E100" s="45">
        <v>23.37</v>
      </c>
      <c r="F100" s="28">
        <v>46103</v>
      </c>
    </row>
    <row r="101" spans="1:6">
      <c r="A101" s="11" t="s">
        <v>3935</v>
      </c>
      <c r="B101" s="11" t="s">
        <v>2990</v>
      </c>
      <c r="C101" s="11"/>
      <c r="D101" s="11" t="s">
        <v>132</v>
      </c>
      <c r="E101" s="45">
        <v>49.14</v>
      </c>
      <c r="F101" s="28">
        <v>46082</v>
      </c>
    </row>
    <row r="102" spans="1:6">
      <c r="A102" s="11" t="s">
        <v>3936</v>
      </c>
      <c r="B102" s="11" t="s">
        <v>2990</v>
      </c>
      <c r="C102" s="11"/>
      <c r="D102" s="11" t="s">
        <v>132</v>
      </c>
      <c r="E102" s="45">
        <v>49.14</v>
      </c>
      <c r="F102" s="28">
        <v>46082</v>
      </c>
    </row>
    <row r="103" spans="1:6">
      <c r="A103" s="11" t="s">
        <v>3937</v>
      </c>
      <c r="B103" s="11" t="s">
        <v>2990</v>
      </c>
      <c r="C103" s="11"/>
      <c r="D103" s="11" t="s">
        <v>132</v>
      </c>
      <c r="E103" s="45">
        <v>49.14</v>
      </c>
      <c r="F103" s="28">
        <v>46082</v>
      </c>
    </row>
    <row r="104" spans="1:6">
      <c r="A104" s="11" t="s">
        <v>3938</v>
      </c>
      <c r="B104" s="11" t="s">
        <v>2990</v>
      </c>
      <c r="C104" s="11"/>
      <c r="D104" s="11" t="s">
        <v>132</v>
      </c>
      <c r="E104" s="45">
        <v>49.14</v>
      </c>
      <c r="F104" s="28">
        <v>46082</v>
      </c>
    </row>
    <row r="105" spans="1:6">
      <c r="A105" s="11" t="s">
        <v>3939</v>
      </c>
      <c r="B105" s="11" t="s">
        <v>2990</v>
      </c>
      <c r="C105" s="11"/>
      <c r="D105" s="11" t="s">
        <v>132</v>
      </c>
      <c r="E105" s="45">
        <v>49.14</v>
      </c>
      <c r="F105" s="28">
        <v>46082</v>
      </c>
    </row>
    <row r="106" spans="1:6">
      <c r="A106" s="11" t="s">
        <v>3940</v>
      </c>
      <c r="B106" s="11" t="s">
        <v>2990</v>
      </c>
      <c r="C106" s="11"/>
      <c r="D106" s="11" t="s">
        <v>132</v>
      </c>
      <c r="E106" s="45">
        <v>49.14</v>
      </c>
      <c r="F106" s="28">
        <v>46082</v>
      </c>
    </row>
    <row r="107" spans="1:6">
      <c r="A107" s="11" t="s">
        <v>3941</v>
      </c>
      <c r="B107" s="11" t="s">
        <v>2993</v>
      </c>
      <c r="C107" s="11"/>
      <c r="D107" s="11" t="s">
        <v>137</v>
      </c>
      <c r="E107" s="45">
        <v>36.56</v>
      </c>
      <c r="F107" s="28">
        <v>46088</v>
      </c>
    </row>
    <row r="108" spans="1:6">
      <c r="A108" s="11" t="s">
        <v>3942</v>
      </c>
      <c r="B108" s="11" t="s">
        <v>2993</v>
      </c>
      <c r="C108" s="11"/>
      <c r="D108" s="11" t="s">
        <v>137</v>
      </c>
      <c r="E108" s="45">
        <v>36.56</v>
      </c>
      <c r="F108" s="28">
        <v>46088</v>
      </c>
    </row>
    <row r="109" spans="1:6">
      <c r="A109" s="11" t="s">
        <v>3943</v>
      </c>
      <c r="B109" s="11" t="s">
        <v>2993</v>
      </c>
      <c r="C109" s="11"/>
      <c r="D109" s="11" t="s">
        <v>137</v>
      </c>
      <c r="E109" s="45">
        <v>36.56</v>
      </c>
      <c r="F109" s="28">
        <v>46088</v>
      </c>
    </row>
    <row r="110" spans="1:6">
      <c r="A110" s="11" t="s">
        <v>3944</v>
      </c>
      <c r="B110" s="11" t="s">
        <v>2993</v>
      </c>
      <c r="C110" s="11"/>
      <c r="D110" s="11" t="s">
        <v>137</v>
      </c>
      <c r="E110" s="45">
        <v>36.56</v>
      </c>
      <c r="F110" s="28">
        <v>46088</v>
      </c>
    </row>
    <row r="111" spans="1:6">
      <c r="A111" s="11" t="s">
        <v>3945</v>
      </c>
      <c r="B111" s="11" t="s">
        <v>2993</v>
      </c>
      <c r="C111" s="11"/>
      <c r="D111" s="11" t="s">
        <v>137</v>
      </c>
      <c r="E111" s="45">
        <v>36.56</v>
      </c>
      <c r="F111" s="28">
        <v>46088</v>
      </c>
    </row>
    <row r="112" spans="1:6">
      <c r="A112" s="11" t="s">
        <v>3946</v>
      </c>
      <c r="B112" s="11" t="s">
        <v>2993</v>
      </c>
      <c r="C112" s="11"/>
      <c r="D112" s="11" t="s">
        <v>137</v>
      </c>
      <c r="E112" s="45">
        <v>36.57</v>
      </c>
      <c r="F112" s="28">
        <v>46088</v>
      </c>
    </row>
    <row r="113" spans="1:6">
      <c r="A113" s="11" t="s">
        <v>3947</v>
      </c>
      <c r="B113" s="11" t="s">
        <v>2996</v>
      </c>
      <c r="C113" s="11"/>
      <c r="D113" s="11" t="s">
        <v>138</v>
      </c>
      <c r="E113" s="45">
        <v>27.4</v>
      </c>
      <c r="F113" s="28">
        <v>46085</v>
      </c>
    </row>
    <row r="114" spans="1:6">
      <c r="A114" s="11" t="s">
        <v>3948</v>
      </c>
      <c r="B114" s="11" t="s">
        <v>2996</v>
      </c>
      <c r="C114" s="11"/>
      <c r="D114" s="11" t="s">
        <v>138</v>
      </c>
      <c r="E114" s="45">
        <v>27.4</v>
      </c>
      <c r="F114" s="28">
        <v>46085</v>
      </c>
    </row>
    <row r="115" spans="1:6">
      <c r="A115" s="11" t="s">
        <v>3949</v>
      </c>
      <c r="B115" s="11" t="s">
        <v>2996</v>
      </c>
      <c r="C115" s="11"/>
      <c r="D115" s="11" t="s">
        <v>138</v>
      </c>
      <c r="E115" s="45">
        <v>27.4</v>
      </c>
      <c r="F115" s="28">
        <v>46085</v>
      </c>
    </row>
    <row r="116" spans="1:6">
      <c r="A116" s="11" t="s">
        <v>3950</v>
      </c>
      <c r="B116" s="11" t="s">
        <v>2996</v>
      </c>
      <c r="C116" s="11"/>
      <c r="D116" s="11" t="s">
        <v>138</v>
      </c>
      <c r="E116" s="45">
        <v>27.4</v>
      </c>
      <c r="F116" s="28">
        <v>46085</v>
      </c>
    </row>
    <row r="117" spans="1:6">
      <c r="A117" s="11" t="s">
        <v>3951</v>
      </c>
      <c r="B117" s="11" t="s">
        <v>2996</v>
      </c>
      <c r="C117" s="11"/>
      <c r="D117" s="11" t="s">
        <v>138</v>
      </c>
      <c r="E117" s="45">
        <v>27.4</v>
      </c>
      <c r="F117" s="28">
        <v>46085</v>
      </c>
    </row>
    <row r="118" spans="1:6">
      <c r="A118" s="11" t="s">
        <v>3952</v>
      </c>
      <c r="B118" s="11" t="s">
        <v>2996</v>
      </c>
      <c r="C118" s="11"/>
      <c r="D118" s="11" t="s">
        <v>138</v>
      </c>
      <c r="E118" s="45">
        <v>27.39</v>
      </c>
      <c r="F118" s="28">
        <v>46085</v>
      </c>
    </row>
    <row r="119" spans="1:6">
      <c r="A119" s="11" t="s">
        <v>3953</v>
      </c>
      <c r="B119" s="11" t="s">
        <v>2999</v>
      </c>
      <c r="C119" s="11"/>
      <c r="D119" s="11" t="s">
        <v>135</v>
      </c>
      <c r="E119" s="45">
        <v>48.23</v>
      </c>
      <c r="F119" s="28">
        <v>46091</v>
      </c>
    </row>
    <row r="120" spans="1:6">
      <c r="A120" s="11" t="s">
        <v>3954</v>
      </c>
      <c r="B120" s="11" t="s">
        <v>2999</v>
      </c>
      <c r="C120" s="11"/>
      <c r="D120" s="11" t="s">
        <v>135</v>
      </c>
      <c r="E120" s="45">
        <v>48.23</v>
      </c>
      <c r="F120" s="28">
        <v>46091</v>
      </c>
    </row>
    <row r="121" spans="1:6">
      <c r="A121" s="11" t="s">
        <v>3955</v>
      </c>
      <c r="B121" s="11" t="s">
        <v>2999</v>
      </c>
      <c r="C121" s="11"/>
      <c r="D121" s="11" t="s">
        <v>135</v>
      </c>
      <c r="E121" s="45">
        <v>48.23</v>
      </c>
      <c r="F121" s="28">
        <v>46091</v>
      </c>
    </row>
    <row r="122" spans="1:6">
      <c r="A122" s="11" t="s">
        <v>3956</v>
      </c>
      <c r="B122" s="11" t="s">
        <v>2999</v>
      </c>
      <c r="C122" s="11"/>
      <c r="D122" s="11" t="s">
        <v>135</v>
      </c>
      <c r="E122" s="45">
        <v>48.23</v>
      </c>
      <c r="F122" s="28">
        <v>46091</v>
      </c>
    </row>
    <row r="123" spans="1:6">
      <c r="A123" s="11" t="s">
        <v>3957</v>
      </c>
      <c r="B123" s="11" t="s">
        <v>2999</v>
      </c>
      <c r="C123" s="11"/>
      <c r="D123" s="11" t="s">
        <v>135</v>
      </c>
      <c r="E123" s="45">
        <v>48.23</v>
      </c>
      <c r="F123" s="28">
        <v>46091</v>
      </c>
    </row>
    <row r="124" spans="1:6">
      <c r="A124" s="11" t="s">
        <v>3958</v>
      </c>
      <c r="B124" s="11" t="s">
        <v>2999</v>
      </c>
      <c r="C124" s="11"/>
      <c r="D124" s="11" t="s">
        <v>135</v>
      </c>
      <c r="E124" s="45">
        <v>48.26</v>
      </c>
      <c r="F124" s="28">
        <v>46091</v>
      </c>
    </row>
    <row r="125" spans="1:6">
      <c r="A125" s="11" t="s">
        <v>3959</v>
      </c>
      <c r="B125" s="11" t="s">
        <v>3002</v>
      </c>
      <c r="C125" s="11"/>
      <c r="D125" s="11" t="s">
        <v>136</v>
      </c>
      <c r="E125" s="45">
        <v>44.84</v>
      </c>
      <c r="F125" s="28">
        <v>46089</v>
      </c>
    </row>
    <row r="126" spans="1:6">
      <c r="A126" s="11" t="s">
        <v>3960</v>
      </c>
      <c r="B126" s="11" t="s">
        <v>3002</v>
      </c>
      <c r="C126" s="11"/>
      <c r="D126" s="11" t="s">
        <v>136</v>
      </c>
      <c r="E126" s="45">
        <v>44.84</v>
      </c>
      <c r="F126" s="28">
        <v>46089</v>
      </c>
    </row>
    <row r="127" spans="1:6">
      <c r="A127" s="11" t="s">
        <v>3961</v>
      </c>
      <c r="B127" s="11" t="s">
        <v>3002</v>
      </c>
      <c r="C127" s="11"/>
      <c r="D127" s="11" t="s">
        <v>136</v>
      </c>
      <c r="E127" s="45">
        <v>44.84</v>
      </c>
      <c r="F127" s="28">
        <v>46089</v>
      </c>
    </row>
    <row r="128" spans="1:6">
      <c r="A128" s="11" t="s">
        <v>3962</v>
      </c>
      <c r="B128" s="11" t="s">
        <v>3002</v>
      </c>
      <c r="C128" s="11"/>
      <c r="D128" s="11" t="s">
        <v>136</v>
      </c>
      <c r="E128" s="45">
        <v>44.84</v>
      </c>
      <c r="F128" s="28">
        <v>46089</v>
      </c>
    </row>
    <row r="129" spans="1:6">
      <c r="A129" s="11" t="s">
        <v>3963</v>
      </c>
      <c r="B129" s="11" t="s">
        <v>3002</v>
      </c>
      <c r="C129" s="11"/>
      <c r="D129" s="11" t="s">
        <v>136</v>
      </c>
      <c r="E129" s="45">
        <v>44.84</v>
      </c>
      <c r="F129" s="28">
        <v>46089</v>
      </c>
    </row>
    <row r="130" spans="1:6">
      <c r="A130" s="11" t="s">
        <v>3964</v>
      </c>
      <c r="B130" s="11" t="s">
        <v>3002</v>
      </c>
      <c r="C130" s="11"/>
      <c r="D130" s="11" t="s">
        <v>136</v>
      </c>
      <c r="E130" s="45">
        <v>44.84</v>
      </c>
      <c r="F130" s="28">
        <v>46089</v>
      </c>
    </row>
    <row r="131" spans="1:6">
      <c r="A131" s="11" t="s">
        <v>3965</v>
      </c>
      <c r="B131" s="11" t="s">
        <v>3005</v>
      </c>
      <c r="C131" s="11"/>
      <c r="D131" s="11" t="s">
        <v>140</v>
      </c>
      <c r="E131" s="45">
        <v>51.81</v>
      </c>
      <c r="F131" s="28">
        <v>46102</v>
      </c>
    </row>
    <row r="132" spans="1:6">
      <c r="A132" s="11" t="s">
        <v>3966</v>
      </c>
      <c r="B132" s="11" t="s">
        <v>3005</v>
      </c>
      <c r="C132" s="11"/>
      <c r="D132" s="11" t="s">
        <v>140</v>
      </c>
      <c r="E132" s="45">
        <v>51.81</v>
      </c>
      <c r="F132" s="28">
        <v>46102</v>
      </c>
    </row>
    <row r="133" spans="1:6">
      <c r="A133" s="11" t="s">
        <v>3967</v>
      </c>
      <c r="B133" s="11" t="s">
        <v>3005</v>
      </c>
      <c r="C133" s="11"/>
      <c r="D133" s="11" t="s">
        <v>140</v>
      </c>
      <c r="E133" s="45">
        <v>51.81</v>
      </c>
      <c r="F133" s="28">
        <v>46102</v>
      </c>
    </row>
    <row r="134" spans="1:6">
      <c r="A134" s="11" t="s">
        <v>3968</v>
      </c>
      <c r="B134" s="11" t="s">
        <v>3005</v>
      </c>
      <c r="C134" s="11"/>
      <c r="D134" s="11" t="s">
        <v>140</v>
      </c>
      <c r="E134" s="45">
        <v>51.81</v>
      </c>
      <c r="F134" s="28">
        <v>46102</v>
      </c>
    </row>
    <row r="135" spans="1:6">
      <c r="A135" s="11" t="s">
        <v>3969</v>
      </c>
      <c r="B135" s="11" t="s">
        <v>3005</v>
      </c>
      <c r="C135" s="11"/>
      <c r="D135" s="11" t="s">
        <v>140</v>
      </c>
      <c r="E135" s="45">
        <v>51.81</v>
      </c>
      <c r="F135" s="28">
        <v>46102</v>
      </c>
    </row>
    <row r="136" spans="1:6">
      <c r="A136" s="11" t="s">
        <v>3970</v>
      </c>
      <c r="B136" s="11" t="s">
        <v>3005</v>
      </c>
      <c r="C136" s="11"/>
      <c r="D136" s="11" t="s">
        <v>140</v>
      </c>
      <c r="E136" s="45">
        <v>51.83</v>
      </c>
      <c r="F136" s="28">
        <v>46102</v>
      </c>
    </row>
    <row r="137" spans="1:6">
      <c r="A137" s="11" t="s">
        <v>3971</v>
      </c>
      <c r="B137" s="11" t="s">
        <v>3008</v>
      </c>
      <c r="C137" s="11"/>
      <c r="D137" s="11" t="s">
        <v>141</v>
      </c>
      <c r="E137" s="45">
        <v>44.61</v>
      </c>
      <c r="F137" s="28">
        <v>46100</v>
      </c>
    </row>
    <row r="138" spans="1:6">
      <c r="A138" s="11" t="s">
        <v>3972</v>
      </c>
      <c r="B138" s="11" t="s">
        <v>3008</v>
      </c>
      <c r="C138" s="11"/>
      <c r="D138" s="11" t="s">
        <v>141</v>
      </c>
      <c r="E138" s="45">
        <v>44.61</v>
      </c>
      <c r="F138" s="28">
        <v>46100</v>
      </c>
    </row>
    <row r="139" spans="1:6">
      <c r="A139" s="11" t="s">
        <v>3973</v>
      </c>
      <c r="B139" s="11" t="s">
        <v>3008</v>
      </c>
      <c r="C139" s="11"/>
      <c r="D139" s="11" t="s">
        <v>141</v>
      </c>
      <c r="E139" s="45">
        <v>44.61</v>
      </c>
      <c r="F139" s="28">
        <v>46100</v>
      </c>
    </row>
    <row r="140" spans="1:6">
      <c r="A140" s="11" t="s">
        <v>3974</v>
      </c>
      <c r="B140" s="11" t="s">
        <v>3008</v>
      </c>
      <c r="C140" s="11"/>
      <c r="D140" s="11" t="s">
        <v>141</v>
      </c>
      <c r="E140" s="45">
        <v>44.61</v>
      </c>
      <c r="F140" s="28">
        <v>46100</v>
      </c>
    </row>
    <row r="141" spans="1:6">
      <c r="A141" s="11" t="s">
        <v>3975</v>
      </c>
      <c r="B141" s="11" t="s">
        <v>3008</v>
      </c>
      <c r="C141" s="11"/>
      <c r="D141" s="11" t="s">
        <v>141</v>
      </c>
      <c r="E141" s="45">
        <v>44.61</v>
      </c>
      <c r="F141" s="28">
        <v>46100</v>
      </c>
    </row>
    <row r="142" spans="1:6">
      <c r="A142" s="11" t="s">
        <v>3976</v>
      </c>
      <c r="B142" s="11" t="s">
        <v>3008</v>
      </c>
      <c r="C142" s="11"/>
      <c r="D142" s="11" t="s">
        <v>141</v>
      </c>
      <c r="E142" s="45">
        <v>44.6</v>
      </c>
      <c r="F142" s="28">
        <v>46100</v>
      </c>
    </row>
    <row r="143" spans="1:6">
      <c r="A143" s="11" t="s">
        <v>3977</v>
      </c>
      <c r="B143" s="11" t="s">
        <v>3011</v>
      </c>
      <c r="C143" s="11"/>
      <c r="D143" s="11" t="s">
        <v>148</v>
      </c>
      <c r="E143" s="45">
        <v>25.2</v>
      </c>
      <c r="F143" s="28">
        <v>46108</v>
      </c>
    </row>
    <row r="144" spans="1:6">
      <c r="A144" s="11" t="s">
        <v>3978</v>
      </c>
      <c r="B144" s="11" t="s">
        <v>3011</v>
      </c>
      <c r="C144" s="11"/>
      <c r="D144" s="11" t="s">
        <v>148</v>
      </c>
      <c r="E144" s="45">
        <v>25.2</v>
      </c>
      <c r="F144" s="28">
        <v>46108</v>
      </c>
    </row>
    <row r="145" spans="1:6">
      <c r="A145" s="11" t="s">
        <v>3979</v>
      </c>
      <c r="B145" s="11" t="s">
        <v>3011</v>
      </c>
      <c r="C145" s="11"/>
      <c r="D145" s="11" t="s">
        <v>148</v>
      </c>
      <c r="E145" s="45">
        <v>25.2</v>
      </c>
      <c r="F145" s="28">
        <v>46108</v>
      </c>
    </row>
    <row r="146" spans="1:6">
      <c r="A146" s="11" t="s">
        <v>3980</v>
      </c>
      <c r="B146" s="11" t="s">
        <v>3011</v>
      </c>
      <c r="C146" s="11"/>
      <c r="D146" s="11" t="s">
        <v>148</v>
      </c>
      <c r="E146" s="45">
        <v>25.2</v>
      </c>
      <c r="F146" s="28">
        <v>46108</v>
      </c>
    </row>
    <row r="147" spans="1:6">
      <c r="A147" s="11" t="s">
        <v>3981</v>
      </c>
      <c r="B147" s="11" t="s">
        <v>3011</v>
      </c>
      <c r="C147" s="11"/>
      <c r="D147" s="11" t="s">
        <v>148</v>
      </c>
      <c r="E147" s="45">
        <v>25.2</v>
      </c>
      <c r="F147" s="28">
        <v>46108</v>
      </c>
    </row>
    <row r="148" spans="1:6">
      <c r="A148" s="11" t="s">
        <v>3982</v>
      </c>
      <c r="B148" s="11" t="s">
        <v>3011</v>
      </c>
      <c r="C148" s="11"/>
      <c r="D148" s="11" t="s">
        <v>148</v>
      </c>
      <c r="E148" s="45">
        <v>25.19</v>
      </c>
      <c r="F148" s="28">
        <v>46108</v>
      </c>
    </row>
    <row r="149" spans="1:6">
      <c r="A149" s="11" t="s">
        <v>3983</v>
      </c>
      <c r="B149" s="11" t="s">
        <v>3014</v>
      </c>
      <c r="C149" s="11"/>
      <c r="D149" s="11" t="s">
        <v>117</v>
      </c>
      <c r="E149" s="45">
        <v>20.27</v>
      </c>
      <c r="F149" s="28">
        <v>46092</v>
      </c>
    </row>
    <row r="150" spans="1:6">
      <c r="A150" s="11" t="s">
        <v>3984</v>
      </c>
      <c r="B150" s="11" t="s">
        <v>3014</v>
      </c>
      <c r="C150" s="11"/>
      <c r="D150" s="11" t="s">
        <v>117</v>
      </c>
      <c r="E150" s="45">
        <v>20.27</v>
      </c>
      <c r="F150" s="28">
        <v>46092</v>
      </c>
    </row>
    <row r="151" spans="1:6">
      <c r="A151" s="11" t="s">
        <v>3985</v>
      </c>
      <c r="B151" s="11" t="s">
        <v>3014</v>
      </c>
      <c r="C151" s="11"/>
      <c r="D151" s="11" t="s">
        <v>117</v>
      </c>
      <c r="E151" s="45">
        <v>20.27</v>
      </c>
      <c r="F151" s="28">
        <v>46092</v>
      </c>
    </row>
    <row r="152" spans="1:6">
      <c r="A152" s="11" t="s">
        <v>3986</v>
      </c>
      <c r="B152" s="11" t="s">
        <v>3014</v>
      </c>
      <c r="C152" s="11"/>
      <c r="D152" s="11" t="s">
        <v>117</v>
      </c>
      <c r="E152" s="45">
        <v>20.27</v>
      </c>
      <c r="F152" s="28">
        <v>46092</v>
      </c>
    </row>
    <row r="153" spans="1:6">
      <c r="A153" s="11" t="s">
        <v>3987</v>
      </c>
      <c r="B153" s="11" t="s">
        <v>3014</v>
      </c>
      <c r="C153" s="11"/>
      <c r="D153" s="11" t="s">
        <v>117</v>
      </c>
      <c r="E153" s="45">
        <v>20.27</v>
      </c>
      <c r="F153" s="28">
        <v>46092</v>
      </c>
    </row>
    <row r="154" spans="1:6">
      <c r="A154" s="11" t="s">
        <v>3988</v>
      </c>
      <c r="B154" s="11" t="s">
        <v>3014</v>
      </c>
      <c r="C154" s="11"/>
      <c r="D154" s="11" t="s">
        <v>117</v>
      </c>
      <c r="E154" s="45">
        <v>20.3</v>
      </c>
      <c r="F154" s="28">
        <v>46092</v>
      </c>
    </row>
    <row r="155" spans="1:6">
      <c r="A155" s="11" t="s">
        <v>3989</v>
      </c>
      <c r="B155" s="11" t="s">
        <v>3017</v>
      </c>
      <c r="C155" s="11"/>
      <c r="D155" s="11" t="s">
        <v>144</v>
      </c>
      <c r="E155" s="45">
        <v>39.89</v>
      </c>
      <c r="F155" s="28">
        <v>46086</v>
      </c>
    </row>
    <row r="156" spans="1:6">
      <c r="A156" s="11" t="s">
        <v>3990</v>
      </c>
      <c r="B156" s="11" t="s">
        <v>3017</v>
      </c>
      <c r="C156" s="11"/>
      <c r="D156" s="11" t="s">
        <v>144</v>
      </c>
      <c r="E156" s="45">
        <v>39.89</v>
      </c>
      <c r="F156" s="28">
        <v>46086</v>
      </c>
    </row>
    <row r="157" spans="1:6">
      <c r="A157" s="11" t="s">
        <v>3991</v>
      </c>
      <c r="B157" s="11" t="s">
        <v>3017</v>
      </c>
      <c r="C157" s="11"/>
      <c r="D157" s="11" t="s">
        <v>144</v>
      </c>
      <c r="E157" s="45">
        <v>39.89</v>
      </c>
      <c r="F157" s="28">
        <v>46086</v>
      </c>
    </row>
    <row r="158" spans="1:6">
      <c r="A158" s="11" t="s">
        <v>3992</v>
      </c>
      <c r="B158" s="11" t="s">
        <v>3017</v>
      </c>
      <c r="C158" s="11"/>
      <c r="D158" s="11" t="s">
        <v>144</v>
      </c>
      <c r="E158" s="45">
        <v>39.89</v>
      </c>
      <c r="F158" s="28">
        <v>46086</v>
      </c>
    </row>
    <row r="159" spans="1:6">
      <c r="A159" s="11" t="s">
        <v>3993</v>
      </c>
      <c r="B159" s="11" t="s">
        <v>3017</v>
      </c>
      <c r="C159" s="11"/>
      <c r="D159" s="11" t="s">
        <v>144</v>
      </c>
      <c r="E159" s="45">
        <v>39.89</v>
      </c>
      <c r="F159" s="28">
        <v>46086</v>
      </c>
    </row>
    <row r="160" spans="1:6">
      <c r="A160" s="11" t="s">
        <v>3994</v>
      </c>
      <c r="B160" s="11" t="s">
        <v>3017</v>
      </c>
      <c r="C160" s="11"/>
      <c r="D160" s="11" t="s">
        <v>144</v>
      </c>
      <c r="E160" s="45">
        <v>39.86</v>
      </c>
      <c r="F160" s="28">
        <v>46086</v>
      </c>
    </row>
    <row r="161" spans="1:6">
      <c r="A161" s="11" t="s">
        <v>3995</v>
      </c>
      <c r="B161" s="11" t="s">
        <v>3020</v>
      </c>
      <c r="C161" s="11"/>
      <c r="D161" s="11" t="s">
        <v>145</v>
      </c>
      <c r="E161" s="45">
        <v>36.46</v>
      </c>
      <c r="F161" s="28">
        <v>46092</v>
      </c>
    </row>
    <row r="162" spans="1:6">
      <c r="A162" s="11" t="s">
        <v>3996</v>
      </c>
      <c r="B162" s="11" t="s">
        <v>3020</v>
      </c>
      <c r="C162" s="11"/>
      <c r="D162" s="11" t="s">
        <v>145</v>
      </c>
      <c r="E162" s="45">
        <v>36.46</v>
      </c>
      <c r="F162" s="28">
        <v>46092</v>
      </c>
    </row>
    <row r="163" spans="1:6">
      <c r="A163" s="11" t="s">
        <v>3997</v>
      </c>
      <c r="B163" s="11" t="s">
        <v>3020</v>
      </c>
      <c r="C163" s="11"/>
      <c r="D163" s="11" t="s">
        <v>145</v>
      </c>
      <c r="E163" s="45">
        <v>36.46</v>
      </c>
      <c r="F163" s="28">
        <v>46092</v>
      </c>
    </row>
    <row r="164" spans="1:6">
      <c r="A164" s="11" t="s">
        <v>3998</v>
      </c>
      <c r="B164" s="11" t="s">
        <v>3020</v>
      </c>
      <c r="C164" s="11"/>
      <c r="D164" s="11" t="s">
        <v>145</v>
      </c>
      <c r="E164" s="45">
        <v>36.46</v>
      </c>
      <c r="F164" s="28">
        <v>46092</v>
      </c>
    </row>
    <row r="165" spans="1:6">
      <c r="A165" s="11" t="s">
        <v>3999</v>
      </c>
      <c r="B165" s="11" t="s">
        <v>3020</v>
      </c>
      <c r="C165" s="11"/>
      <c r="D165" s="11" t="s">
        <v>145</v>
      </c>
      <c r="E165" s="45">
        <v>36.46</v>
      </c>
      <c r="F165" s="28">
        <v>46092</v>
      </c>
    </row>
    <row r="166" spans="1:6">
      <c r="A166" s="11" t="s">
        <v>4000</v>
      </c>
      <c r="B166" s="11" t="s">
        <v>3020</v>
      </c>
      <c r="C166" s="11"/>
      <c r="D166" s="11" t="s">
        <v>145</v>
      </c>
      <c r="E166" s="45">
        <v>36.44</v>
      </c>
      <c r="F166" s="28">
        <v>46092</v>
      </c>
    </row>
    <row r="167" spans="1:6">
      <c r="A167" s="11" t="s">
        <v>4001</v>
      </c>
      <c r="B167" s="11" t="s">
        <v>3023</v>
      </c>
      <c r="C167" s="11"/>
      <c r="D167" s="11" t="s">
        <v>146</v>
      </c>
      <c r="E167" s="45">
        <v>50.54</v>
      </c>
      <c r="F167" s="28">
        <v>46091</v>
      </c>
    </row>
    <row r="168" spans="1:6">
      <c r="A168" s="11" t="s">
        <v>4002</v>
      </c>
      <c r="B168" s="11" t="s">
        <v>3023</v>
      </c>
      <c r="C168" s="11"/>
      <c r="D168" s="11" t="s">
        <v>146</v>
      </c>
      <c r="E168" s="45">
        <v>50.54</v>
      </c>
      <c r="F168" s="28">
        <v>46091</v>
      </c>
    </row>
    <row r="169" spans="1:6">
      <c r="A169" s="11" t="s">
        <v>4003</v>
      </c>
      <c r="B169" s="11" t="s">
        <v>3023</v>
      </c>
      <c r="C169" s="11"/>
      <c r="D169" s="11" t="s">
        <v>146</v>
      </c>
      <c r="E169" s="45">
        <v>50.54</v>
      </c>
      <c r="F169" s="28">
        <v>46091</v>
      </c>
    </row>
    <row r="170" spans="1:6">
      <c r="A170" s="11" t="s">
        <v>4004</v>
      </c>
      <c r="B170" s="11" t="s">
        <v>3023</v>
      </c>
      <c r="C170" s="11"/>
      <c r="D170" s="11" t="s">
        <v>146</v>
      </c>
      <c r="E170" s="45">
        <v>50.54</v>
      </c>
      <c r="F170" s="28">
        <v>46091</v>
      </c>
    </row>
    <row r="171" spans="1:6">
      <c r="A171" s="11" t="s">
        <v>4005</v>
      </c>
      <c r="B171" s="11" t="s">
        <v>3023</v>
      </c>
      <c r="C171" s="11"/>
      <c r="D171" s="11" t="s">
        <v>146</v>
      </c>
      <c r="E171" s="45">
        <v>50.54</v>
      </c>
      <c r="F171" s="28">
        <v>46091</v>
      </c>
    </row>
    <row r="172" spans="1:6">
      <c r="A172" s="11" t="s">
        <v>4006</v>
      </c>
      <c r="B172" s="11" t="s">
        <v>3023</v>
      </c>
      <c r="C172" s="11"/>
      <c r="D172" s="11" t="s">
        <v>146</v>
      </c>
      <c r="E172" s="45">
        <v>50.52</v>
      </c>
      <c r="F172" s="28">
        <v>46091</v>
      </c>
    </row>
    <row r="173" spans="1:6">
      <c r="A173" s="11" t="s">
        <v>4007</v>
      </c>
      <c r="B173" s="11" t="s">
        <v>3026</v>
      </c>
      <c r="C173" s="11"/>
      <c r="D173" s="11" t="s">
        <v>93</v>
      </c>
      <c r="E173" s="45">
        <v>37.81</v>
      </c>
      <c r="F173" s="28">
        <v>46087</v>
      </c>
    </row>
    <row r="174" spans="1:6">
      <c r="A174" s="11" t="s">
        <v>4008</v>
      </c>
      <c r="B174" s="11" t="s">
        <v>3026</v>
      </c>
      <c r="C174" s="11"/>
      <c r="D174" s="11" t="s">
        <v>93</v>
      </c>
      <c r="E174" s="45">
        <v>37.81</v>
      </c>
      <c r="F174" s="28">
        <v>46087</v>
      </c>
    </row>
    <row r="175" spans="1:6">
      <c r="A175" s="11" t="s">
        <v>4009</v>
      </c>
      <c r="B175" s="11" t="s">
        <v>3026</v>
      </c>
      <c r="C175" s="11"/>
      <c r="D175" s="11" t="s">
        <v>93</v>
      </c>
      <c r="E175" s="45">
        <v>37.81</v>
      </c>
      <c r="F175" s="28">
        <v>46087</v>
      </c>
    </row>
    <row r="176" spans="1:6">
      <c r="A176" s="11" t="s">
        <v>4010</v>
      </c>
      <c r="B176" s="11" t="s">
        <v>3026</v>
      </c>
      <c r="C176" s="11"/>
      <c r="D176" s="11" t="s">
        <v>93</v>
      </c>
      <c r="E176" s="45">
        <v>37.81</v>
      </c>
      <c r="F176" s="28">
        <v>46087</v>
      </c>
    </row>
    <row r="177" spans="1:6">
      <c r="A177" s="11" t="s">
        <v>4011</v>
      </c>
      <c r="B177" s="11" t="s">
        <v>3026</v>
      </c>
      <c r="C177" s="11"/>
      <c r="D177" s="11" t="s">
        <v>93</v>
      </c>
      <c r="E177" s="45">
        <v>37.81</v>
      </c>
      <c r="F177" s="28">
        <v>46087</v>
      </c>
    </row>
    <row r="178" spans="1:6">
      <c r="A178" s="11" t="s">
        <v>4012</v>
      </c>
      <c r="B178" s="11" t="s">
        <v>3026</v>
      </c>
      <c r="C178" s="11"/>
      <c r="D178" s="11" t="s">
        <v>93</v>
      </c>
      <c r="E178" s="45">
        <v>37.81</v>
      </c>
      <c r="F178" s="28">
        <v>46087</v>
      </c>
    </row>
    <row r="179" spans="1:6">
      <c r="A179" s="11" t="s">
        <v>4013</v>
      </c>
      <c r="B179" s="11" t="s">
        <v>3029</v>
      </c>
      <c r="C179" s="11"/>
      <c r="D179" s="11" t="s">
        <v>96</v>
      </c>
      <c r="E179" s="45">
        <v>45.32</v>
      </c>
      <c r="F179" s="28">
        <v>46110</v>
      </c>
    </row>
    <row r="180" spans="1:6">
      <c r="A180" s="11" t="s">
        <v>4014</v>
      </c>
      <c r="B180" s="11" t="s">
        <v>3029</v>
      </c>
      <c r="C180" s="11"/>
      <c r="D180" s="11" t="s">
        <v>96</v>
      </c>
      <c r="E180" s="45">
        <v>45.32</v>
      </c>
      <c r="F180" s="28">
        <v>46110</v>
      </c>
    </row>
    <row r="181" spans="1:6">
      <c r="A181" s="11" t="s">
        <v>4015</v>
      </c>
      <c r="B181" s="11" t="s">
        <v>3029</v>
      </c>
      <c r="C181" s="11"/>
      <c r="D181" s="11" t="s">
        <v>96</v>
      </c>
      <c r="E181" s="45">
        <v>45.32</v>
      </c>
      <c r="F181" s="28">
        <v>46110</v>
      </c>
    </row>
    <row r="182" spans="1:6">
      <c r="A182" s="11" t="s">
        <v>4016</v>
      </c>
      <c r="B182" s="11" t="s">
        <v>3029</v>
      </c>
      <c r="C182" s="11"/>
      <c r="D182" s="11" t="s">
        <v>96</v>
      </c>
      <c r="E182" s="45">
        <v>45.32</v>
      </c>
      <c r="F182" s="28">
        <v>46110</v>
      </c>
    </row>
    <row r="183" spans="1:6">
      <c r="A183" s="11" t="s">
        <v>4017</v>
      </c>
      <c r="B183" s="11" t="s">
        <v>3029</v>
      </c>
      <c r="C183" s="11"/>
      <c r="D183" s="11" t="s">
        <v>96</v>
      </c>
      <c r="E183" s="45">
        <v>45.32</v>
      </c>
      <c r="F183" s="28">
        <v>46110</v>
      </c>
    </row>
    <row r="184" spans="1:6">
      <c r="A184" s="11" t="s">
        <v>4018</v>
      </c>
      <c r="B184" s="11" t="s">
        <v>3029</v>
      </c>
      <c r="C184" s="11"/>
      <c r="D184" s="11" t="s">
        <v>96</v>
      </c>
      <c r="E184" s="45">
        <v>45.32</v>
      </c>
      <c r="F184" s="28">
        <v>46110</v>
      </c>
    </row>
    <row r="185" spans="1:6">
      <c r="A185" s="11" t="s">
        <v>4019</v>
      </c>
      <c r="B185" s="11" t="s">
        <v>3032</v>
      </c>
      <c r="C185" s="11"/>
      <c r="D185" s="11" t="s">
        <v>99</v>
      </c>
      <c r="E185" s="45">
        <v>45</v>
      </c>
      <c r="F185" s="28">
        <v>46089</v>
      </c>
    </row>
    <row r="186" spans="1:6">
      <c r="A186" s="11" t="s">
        <v>4020</v>
      </c>
      <c r="B186" s="11" t="s">
        <v>3032</v>
      </c>
      <c r="C186" s="11"/>
      <c r="D186" s="11" t="s">
        <v>99</v>
      </c>
      <c r="E186" s="45">
        <v>45</v>
      </c>
      <c r="F186" s="28">
        <v>46089</v>
      </c>
    </row>
    <row r="187" spans="1:6">
      <c r="A187" s="11" t="s">
        <v>4021</v>
      </c>
      <c r="B187" s="11" t="s">
        <v>3032</v>
      </c>
      <c r="C187" s="11"/>
      <c r="D187" s="11" t="s">
        <v>99</v>
      </c>
      <c r="E187" s="45">
        <v>45</v>
      </c>
      <c r="F187" s="28">
        <v>46089</v>
      </c>
    </row>
    <row r="188" spans="1:6">
      <c r="A188" s="11" t="s">
        <v>4022</v>
      </c>
      <c r="B188" s="11" t="s">
        <v>3032</v>
      </c>
      <c r="C188" s="11"/>
      <c r="D188" s="11" t="s">
        <v>99</v>
      </c>
      <c r="E188" s="45">
        <v>45</v>
      </c>
      <c r="F188" s="28">
        <v>46089</v>
      </c>
    </row>
    <row r="189" spans="1:6">
      <c r="A189" s="11" t="s">
        <v>4023</v>
      </c>
      <c r="B189" s="11" t="s">
        <v>3032</v>
      </c>
      <c r="C189" s="11"/>
      <c r="D189" s="11" t="s">
        <v>99</v>
      </c>
      <c r="E189" s="45">
        <v>45</v>
      </c>
      <c r="F189" s="28">
        <v>46089</v>
      </c>
    </row>
    <row r="190" spans="1:6">
      <c r="A190" s="11" t="s">
        <v>4024</v>
      </c>
      <c r="B190" s="11" t="s">
        <v>3032</v>
      </c>
      <c r="C190" s="11"/>
      <c r="D190" s="11" t="s">
        <v>99</v>
      </c>
      <c r="E190" s="45">
        <v>45.02</v>
      </c>
      <c r="F190" s="28">
        <v>46089</v>
      </c>
    </row>
    <row r="191" spans="1:6">
      <c r="A191" s="11" t="s">
        <v>4025</v>
      </c>
      <c r="B191" s="11" t="s">
        <v>3035</v>
      </c>
      <c r="C191" s="11"/>
      <c r="D191" s="11" t="s">
        <v>102</v>
      </c>
      <c r="E191" s="45">
        <v>39.46</v>
      </c>
      <c r="F191" s="28">
        <v>46110</v>
      </c>
    </row>
    <row r="192" spans="1:6">
      <c r="A192" s="11" t="s">
        <v>4026</v>
      </c>
      <c r="B192" s="11" t="s">
        <v>3035</v>
      </c>
      <c r="C192" s="11"/>
      <c r="D192" s="11" t="s">
        <v>102</v>
      </c>
      <c r="E192" s="45">
        <v>39.46</v>
      </c>
      <c r="F192" s="28">
        <v>46110</v>
      </c>
    </row>
    <row r="193" spans="1:6">
      <c r="A193" s="11" t="s">
        <v>4027</v>
      </c>
      <c r="B193" s="11" t="s">
        <v>3035</v>
      </c>
      <c r="C193" s="11"/>
      <c r="D193" s="11" t="s">
        <v>102</v>
      </c>
      <c r="E193" s="45">
        <v>39.46</v>
      </c>
      <c r="F193" s="28">
        <v>46110</v>
      </c>
    </row>
    <row r="194" spans="1:6">
      <c r="A194" s="11" t="s">
        <v>4028</v>
      </c>
      <c r="B194" s="11" t="s">
        <v>3035</v>
      </c>
      <c r="C194" s="11"/>
      <c r="D194" s="11" t="s">
        <v>102</v>
      </c>
      <c r="E194" s="45">
        <v>39.46</v>
      </c>
      <c r="F194" s="28">
        <v>46110</v>
      </c>
    </row>
    <row r="195" spans="1:6">
      <c r="A195" s="11" t="s">
        <v>4029</v>
      </c>
      <c r="B195" s="11" t="s">
        <v>3035</v>
      </c>
      <c r="C195" s="11"/>
      <c r="D195" s="11" t="s">
        <v>102</v>
      </c>
      <c r="E195" s="45">
        <v>39.46</v>
      </c>
      <c r="F195" s="28">
        <v>46110</v>
      </c>
    </row>
    <row r="196" spans="1:6">
      <c r="A196" s="11" t="s">
        <v>4030</v>
      </c>
      <c r="B196" s="11" t="s">
        <v>3035</v>
      </c>
      <c r="C196" s="11"/>
      <c r="D196" s="11" t="s">
        <v>102</v>
      </c>
      <c r="E196" s="45">
        <v>39.47</v>
      </c>
      <c r="F196" s="28">
        <v>46110</v>
      </c>
    </row>
    <row r="197" spans="1:6">
      <c r="A197" s="11" t="s">
        <v>4031</v>
      </c>
      <c r="B197" s="11" t="s">
        <v>3038</v>
      </c>
      <c r="C197" s="11"/>
      <c r="D197" s="11" t="s">
        <v>105</v>
      </c>
      <c r="E197" s="45">
        <v>51.46</v>
      </c>
      <c r="F197" s="28">
        <v>46087</v>
      </c>
    </row>
    <row r="198" spans="1:6">
      <c r="A198" s="11" t="s">
        <v>4032</v>
      </c>
      <c r="B198" s="11" t="s">
        <v>3038</v>
      </c>
      <c r="C198" s="11"/>
      <c r="D198" s="11" t="s">
        <v>105</v>
      </c>
      <c r="E198" s="45">
        <v>51.46</v>
      </c>
      <c r="F198" s="28">
        <v>46087</v>
      </c>
    </row>
    <row r="199" spans="1:6">
      <c r="A199" s="11" t="s">
        <v>4033</v>
      </c>
      <c r="B199" s="11" t="s">
        <v>3038</v>
      </c>
      <c r="C199" s="11"/>
      <c r="D199" s="11" t="s">
        <v>105</v>
      </c>
      <c r="E199" s="45">
        <v>51.46</v>
      </c>
      <c r="F199" s="28">
        <v>46087</v>
      </c>
    </row>
    <row r="200" spans="1:6">
      <c r="A200" s="11" t="s">
        <v>4034</v>
      </c>
      <c r="B200" s="11" t="s">
        <v>3038</v>
      </c>
      <c r="C200" s="11"/>
      <c r="D200" s="11" t="s">
        <v>105</v>
      </c>
      <c r="E200" s="45">
        <v>51.46</v>
      </c>
      <c r="F200" s="28">
        <v>46087</v>
      </c>
    </row>
    <row r="201" spans="1:6">
      <c r="A201" s="11" t="s">
        <v>4035</v>
      </c>
      <c r="B201" s="11" t="s">
        <v>3038</v>
      </c>
      <c r="C201" s="11"/>
      <c r="D201" s="11" t="s">
        <v>105</v>
      </c>
      <c r="E201" s="45">
        <v>51.46</v>
      </c>
      <c r="F201" s="28">
        <v>46087</v>
      </c>
    </row>
    <row r="202" spans="1:6">
      <c r="A202" s="11" t="s">
        <v>4036</v>
      </c>
      <c r="B202" s="11" t="s">
        <v>3038</v>
      </c>
      <c r="C202" s="11"/>
      <c r="D202" s="11" t="s">
        <v>105</v>
      </c>
      <c r="E202" s="45">
        <v>51.45</v>
      </c>
      <c r="F202" s="28">
        <v>46087</v>
      </c>
    </row>
    <row r="203" spans="1:6">
      <c r="A203" s="11" t="s">
        <v>4037</v>
      </c>
      <c r="B203" s="11" t="s">
        <v>3041</v>
      </c>
      <c r="C203" s="11"/>
      <c r="D203" s="11" t="s">
        <v>107</v>
      </c>
      <c r="E203" s="45">
        <v>52.13</v>
      </c>
      <c r="F203" s="28">
        <v>46087</v>
      </c>
    </row>
    <row r="204" spans="1:6">
      <c r="A204" s="11" t="s">
        <v>4038</v>
      </c>
      <c r="B204" s="11" t="s">
        <v>3041</v>
      </c>
      <c r="C204" s="11"/>
      <c r="D204" s="11" t="s">
        <v>107</v>
      </c>
      <c r="E204" s="45">
        <v>52.13</v>
      </c>
      <c r="F204" s="28">
        <v>46087</v>
      </c>
    </row>
    <row r="205" spans="1:6">
      <c r="A205" s="11" t="s">
        <v>4039</v>
      </c>
      <c r="B205" s="11" t="s">
        <v>3041</v>
      </c>
      <c r="C205" s="11"/>
      <c r="D205" s="11" t="s">
        <v>107</v>
      </c>
      <c r="E205" s="45">
        <v>52.13</v>
      </c>
      <c r="F205" s="28">
        <v>46087</v>
      </c>
    </row>
    <row r="206" spans="1:6">
      <c r="A206" s="11" t="s">
        <v>4040</v>
      </c>
      <c r="B206" s="11" t="s">
        <v>3041</v>
      </c>
      <c r="C206" s="11"/>
      <c r="D206" s="11" t="s">
        <v>107</v>
      </c>
      <c r="E206" s="45">
        <v>52.13</v>
      </c>
      <c r="F206" s="28">
        <v>46087</v>
      </c>
    </row>
    <row r="207" spans="1:6">
      <c r="A207" s="11" t="s">
        <v>4041</v>
      </c>
      <c r="B207" s="11" t="s">
        <v>3041</v>
      </c>
      <c r="C207" s="11"/>
      <c r="D207" s="11" t="s">
        <v>107</v>
      </c>
      <c r="E207" s="45">
        <v>52.13</v>
      </c>
      <c r="F207" s="28">
        <v>46087</v>
      </c>
    </row>
    <row r="208" spans="1:6">
      <c r="A208" s="11" t="s">
        <v>4042</v>
      </c>
      <c r="B208" s="11" t="s">
        <v>3041</v>
      </c>
      <c r="C208" s="11"/>
      <c r="D208" s="11" t="s">
        <v>107</v>
      </c>
      <c r="E208" s="45">
        <v>52.13</v>
      </c>
      <c r="F208" s="28">
        <v>46087</v>
      </c>
    </row>
    <row r="209" spans="1:6">
      <c r="A209" s="11" t="s">
        <v>4043</v>
      </c>
      <c r="B209" s="11" t="s">
        <v>3044</v>
      </c>
      <c r="C209" s="11"/>
      <c r="D209" s="11" t="s">
        <v>109</v>
      </c>
      <c r="E209" s="45">
        <v>44.36</v>
      </c>
      <c r="F209" s="28">
        <v>46100</v>
      </c>
    </row>
    <row r="210" spans="1:6">
      <c r="A210" s="11" t="s">
        <v>4044</v>
      </c>
      <c r="B210" s="11" t="s">
        <v>3044</v>
      </c>
      <c r="C210" s="11"/>
      <c r="D210" s="11" t="s">
        <v>109</v>
      </c>
      <c r="E210" s="45">
        <v>44.36</v>
      </c>
      <c r="F210" s="28">
        <v>46100</v>
      </c>
    </row>
    <row r="211" spans="1:6">
      <c r="A211" s="11" t="s">
        <v>4045</v>
      </c>
      <c r="B211" s="11" t="s">
        <v>3044</v>
      </c>
      <c r="C211" s="11"/>
      <c r="D211" s="11" t="s">
        <v>109</v>
      </c>
      <c r="E211" s="45">
        <v>44.36</v>
      </c>
      <c r="F211" s="28">
        <v>46100</v>
      </c>
    </row>
    <row r="212" spans="1:6">
      <c r="A212" s="11" t="s">
        <v>4046</v>
      </c>
      <c r="B212" s="11" t="s">
        <v>3044</v>
      </c>
      <c r="C212" s="11"/>
      <c r="D212" s="11" t="s">
        <v>109</v>
      </c>
      <c r="E212" s="45">
        <v>44.36</v>
      </c>
      <c r="F212" s="28">
        <v>46100</v>
      </c>
    </row>
    <row r="213" spans="1:6">
      <c r="A213" s="11" t="s">
        <v>4047</v>
      </c>
      <c r="B213" s="11" t="s">
        <v>3044</v>
      </c>
      <c r="C213" s="11"/>
      <c r="D213" s="11" t="s">
        <v>109</v>
      </c>
      <c r="E213" s="45">
        <v>44.36</v>
      </c>
      <c r="F213" s="28">
        <v>46100</v>
      </c>
    </row>
    <row r="214" spans="1:6">
      <c r="A214" s="11" t="s">
        <v>4048</v>
      </c>
      <c r="B214" s="11" t="s">
        <v>3044</v>
      </c>
      <c r="C214" s="11"/>
      <c r="D214" s="11" t="s">
        <v>109</v>
      </c>
      <c r="E214" s="45">
        <v>44.36</v>
      </c>
      <c r="F214" s="28">
        <v>46100</v>
      </c>
    </row>
    <row r="215" spans="1:6">
      <c r="A215" s="11" t="s">
        <v>4049</v>
      </c>
      <c r="B215" s="11" t="s">
        <v>3047</v>
      </c>
      <c r="C215" s="11"/>
      <c r="D215" s="11" t="s">
        <v>120</v>
      </c>
      <c r="E215" s="45">
        <v>37.229999999999997</v>
      </c>
      <c r="F215" s="28">
        <v>46100</v>
      </c>
    </row>
    <row r="216" spans="1:6">
      <c r="A216" s="11" t="s">
        <v>4050</v>
      </c>
      <c r="B216" s="11" t="s">
        <v>3047</v>
      </c>
      <c r="C216" s="11"/>
      <c r="D216" s="11" t="s">
        <v>120</v>
      </c>
      <c r="E216" s="45">
        <v>37.229999999999997</v>
      </c>
      <c r="F216" s="28">
        <v>46100</v>
      </c>
    </row>
    <row r="217" spans="1:6">
      <c r="A217" s="11" t="s">
        <v>4051</v>
      </c>
      <c r="B217" s="11" t="s">
        <v>3047</v>
      </c>
      <c r="C217" s="11"/>
      <c r="D217" s="11" t="s">
        <v>120</v>
      </c>
      <c r="E217" s="45">
        <v>37.229999999999997</v>
      </c>
      <c r="F217" s="28">
        <v>46100</v>
      </c>
    </row>
    <row r="218" spans="1:6">
      <c r="A218" s="11" t="s">
        <v>4052</v>
      </c>
      <c r="B218" s="11" t="s">
        <v>3047</v>
      </c>
      <c r="C218" s="11"/>
      <c r="D218" s="11" t="s">
        <v>120</v>
      </c>
      <c r="E218" s="45">
        <v>37.229999999999997</v>
      </c>
      <c r="F218" s="28">
        <v>46100</v>
      </c>
    </row>
    <row r="219" spans="1:6">
      <c r="A219" s="11" t="s">
        <v>4053</v>
      </c>
      <c r="B219" s="11" t="s">
        <v>3047</v>
      </c>
      <c r="C219" s="11"/>
      <c r="D219" s="11" t="s">
        <v>120</v>
      </c>
      <c r="E219" s="45">
        <v>37.229999999999997</v>
      </c>
      <c r="F219" s="28">
        <v>46100</v>
      </c>
    </row>
    <row r="220" spans="1:6">
      <c r="A220" s="11" t="s">
        <v>4054</v>
      </c>
      <c r="B220" s="11" t="s">
        <v>3047</v>
      </c>
      <c r="C220" s="11"/>
      <c r="D220" s="11" t="s">
        <v>120</v>
      </c>
      <c r="E220" s="45">
        <v>37.24</v>
      </c>
      <c r="F220" s="28">
        <v>46100</v>
      </c>
    </row>
    <row r="221" spans="1:6">
      <c r="A221" s="11" t="s">
        <v>4055</v>
      </c>
      <c r="B221" s="11" t="s">
        <v>3050</v>
      </c>
      <c r="C221" s="11"/>
      <c r="D221" s="11" t="s">
        <v>121</v>
      </c>
      <c r="E221" s="45">
        <v>46.67</v>
      </c>
      <c r="F221" s="28">
        <v>46090</v>
      </c>
    </row>
    <row r="222" spans="1:6">
      <c r="A222" s="11" t="s">
        <v>4056</v>
      </c>
      <c r="B222" s="11" t="s">
        <v>3050</v>
      </c>
      <c r="C222" s="11"/>
      <c r="D222" s="11" t="s">
        <v>121</v>
      </c>
      <c r="E222" s="45">
        <v>46.67</v>
      </c>
      <c r="F222" s="28">
        <v>46090</v>
      </c>
    </row>
    <row r="223" spans="1:6">
      <c r="A223" s="11" t="s">
        <v>4057</v>
      </c>
      <c r="B223" s="11" t="s">
        <v>3050</v>
      </c>
      <c r="C223" s="11"/>
      <c r="D223" s="11" t="s">
        <v>121</v>
      </c>
      <c r="E223" s="45">
        <v>46.67</v>
      </c>
      <c r="F223" s="28">
        <v>46090</v>
      </c>
    </row>
    <row r="224" spans="1:6">
      <c r="A224" s="11" t="s">
        <v>4058</v>
      </c>
      <c r="B224" s="11" t="s">
        <v>3050</v>
      </c>
      <c r="C224" s="11"/>
      <c r="D224" s="11" t="s">
        <v>121</v>
      </c>
      <c r="E224" s="45">
        <v>46.67</v>
      </c>
      <c r="F224" s="28">
        <v>46090</v>
      </c>
    </row>
    <row r="225" spans="1:6">
      <c r="A225" s="11" t="s">
        <v>4059</v>
      </c>
      <c r="B225" s="11" t="s">
        <v>3050</v>
      </c>
      <c r="C225" s="11"/>
      <c r="D225" s="11" t="s">
        <v>121</v>
      </c>
      <c r="E225" s="45">
        <v>46.67</v>
      </c>
      <c r="F225" s="28">
        <v>46090</v>
      </c>
    </row>
    <row r="226" spans="1:6">
      <c r="A226" s="11" t="s">
        <v>4060</v>
      </c>
      <c r="B226" s="11" t="s">
        <v>3050</v>
      </c>
      <c r="C226" s="11"/>
      <c r="D226" s="11" t="s">
        <v>121</v>
      </c>
      <c r="E226" s="45">
        <v>46.69</v>
      </c>
      <c r="F226" s="28">
        <v>46090</v>
      </c>
    </row>
    <row r="227" spans="1:6">
      <c r="A227" s="11" t="s">
        <v>4061</v>
      </c>
      <c r="B227" s="11" t="s">
        <v>3053</v>
      </c>
      <c r="C227" s="11"/>
      <c r="D227" s="11" t="s">
        <v>122</v>
      </c>
      <c r="E227" s="45">
        <v>51.68</v>
      </c>
      <c r="F227" s="28">
        <v>46101</v>
      </c>
    </row>
    <row r="228" spans="1:6">
      <c r="A228" s="11" t="s">
        <v>4062</v>
      </c>
      <c r="B228" s="11" t="s">
        <v>3053</v>
      </c>
      <c r="C228" s="11"/>
      <c r="D228" s="11" t="s">
        <v>122</v>
      </c>
      <c r="E228" s="45">
        <v>51.68</v>
      </c>
      <c r="F228" s="28">
        <v>46101</v>
      </c>
    </row>
    <row r="229" spans="1:6">
      <c r="A229" s="11" t="s">
        <v>4063</v>
      </c>
      <c r="B229" s="11" t="s">
        <v>3053</v>
      </c>
      <c r="C229" s="11"/>
      <c r="D229" s="11" t="s">
        <v>122</v>
      </c>
      <c r="E229" s="45">
        <v>51.68</v>
      </c>
      <c r="F229" s="28">
        <v>46101</v>
      </c>
    </row>
    <row r="230" spans="1:6">
      <c r="A230" s="11" t="s">
        <v>4064</v>
      </c>
      <c r="B230" s="11" t="s">
        <v>3053</v>
      </c>
      <c r="C230" s="11"/>
      <c r="D230" s="11" t="s">
        <v>122</v>
      </c>
      <c r="E230" s="45">
        <v>51.68</v>
      </c>
      <c r="F230" s="28">
        <v>46101</v>
      </c>
    </row>
    <row r="231" spans="1:6">
      <c r="A231" s="11" t="s">
        <v>4065</v>
      </c>
      <c r="B231" s="11" t="s">
        <v>3053</v>
      </c>
      <c r="C231" s="11"/>
      <c r="D231" s="11" t="s">
        <v>122</v>
      </c>
      <c r="E231" s="45">
        <v>51.68</v>
      </c>
      <c r="F231" s="28">
        <v>46101</v>
      </c>
    </row>
    <row r="232" spans="1:6">
      <c r="A232" s="11" t="s">
        <v>4066</v>
      </c>
      <c r="B232" s="11" t="s">
        <v>3053</v>
      </c>
      <c r="C232" s="11"/>
      <c r="D232" s="11" t="s">
        <v>122</v>
      </c>
      <c r="E232" s="45">
        <v>51.69</v>
      </c>
      <c r="F232" s="28">
        <v>46101</v>
      </c>
    </row>
    <row r="233" spans="1:6">
      <c r="A233" s="11" t="s">
        <v>4067</v>
      </c>
      <c r="B233" s="11" t="s">
        <v>3056</v>
      </c>
      <c r="C233" s="11"/>
      <c r="D233" s="11" t="s">
        <v>123</v>
      </c>
      <c r="E233" s="45">
        <v>48.22</v>
      </c>
      <c r="F233" s="28">
        <v>46099</v>
      </c>
    </row>
    <row r="234" spans="1:6">
      <c r="A234" s="11" t="s">
        <v>4068</v>
      </c>
      <c r="B234" s="11" t="s">
        <v>3056</v>
      </c>
      <c r="C234" s="11"/>
      <c r="D234" s="11" t="s">
        <v>123</v>
      </c>
      <c r="E234" s="45">
        <v>48.22</v>
      </c>
      <c r="F234" s="28">
        <v>46099</v>
      </c>
    </row>
    <row r="235" spans="1:6">
      <c r="A235" s="11" t="s">
        <v>4069</v>
      </c>
      <c r="B235" s="11" t="s">
        <v>3056</v>
      </c>
      <c r="C235" s="11"/>
      <c r="D235" s="11" t="s">
        <v>123</v>
      </c>
      <c r="E235" s="45">
        <v>48.22</v>
      </c>
      <c r="F235" s="28">
        <v>46099</v>
      </c>
    </row>
    <row r="236" spans="1:6">
      <c r="A236" s="11" t="s">
        <v>4070</v>
      </c>
      <c r="B236" s="11" t="s">
        <v>3056</v>
      </c>
      <c r="C236" s="11"/>
      <c r="D236" s="11" t="s">
        <v>123</v>
      </c>
      <c r="E236" s="45">
        <v>48.22</v>
      </c>
      <c r="F236" s="28">
        <v>46099</v>
      </c>
    </row>
    <row r="237" spans="1:6">
      <c r="A237" s="11" t="s">
        <v>4071</v>
      </c>
      <c r="B237" s="11" t="s">
        <v>3056</v>
      </c>
      <c r="C237" s="11"/>
      <c r="D237" s="11" t="s">
        <v>123</v>
      </c>
      <c r="E237" s="45">
        <v>48.22</v>
      </c>
      <c r="F237" s="28">
        <v>46099</v>
      </c>
    </row>
    <row r="238" spans="1:6">
      <c r="A238" s="11" t="s">
        <v>4072</v>
      </c>
      <c r="B238" s="11" t="s">
        <v>3056</v>
      </c>
      <c r="C238" s="11"/>
      <c r="D238" s="11" t="s">
        <v>123</v>
      </c>
      <c r="E238" s="45">
        <v>48.24</v>
      </c>
      <c r="F238" s="28">
        <v>46099</v>
      </c>
    </row>
    <row r="239" spans="1:6">
      <c r="A239" s="11" t="s">
        <v>4073</v>
      </c>
      <c r="B239" s="11" t="s">
        <v>3059</v>
      </c>
      <c r="C239" s="11"/>
      <c r="D239" s="11" t="s">
        <v>124</v>
      </c>
      <c r="E239" s="45">
        <v>44.72</v>
      </c>
      <c r="F239" s="28">
        <v>46099</v>
      </c>
    </row>
    <row r="240" spans="1:6">
      <c r="A240" s="11" t="s">
        <v>4074</v>
      </c>
      <c r="B240" s="11" t="s">
        <v>3059</v>
      </c>
      <c r="C240" s="11"/>
      <c r="D240" s="11" t="s">
        <v>124</v>
      </c>
      <c r="E240" s="45">
        <v>44.72</v>
      </c>
      <c r="F240" s="28">
        <v>46099</v>
      </c>
    </row>
    <row r="241" spans="1:6">
      <c r="A241" s="11" t="s">
        <v>4075</v>
      </c>
      <c r="B241" s="11" t="s">
        <v>3059</v>
      </c>
      <c r="C241" s="11"/>
      <c r="D241" s="11" t="s">
        <v>124</v>
      </c>
      <c r="E241" s="45">
        <v>44.72</v>
      </c>
      <c r="F241" s="28">
        <v>46099</v>
      </c>
    </row>
    <row r="242" spans="1:6">
      <c r="A242" s="11" t="s">
        <v>4076</v>
      </c>
      <c r="B242" s="11" t="s">
        <v>3059</v>
      </c>
      <c r="C242" s="11"/>
      <c r="D242" s="11" t="s">
        <v>124</v>
      </c>
      <c r="E242" s="45">
        <v>44.72</v>
      </c>
      <c r="F242" s="28">
        <v>46099</v>
      </c>
    </row>
    <row r="243" spans="1:6">
      <c r="A243" s="11" t="s">
        <v>4077</v>
      </c>
      <c r="B243" s="11" t="s">
        <v>3059</v>
      </c>
      <c r="C243" s="11"/>
      <c r="D243" s="11" t="s">
        <v>124</v>
      </c>
      <c r="E243" s="45">
        <v>44.72</v>
      </c>
      <c r="F243" s="28">
        <v>46099</v>
      </c>
    </row>
    <row r="244" spans="1:6">
      <c r="A244" s="11" t="s">
        <v>4078</v>
      </c>
      <c r="B244" s="11" t="s">
        <v>3059</v>
      </c>
      <c r="C244" s="11"/>
      <c r="D244" s="11" t="s">
        <v>124</v>
      </c>
      <c r="E244" s="45">
        <v>44.71</v>
      </c>
      <c r="F244" s="28">
        <v>46099</v>
      </c>
    </row>
    <row r="245" spans="1:6">
      <c r="A245" s="11" t="s">
        <v>4079</v>
      </c>
      <c r="B245" s="11" t="s">
        <v>3062</v>
      </c>
      <c r="C245" s="11"/>
      <c r="D245" s="11" t="s">
        <v>125</v>
      </c>
      <c r="E245" s="45">
        <v>52.58</v>
      </c>
      <c r="F245" s="28">
        <v>46085</v>
      </c>
    </row>
    <row r="246" spans="1:6">
      <c r="A246" s="11" t="s">
        <v>4080</v>
      </c>
      <c r="B246" s="11" t="s">
        <v>3062</v>
      </c>
      <c r="C246" s="11"/>
      <c r="D246" s="11" t="s">
        <v>125</v>
      </c>
      <c r="E246" s="45">
        <v>52.58</v>
      </c>
      <c r="F246" s="28">
        <v>46085</v>
      </c>
    </row>
    <row r="247" spans="1:6">
      <c r="A247" s="11" t="s">
        <v>4081</v>
      </c>
      <c r="B247" s="11" t="s">
        <v>3062</v>
      </c>
      <c r="C247" s="11"/>
      <c r="D247" s="11" t="s">
        <v>125</v>
      </c>
      <c r="E247" s="45">
        <v>52.58</v>
      </c>
      <c r="F247" s="28">
        <v>46085</v>
      </c>
    </row>
    <row r="248" spans="1:6">
      <c r="A248" s="11" t="s">
        <v>4082</v>
      </c>
      <c r="B248" s="11" t="s">
        <v>3062</v>
      </c>
      <c r="C248" s="11"/>
      <c r="D248" s="11" t="s">
        <v>125</v>
      </c>
      <c r="E248" s="45">
        <v>52.58</v>
      </c>
      <c r="F248" s="28">
        <v>46085</v>
      </c>
    </row>
    <row r="249" spans="1:6">
      <c r="A249" s="11" t="s">
        <v>4083</v>
      </c>
      <c r="B249" s="11" t="s">
        <v>3062</v>
      </c>
      <c r="C249" s="11"/>
      <c r="D249" s="11" t="s">
        <v>125</v>
      </c>
      <c r="E249" s="45">
        <v>52.58</v>
      </c>
      <c r="F249" s="28">
        <v>46085</v>
      </c>
    </row>
    <row r="250" spans="1:6">
      <c r="A250" s="11" t="s">
        <v>4084</v>
      </c>
      <c r="B250" s="11" t="s">
        <v>3062</v>
      </c>
      <c r="C250" s="11"/>
      <c r="D250" s="11" t="s">
        <v>125</v>
      </c>
      <c r="E250" s="45">
        <v>52.55</v>
      </c>
      <c r="F250" s="28">
        <v>46085</v>
      </c>
    </row>
    <row r="251" spans="1:6">
      <c r="A251" s="11" t="s">
        <v>4085</v>
      </c>
      <c r="B251" s="11" t="s">
        <v>3065</v>
      </c>
      <c r="C251" s="11"/>
      <c r="D251" s="11" t="s">
        <v>127</v>
      </c>
      <c r="E251" s="45">
        <v>29.96</v>
      </c>
      <c r="F251" s="28">
        <v>46093</v>
      </c>
    </row>
    <row r="252" spans="1:6">
      <c r="A252" s="11" t="s">
        <v>4086</v>
      </c>
      <c r="B252" s="11" t="s">
        <v>3065</v>
      </c>
      <c r="C252" s="11"/>
      <c r="D252" s="11" t="s">
        <v>127</v>
      </c>
      <c r="E252" s="45">
        <v>29.96</v>
      </c>
      <c r="F252" s="28">
        <v>46093</v>
      </c>
    </row>
    <row r="253" spans="1:6">
      <c r="A253" s="11" t="s">
        <v>4087</v>
      </c>
      <c r="B253" s="11" t="s">
        <v>3065</v>
      </c>
      <c r="C253" s="11"/>
      <c r="D253" s="11" t="s">
        <v>127</v>
      </c>
      <c r="E253" s="45">
        <v>29.96</v>
      </c>
      <c r="F253" s="28">
        <v>46093</v>
      </c>
    </row>
    <row r="254" spans="1:6">
      <c r="A254" s="11" t="s">
        <v>4088</v>
      </c>
      <c r="B254" s="11" t="s">
        <v>3065</v>
      </c>
      <c r="C254" s="11"/>
      <c r="D254" s="11" t="s">
        <v>127</v>
      </c>
      <c r="E254" s="45">
        <v>29.96</v>
      </c>
      <c r="F254" s="28">
        <v>46093</v>
      </c>
    </row>
    <row r="255" spans="1:6">
      <c r="A255" s="11" t="s">
        <v>4089</v>
      </c>
      <c r="B255" s="11" t="s">
        <v>3065</v>
      </c>
      <c r="C255" s="11"/>
      <c r="D255" s="11" t="s">
        <v>127</v>
      </c>
      <c r="E255" s="45">
        <v>29.96</v>
      </c>
      <c r="F255" s="28">
        <v>46093</v>
      </c>
    </row>
    <row r="256" spans="1:6">
      <c r="A256" s="11" t="s">
        <v>4090</v>
      </c>
      <c r="B256" s="11" t="s">
        <v>3065</v>
      </c>
      <c r="C256" s="11"/>
      <c r="D256" s="11" t="s">
        <v>127</v>
      </c>
      <c r="E256" s="45">
        <v>29.94</v>
      </c>
      <c r="F256" s="28">
        <v>46093</v>
      </c>
    </row>
    <row r="257" spans="1:6">
      <c r="A257" s="11" t="s">
        <v>4091</v>
      </c>
      <c r="B257" s="11" t="s">
        <v>3068</v>
      </c>
      <c r="C257" s="11"/>
      <c r="D257" s="11" t="s">
        <v>130</v>
      </c>
      <c r="E257" s="45">
        <v>39.79</v>
      </c>
      <c r="F257" s="28">
        <v>46109</v>
      </c>
    </row>
    <row r="258" spans="1:6">
      <c r="A258" s="11" t="s">
        <v>4092</v>
      </c>
      <c r="B258" s="11" t="s">
        <v>3068</v>
      </c>
      <c r="C258" s="11"/>
      <c r="D258" s="11" t="s">
        <v>130</v>
      </c>
      <c r="E258" s="45">
        <v>39.79</v>
      </c>
      <c r="F258" s="28">
        <v>46109</v>
      </c>
    </row>
    <row r="259" spans="1:6">
      <c r="A259" s="11" t="s">
        <v>4093</v>
      </c>
      <c r="B259" s="11" t="s">
        <v>3068</v>
      </c>
      <c r="C259" s="11"/>
      <c r="D259" s="11" t="s">
        <v>130</v>
      </c>
      <c r="E259" s="45">
        <v>39.79</v>
      </c>
      <c r="F259" s="28">
        <v>46109</v>
      </c>
    </row>
    <row r="260" spans="1:6">
      <c r="A260" s="11" t="s">
        <v>4094</v>
      </c>
      <c r="B260" s="11" t="s">
        <v>3068</v>
      </c>
      <c r="C260" s="11"/>
      <c r="D260" s="11" t="s">
        <v>130</v>
      </c>
      <c r="E260" s="45">
        <v>39.79</v>
      </c>
      <c r="F260" s="28">
        <v>46109</v>
      </c>
    </row>
    <row r="261" spans="1:6">
      <c r="A261" s="11" t="s">
        <v>4095</v>
      </c>
      <c r="B261" s="11" t="s">
        <v>3068</v>
      </c>
      <c r="C261" s="11"/>
      <c r="D261" s="11" t="s">
        <v>130</v>
      </c>
      <c r="E261" s="45">
        <v>39.79</v>
      </c>
      <c r="F261" s="28">
        <v>46109</v>
      </c>
    </row>
    <row r="262" spans="1:6">
      <c r="A262" s="11" t="s">
        <v>4096</v>
      </c>
      <c r="B262" s="11" t="s">
        <v>3068</v>
      </c>
      <c r="C262" s="11"/>
      <c r="D262" s="11" t="s">
        <v>130</v>
      </c>
      <c r="E262" s="45">
        <v>39.79</v>
      </c>
      <c r="F262" s="28">
        <v>46109</v>
      </c>
    </row>
    <row r="263" spans="1:6">
      <c r="A263" s="11" t="s">
        <v>4097</v>
      </c>
      <c r="B263" s="11" t="s">
        <v>3071</v>
      </c>
      <c r="C263" s="11"/>
      <c r="D263" s="11" t="s">
        <v>148</v>
      </c>
      <c r="E263" s="45">
        <v>25.14</v>
      </c>
      <c r="F263" s="28">
        <v>46100</v>
      </c>
    </row>
    <row r="264" spans="1:6">
      <c r="A264" s="11" t="s">
        <v>4098</v>
      </c>
      <c r="B264" s="11" t="s">
        <v>3071</v>
      </c>
      <c r="C264" s="11"/>
      <c r="D264" s="11" t="s">
        <v>148</v>
      </c>
      <c r="E264" s="45">
        <v>25.14</v>
      </c>
      <c r="F264" s="28">
        <v>46100</v>
      </c>
    </row>
    <row r="265" spans="1:6">
      <c r="A265" s="11" t="s">
        <v>4099</v>
      </c>
      <c r="B265" s="11" t="s">
        <v>3071</v>
      </c>
      <c r="C265" s="11"/>
      <c r="D265" s="11" t="s">
        <v>148</v>
      </c>
      <c r="E265" s="45">
        <v>25.14</v>
      </c>
      <c r="F265" s="28">
        <v>46100</v>
      </c>
    </row>
    <row r="266" spans="1:6">
      <c r="A266" s="11" t="s">
        <v>4100</v>
      </c>
      <c r="B266" s="11" t="s">
        <v>3071</v>
      </c>
      <c r="C266" s="11"/>
      <c r="D266" s="11" t="s">
        <v>148</v>
      </c>
      <c r="E266" s="45">
        <v>25.14</v>
      </c>
      <c r="F266" s="28">
        <v>46100</v>
      </c>
    </row>
    <row r="267" spans="1:6">
      <c r="A267" s="11" t="s">
        <v>4101</v>
      </c>
      <c r="B267" s="11" t="s">
        <v>3071</v>
      </c>
      <c r="C267" s="11"/>
      <c r="D267" s="11" t="s">
        <v>148</v>
      </c>
      <c r="E267" s="45">
        <v>25.14</v>
      </c>
      <c r="F267" s="28">
        <v>46100</v>
      </c>
    </row>
    <row r="268" spans="1:6">
      <c r="A268" s="11" t="s">
        <v>4102</v>
      </c>
      <c r="B268" s="11" t="s">
        <v>3071</v>
      </c>
      <c r="C268" s="11"/>
      <c r="D268" s="11" t="s">
        <v>148</v>
      </c>
      <c r="E268" s="45">
        <v>25.16</v>
      </c>
      <c r="F268" s="28">
        <v>46100</v>
      </c>
    </row>
    <row r="269" spans="1:6">
      <c r="A269" s="11" t="s">
        <v>4103</v>
      </c>
      <c r="B269" s="11" t="s">
        <v>3074</v>
      </c>
      <c r="C269" s="11"/>
      <c r="D269" s="11" t="s">
        <v>132</v>
      </c>
      <c r="E269" s="45">
        <v>45.08</v>
      </c>
      <c r="F269" s="28">
        <v>46106</v>
      </c>
    </row>
    <row r="270" spans="1:6">
      <c r="A270" s="11" t="s">
        <v>4104</v>
      </c>
      <c r="B270" s="11" t="s">
        <v>3074</v>
      </c>
      <c r="C270" s="11"/>
      <c r="D270" s="11" t="s">
        <v>132</v>
      </c>
      <c r="E270" s="45">
        <v>45.08</v>
      </c>
      <c r="F270" s="28">
        <v>46106</v>
      </c>
    </row>
    <row r="271" spans="1:6">
      <c r="A271" s="11" t="s">
        <v>4105</v>
      </c>
      <c r="B271" s="11" t="s">
        <v>3074</v>
      </c>
      <c r="C271" s="11"/>
      <c r="D271" s="11" t="s">
        <v>132</v>
      </c>
      <c r="E271" s="45">
        <v>45.08</v>
      </c>
      <c r="F271" s="28">
        <v>46106</v>
      </c>
    </row>
    <row r="272" spans="1:6">
      <c r="A272" s="11" t="s">
        <v>4106</v>
      </c>
      <c r="B272" s="11" t="s">
        <v>3074</v>
      </c>
      <c r="C272" s="11"/>
      <c r="D272" s="11" t="s">
        <v>132</v>
      </c>
      <c r="E272" s="45">
        <v>45.08</v>
      </c>
      <c r="F272" s="28">
        <v>46106</v>
      </c>
    </row>
    <row r="273" spans="1:6">
      <c r="A273" s="11" t="s">
        <v>4107</v>
      </c>
      <c r="B273" s="11" t="s">
        <v>3074</v>
      </c>
      <c r="C273" s="11"/>
      <c r="D273" s="11" t="s">
        <v>132</v>
      </c>
      <c r="E273" s="45">
        <v>45.08</v>
      </c>
      <c r="F273" s="28">
        <v>46106</v>
      </c>
    </row>
    <row r="274" spans="1:6">
      <c r="A274" s="11" t="s">
        <v>4108</v>
      </c>
      <c r="B274" s="11" t="s">
        <v>3074</v>
      </c>
      <c r="C274" s="11"/>
      <c r="D274" s="11" t="s">
        <v>132</v>
      </c>
      <c r="E274" s="45">
        <v>45.09</v>
      </c>
      <c r="F274" s="28">
        <v>46106</v>
      </c>
    </row>
    <row r="275" spans="1:6">
      <c r="A275" s="11" t="s">
        <v>4109</v>
      </c>
      <c r="B275" s="11" t="s">
        <v>3077</v>
      </c>
      <c r="C275" s="11"/>
      <c r="D275" s="11" t="s">
        <v>133</v>
      </c>
      <c r="E275" s="45">
        <v>38.21</v>
      </c>
      <c r="F275" s="28">
        <v>46106</v>
      </c>
    </row>
    <row r="276" spans="1:6">
      <c r="A276" s="11" t="s">
        <v>4110</v>
      </c>
      <c r="B276" s="11" t="s">
        <v>3077</v>
      </c>
      <c r="C276" s="11"/>
      <c r="D276" s="11" t="s">
        <v>133</v>
      </c>
      <c r="E276" s="45">
        <v>38.21</v>
      </c>
      <c r="F276" s="28">
        <v>46106</v>
      </c>
    </row>
    <row r="277" spans="1:6">
      <c r="A277" s="11" t="s">
        <v>4111</v>
      </c>
      <c r="B277" s="11" t="s">
        <v>3077</v>
      </c>
      <c r="C277" s="11"/>
      <c r="D277" s="11" t="s">
        <v>133</v>
      </c>
      <c r="E277" s="45">
        <v>38.21</v>
      </c>
      <c r="F277" s="28">
        <v>46106</v>
      </c>
    </row>
    <row r="278" spans="1:6">
      <c r="A278" s="11" t="s">
        <v>4112</v>
      </c>
      <c r="B278" s="11" t="s">
        <v>3077</v>
      </c>
      <c r="C278" s="11"/>
      <c r="D278" s="11" t="s">
        <v>133</v>
      </c>
      <c r="E278" s="45">
        <v>38.21</v>
      </c>
      <c r="F278" s="28">
        <v>46106</v>
      </c>
    </row>
    <row r="279" spans="1:6">
      <c r="A279" s="11" t="s">
        <v>4113</v>
      </c>
      <c r="B279" s="11" t="s">
        <v>3077</v>
      </c>
      <c r="C279" s="11"/>
      <c r="D279" s="11" t="s">
        <v>133</v>
      </c>
      <c r="E279" s="45">
        <v>38.21</v>
      </c>
      <c r="F279" s="28">
        <v>46106</v>
      </c>
    </row>
    <row r="280" spans="1:6">
      <c r="A280" s="11" t="s">
        <v>4114</v>
      </c>
      <c r="B280" s="11" t="s">
        <v>3077</v>
      </c>
      <c r="C280" s="11"/>
      <c r="D280" s="11" t="s">
        <v>133</v>
      </c>
      <c r="E280" s="45">
        <v>38.19</v>
      </c>
      <c r="F280" s="28">
        <v>46106</v>
      </c>
    </row>
    <row r="281" spans="1:6">
      <c r="A281" s="11" t="s">
        <v>4115</v>
      </c>
      <c r="B281" s="11" t="s">
        <v>3080</v>
      </c>
      <c r="C281" s="11"/>
      <c r="D281" s="11" t="s">
        <v>134</v>
      </c>
      <c r="E281" s="45">
        <v>38.28</v>
      </c>
      <c r="F281" s="28">
        <v>46099</v>
      </c>
    </row>
    <row r="282" spans="1:6">
      <c r="A282" s="11" t="s">
        <v>4116</v>
      </c>
      <c r="B282" s="11" t="s">
        <v>3080</v>
      </c>
      <c r="C282" s="11"/>
      <c r="D282" s="11" t="s">
        <v>134</v>
      </c>
      <c r="E282" s="45">
        <v>38.28</v>
      </c>
      <c r="F282" s="28">
        <v>46099</v>
      </c>
    </row>
    <row r="283" spans="1:6">
      <c r="A283" s="11" t="s">
        <v>4117</v>
      </c>
      <c r="B283" s="11" t="s">
        <v>3080</v>
      </c>
      <c r="C283" s="11"/>
      <c r="D283" s="11" t="s">
        <v>134</v>
      </c>
      <c r="E283" s="45">
        <v>38.28</v>
      </c>
      <c r="F283" s="28">
        <v>46099</v>
      </c>
    </row>
    <row r="284" spans="1:6">
      <c r="A284" s="11" t="s">
        <v>4118</v>
      </c>
      <c r="B284" s="11" t="s">
        <v>3080</v>
      </c>
      <c r="C284" s="11"/>
      <c r="D284" s="11" t="s">
        <v>134</v>
      </c>
      <c r="E284" s="45">
        <v>38.28</v>
      </c>
      <c r="F284" s="28">
        <v>46099</v>
      </c>
    </row>
    <row r="285" spans="1:6">
      <c r="A285" s="11" t="s">
        <v>4119</v>
      </c>
      <c r="B285" s="11" t="s">
        <v>3080</v>
      </c>
      <c r="C285" s="11"/>
      <c r="D285" s="11" t="s">
        <v>134</v>
      </c>
      <c r="E285" s="45">
        <v>38.28</v>
      </c>
      <c r="F285" s="28">
        <v>46099</v>
      </c>
    </row>
    <row r="286" spans="1:6">
      <c r="A286" s="11" t="s">
        <v>4120</v>
      </c>
      <c r="B286" s="11" t="s">
        <v>3080</v>
      </c>
      <c r="C286" s="11"/>
      <c r="D286" s="11" t="s">
        <v>134</v>
      </c>
      <c r="E286" s="45">
        <v>38.270000000000003</v>
      </c>
      <c r="F286" s="28">
        <v>46099</v>
      </c>
    </row>
    <row r="287" spans="1:6">
      <c r="A287" s="11" t="s">
        <v>4121</v>
      </c>
      <c r="B287" s="11" t="s">
        <v>3083</v>
      </c>
      <c r="C287" s="11"/>
      <c r="D287" s="11" t="s">
        <v>135</v>
      </c>
      <c r="E287" s="45">
        <v>45.86</v>
      </c>
      <c r="F287" s="28">
        <v>46084</v>
      </c>
    </row>
    <row r="288" spans="1:6">
      <c r="A288" s="11" t="s">
        <v>4122</v>
      </c>
      <c r="B288" s="11" t="s">
        <v>3083</v>
      </c>
      <c r="C288" s="11"/>
      <c r="D288" s="11" t="s">
        <v>135</v>
      </c>
      <c r="E288" s="45">
        <v>45.86</v>
      </c>
      <c r="F288" s="28">
        <v>46084</v>
      </c>
    </row>
    <row r="289" spans="1:6">
      <c r="A289" s="11" t="s">
        <v>4123</v>
      </c>
      <c r="B289" s="11" t="s">
        <v>3083</v>
      </c>
      <c r="C289" s="11"/>
      <c r="D289" s="11" t="s">
        <v>135</v>
      </c>
      <c r="E289" s="45">
        <v>45.86</v>
      </c>
      <c r="F289" s="28">
        <v>46084</v>
      </c>
    </row>
    <row r="290" spans="1:6">
      <c r="A290" s="11" t="s">
        <v>4124</v>
      </c>
      <c r="B290" s="11" t="s">
        <v>3083</v>
      </c>
      <c r="C290" s="11"/>
      <c r="D290" s="11" t="s">
        <v>135</v>
      </c>
      <c r="E290" s="45">
        <v>45.86</v>
      </c>
      <c r="F290" s="28">
        <v>46084</v>
      </c>
    </row>
    <row r="291" spans="1:6">
      <c r="A291" s="11" t="s">
        <v>4125</v>
      </c>
      <c r="B291" s="11" t="s">
        <v>3083</v>
      </c>
      <c r="C291" s="11"/>
      <c r="D291" s="11" t="s">
        <v>135</v>
      </c>
      <c r="E291" s="45">
        <v>45.86</v>
      </c>
      <c r="F291" s="28">
        <v>46084</v>
      </c>
    </row>
    <row r="292" spans="1:6">
      <c r="A292" s="11" t="s">
        <v>4126</v>
      </c>
      <c r="B292" s="11" t="s">
        <v>3083</v>
      </c>
      <c r="C292" s="11"/>
      <c r="D292" s="11" t="s">
        <v>135</v>
      </c>
      <c r="E292" s="45">
        <v>45.89</v>
      </c>
      <c r="F292" s="28">
        <v>46084</v>
      </c>
    </row>
    <row r="293" spans="1:6">
      <c r="A293" s="11" t="s">
        <v>4127</v>
      </c>
      <c r="B293" s="11" t="s">
        <v>3086</v>
      </c>
      <c r="C293" s="11"/>
      <c r="D293" s="11" t="s">
        <v>136</v>
      </c>
      <c r="E293" s="45">
        <v>39.14</v>
      </c>
      <c r="F293" s="28">
        <v>46084</v>
      </c>
    </row>
    <row r="294" spans="1:6">
      <c r="A294" s="11" t="s">
        <v>4128</v>
      </c>
      <c r="B294" s="11" t="s">
        <v>3086</v>
      </c>
      <c r="C294" s="11"/>
      <c r="D294" s="11" t="s">
        <v>136</v>
      </c>
      <c r="E294" s="45">
        <v>39.14</v>
      </c>
      <c r="F294" s="28">
        <v>46084</v>
      </c>
    </row>
    <row r="295" spans="1:6">
      <c r="A295" s="11" t="s">
        <v>4129</v>
      </c>
      <c r="B295" s="11" t="s">
        <v>3086</v>
      </c>
      <c r="C295" s="11"/>
      <c r="D295" s="11" t="s">
        <v>136</v>
      </c>
      <c r="E295" s="45">
        <v>39.14</v>
      </c>
      <c r="F295" s="28">
        <v>46084</v>
      </c>
    </row>
    <row r="296" spans="1:6">
      <c r="A296" s="11" t="s">
        <v>4130</v>
      </c>
      <c r="B296" s="11" t="s">
        <v>3086</v>
      </c>
      <c r="C296" s="11"/>
      <c r="D296" s="11" t="s">
        <v>136</v>
      </c>
      <c r="E296" s="45">
        <v>39.14</v>
      </c>
      <c r="F296" s="28">
        <v>46084</v>
      </c>
    </row>
    <row r="297" spans="1:6">
      <c r="A297" s="11" t="s">
        <v>4131</v>
      </c>
      <c r="B297" s="11" t="s">
        <v>3086</v>
      </c>
      <c r="C297" s="11"/>
      <c r="D297" s="11" t="s">
        <v>136</v>
      </c>
      <c r="E297" s="45">
        <v>39.14</v>
      </c>
      <c r="F297" s="28">
        <v>46084</v>
      </c>
    </row>
    <row r="298" spans="1:6">
      <c r="A298" s="11" t="s">
        <v>4132</v>
      </c>
      <c r="B298" s="11" t="s">
        <v>3086</v>
      </c>
      <c r="C298" s="11"/>
      <c r="D298" s="11" t="s">
        <v>136</v>
      </c>
      <c r="E298" s="45">
        <v>39.159999999999997</v>
      </c>
      <c r="F298" s="28">
        <v>46084</v>
      </c>
    </row>
    <row r="299" spans="1:6">
      <c r="A299" s="11" t="s">
        <v>4133</v>
      </c>
      <c r="B299" s="11" t="s">
        <v>3089</v>
      </c>
      <c r="C299" s="11"/>
      <c r="D299" s="11" t="s">
        <v>140</v>
      </c>
      <c r="E299" s="45">
        <v>46.21</v>
      </c>
      <c r="F299" s="28">
        <v>46085</v>
      </c>
    </row>
    <row r="300" spans="1:6">
      <c r="A300" s="11" t="s">
        <v>4134</v>
      </c>
      <c r="B300" s="11" t="s">
        <v>3089</v>
      </c>
      <c r="C300" s="11"/>
      <c r="D300" s="11" t="s">
        <v>140</v>
      </c>
      <c r="E300" s="45">
        <v>46.21</v>
      </c>
      <c r="F300" s="28">
        <v>46085</v>
      </c>
    </row>
    <row r="301" spans="1:6">
      <c r="A301" s="11" t="s">
        <v>4135</v>
      </c>
      <c r="B301" s="11" t="s">
        <v>3089</v>
      </c>
      <c r="C301" s="11"/>
      <c r="D301" s="11" t="s">
        <v>140</v>
      </c>
      <c r="E301" s="45">
        <v>46.21</v>
      </c>
      <c r="F301" s="28">
        <v>46085</v>
      </c>
    </row>
    <row r="302" spans="1:6">
      <c r="A302" s="11" t="s">
        <v>4136</v>
      </c>
      <c r="B302" s="11" t="s">
        <v>3089</v>
      </c>
      <c r="C302" s="11"/>
      <c r="D302" s="11" t="s">
        <v>140</v>
      </c>
      <c r="E302" s="45">
        <v>46.21</v>
      </c>
      <c r="F302" s="28">
        <v>46085</v>
      </c>
    </row>
    <row r="303" spans="1:6">
      <c r="A303" s="11" t="s">
        <v>4137</v>
      </c>
      <c r="B303" s="11" t="s">
        <v>3089</v>
      </c>
      <c r="C303" s="11"/>
      <c r="D303" s="11" t="s">
        <v>140</v>
      </c>
      <c r="E303" s="45">
        <v>46.21</v>
      </c>
      <c r="F303" s="28">
        <v>46085</v>
      </c>
    </row>
    <row r="304" spans="1:6">
      <c r="A304" s="11" t="s">
        <v>4138</v>
      </c>
      <c r="B304" s="11" t="s">
        <v>3089</v>
      </c>
      <c r="C304" s="11"/>
      <c r="D304" s="11" t="s">
        <v>140</v>
      </c>
      <c r="E304" s="45">
        <v>46.23</v>
      </c>
      <c r="F304" s="28">
        <v>46085</v>
      </c>
    </row>
    <row r="305" spans="1:6">
      <c r="A305" s="11" t="s">
        <v>4139</v>
      </c>
      <c r="B305" s="11" t="s">
        <v>3092</v>
      </c>
      <c r="C305" s="11"/>
      <c r="D305" s="11" t="s">
        <v>141</v>
      </c>
      <c r="E305" s="45">
        <v>36.83</v>
      </c>
      <c r="F305" s="28">
        <v>46099</v>
      </c>
    </row>
    <row r="306" spans="1:6">
      <c r="A306" s="11" t="s">
        <v>4140</v>
      </c>
      <c r="B306" s="11" t="s">
        <v>3092</v>
      </c>
      <c r="C306" s="11"/>
      <c r="D306" s="11" t="s">
        <v>141</v>
      </c>
      <c r="E306" s="45">
        <v>36.83</v>
      </c>
      <c r="F306" s="28">
        <v>46099</v>
      </c>
    </row>
    <row r="307" spans="1:6">
      <c r="A307" s="11" t="s">
        <v>4141</v>
      </c>
      <c r="B307" s="11" t="s">
        <v>3092</v>
      </c>
      <c r="C307" s="11"/>
      <c r="D307" s="11" t="s">
        <v>141</v>
      </c>
      <c r="E307" s="45">
        <v>36.83</v>
      </c>
      <c r="F307" s="28">
        <v>46099</v>
      </c>
    </row>
    <row r="308" spans="1:6">
      <c r="A308" s="11" t="s">
        <v>4142</v>
      </c>
      <c r="B308" s="11" t="s">
        <v>3092</v>
      </c>
      <c r="C308" s="11"/>
      <c r="D308" s="11" t="s">
        <v>141</v>
      </c>
      <c r="E308" s="45">
        <v>36.83</v>
      </c>
      <c r="F308" s="28">
        <v>46099</v>
      </c>
    </row>
    <row r="309" spans="1:6">
      <c r="A309" s="11" t="s">
        <v>4143</v>
      </c>
      <c r="B309" s="11" t="s">
        <v>3092</v>
      </c>
      <c r="C309" s="11"/>
      <c r="D309" s="11" t="s">
        <v>141</v>
      </c>
      <c r="E309" s="45">
        <v>36.83</v>
      </c>
      <c r="F309" s="28">
        <v>46099</v>
      </c>
    </row>
    <row r="310" spans="1:6">
      <c r="A310" s="11" t="s">
        <v>4144</v>
      </c>
      <c r="B310" s="11" t="s">
        <v>3092</v>
      </c>
      <c r="C310" s="11"/>
      <c r="D310" s="11" t="s">
        <v>141</v>
      </c>
      <c r="E310" s="45">
        <v>36.86</v>
      </c>
      <c r="F310" s="28">
        <v>46099</v>
      </c>
    </row>
    <row r="311" spans="1:6">
      <c r="A311" s="11" t="s">
        <v>4145</v>
      </c>
      <c r="B311" s="11" t="s">
        <v>3095</v>
      </c>
      <c r="C311" s="11"/>
      <c r="D311" s="11" t="s">
        <v>142</v>
      </c>
      <c r="E311" s="45">
        <v>43.13</v>
      </c>
      <c r="F311" s="28">
        <v>46095</v>
      </c>
    </row>
    <row r="312" spans="1:6">
      <c r="A312" s="11" t="s">
        <v>4146</v>
      </c>
      <c r="B312" s="11" t="s">
        <v>3095</v>
      </c>
      <c r="C312" s="11"/>
      <c r="D312" s="11" t="s">
        <v>142</v>
      </c>
      <c r="E312" s="45">
        <v>43.13</v>
      </c>
      <c r="F312" s="28">
        <v>46095</v>
      </c>
    </row>
    <row r="313" spans="1:6">
      <c r="A313" s="11" t="s">
        <v>4147</v>
      </c>
      <c r="B313" s="11" t="s">
        <v>3095</v>
      </c>
      <c r="C313" s="11"/>
      <c r="D313" s="11" t="s">
        <v>142</v>
      </c>
      <c r="E313" s="45">
        <v>43.13</v>
      </c>
      <c r="F313" s="28">
        <v>46095</v>
      </c>
    </row>
    <row r="314" spans="1:6">
      <c r="A314" s="11" t="s">
        <v>4148</v>
      </c>
      <c r="B314" s="11" t="s">
        <v>3095</v>
      </c>
      <c r="C314" s="11"/>
      <c r="D314" s="11" t="s">
        <v>142</v>
      </c>
      <c r="E314" s="45">
        <v>43.13</v>
      </c>
      <c r="F314" s="28">
        <v>46095</v>
      </c>
    </row>
    <row r="315" spans="1:6">
      <c r="A315" s="11" t="s">
        <v>4149</v>
      </c>
      <c r="B315" s="11" t="s">
        <v>3095</v>
      </c>
      <c r="C315" s="11"/>
      <c r="D315" s="11" t="s">
        <v>142</v>
      </c>
      <c r="E315" s="45">
        <v>43.13</v>
      </c>
      <c r="F315" s="28">
        <v>46095</v>
      </c>
    </row>
    <row r="316" spans="1:6">
      <c r="A316" s="11" t="s">
        <v>4150</v>
      </c>
      <c r="B316" s="11" t="s">
        <v>3095</v>
      </c>
      <c r="C316" s="11"/>
      <c r="D316" s="11" t="s">
        <v>142</v>
      </c>
      <c r="E316" s="45">
        <v>43.14</v>
      </c>
      <c r="F316" s="28">
        <v>46095</v>
      </c>
    </row>
    <row r="317" spans="1:6">
      <c r="A317" s="11" t="s">
        <v>4151</v>
      </c>
      <c r="B317" s="11" t="s">
        <v>3098</v>
      </c>
      <c r="C317" s="11"/>
      <c r="D317" s="11" t="s">
        <v>143</v>
      </c>
      <c r="E317" s="45">
        <v>36.74</v>
      </c>
      <c r="F317" s="28">
        <v>46084</v>
      </c>
    </row>
    <row r="318" spans="1:6">
      <c r="A318" s="11" t="s">
        <v>4152</v>
      </c>
      <c r="B318" s="11" t="s">
        <v>3098</v>
      </c>
      <c r="C318" s="11"/>
      <c r="D318" s="11" t="s">
        <v>143</v>
      </c>
      <c r="E318" s="45">
        <v>36.74</v>
      </c>
      <c r="F318" s="28">
        <v>46084</v>
      </c>
    </row>
    <row r="319" spans="1:6">
      <c r="A319" s="11" t="s">
        <v>4153</v>
      </c>
      <c r="B319" s="11" t="s">
        <v>3098</v>
      </c>
      <c r="C319" s="11"/>
      <c r="D319" s="11" t="s">
        <v>143</v>
      </c>
      <c r="E319" s="45">
        <v>36.74</v>
      </c>
      <c r="F319" s="28">
        <v>46084</v>
      </c>
    </row>
    <row r="320" spans="1:6">
      <c r="A320" s="11" t="s">
        <v>4154</v>
      </c>
      <c r="B320" s="11" t="s">
        <v>3098</v>
      </c>
      <c r="C320" s="11"/>
      <c r="D320" s="11" t="s">
        <v>143</v>
      </c>
      <c r="E320" s="45">
        <v>36.74</v>
      </c>
      <c r="F320" s="28">
        <v>46084</v>
      </c>
    </row>
    <row r="321" spans="1:6">
      <c r="A321" s="11" t="s">
        <v>4155</v>
      </c>
      <c r="B321" s="11" t="s">
        <v>3098</v>
      </c>
      <c r="C321" s="11"/>
      <c r="D321" s="11" t="s">
        <v>143</v>
      </c>
      <c r="E321" s="45">
        <v>36.74</v>
      </c>
      <c r="F321" s="28">
        <v>46084</v>
      </c>
    </row>
    <row r="322" spans="1:6">
      <c r="A322" s="11" t="s">
        <v>4156</v>
      </c>
      <c r="B322" s="11" t="s">
        <v>3098</v>
      </c>
      <c r="C322" s="11"/>
      <c r="D322" s="11" t="s">
        <v>143</v>
      </c>
      <c r="E322" s="45">
        <v>36.770000000000003</v>
      </c>
      <c r="F322" s="28">
        <v>46084</v>
      </c>
    </row>
    <row r="323" spans="1:6">
      <c r="A323" s="11" t="s">
        <v>4157</v>
      </c>
      <c r="B323" s="11" t="s">
        <v>3101</v>
      </c>
      <c r="C323" s="11"/>
      <c r="D323" s="11" t="s">
        <v>147</v>
      </c>
      <c r="E323" s="45">
        <v>37.85</v>
      </c>
      <c r="F323" s="28">
        <v>46111</v>
      </c>
    </row>
    <row r="324" spans="1:6">
      <c r="A324" s="11" t="s">
        <v>4158</v>
      </c>
      <c r="B324" s="11" t="s">
        <v>3101</v>
      </c>
      <c r="C324" s="11"/>
      <c r="D324" s="11" t="s">
        <v>147</v>
      </c>
      <c r="E324" s="45">
        <v>37.85</v>
      </c>
      <c r="F324" s="28">
        <v>46111</v>
      </c>
    </row>
    <row r="325" spans="1:6">
      <c r="A325" s="11" t="s">
        <v>4159</v>
      </c>
      <c r="B325" s="11" t="s">
        <v>3101</v>
      </c>
      <c r="C325" s="11"/>
      <c r="D325" s="11" t="s">
        <v>147</v>
      </c>
      <c r="E325" s="45">
        <v>37.85</v>
      </c>
      <c r="F325" s="28">
        <v>46111</v>
      </c>
    </row>
    <row r="326" spans="1:6">
      <c r="A326" s="11" t="s">
        <v>4160</v>
      </c>
      <c r="B326" s="11" t="s">
        <v>3101</v>
      </c>
      <c r="C326" s="11"/>
      <c r="D326" s="11" t="s">
        <v>147</v>
      </c>
      <c r="E326" s="45">
        <v>37.85</v>
      </c>
      <c r="F326" s="28">
        <v>46111</v>
      </c>
    </row>
    <row r="327" spans="1:6">
      <c r="A327" s="11" t="s">
        <v>4161</v>
      </c>
      <c r="B327" s="11" t="s">
        <v>3101</v>
      </c>
      <c r="C327" s="11"/>
      <c r="D327" s="11" t="s">
        <v>147</v>
      </c>
      <c r="E327" s="45">
        <v>37.85</v>
      </c>
      <c r="F327" s="28">
        <v>46111</v>
      </c>
    </row>
    <row r="328" spans="1:6">
      <c r="A328" s="11" t="s">
        <v>4162</v>
      </c>
      <c r="B328" s="11" t="s">
        <v>3101</v>
      </c>
      <c r="C328" s="11"/>
      <c r="D328" s="11" t="s">
        <v>147</v>
      </c>
      <c r="E328" s="45">
        <v>37.840000000000003</v>
      </c>
      <c r="F328" s="28">
        <v>46111</v>
      </c>
    </row>
    <row r="329" spans="1:6">
      <c r="A329" s="11" t="s">
        <v>4163</v>
      </c>
      <c r="B329" s="11" t="s">
        <v>3104</v>
      </c>
      <c r="C329" s="11"/>
      <c r="D329" s="11" t="s">
        <v>145</v>
      </c>
      <c r="E329" s="45">
        <v>41.76</v>
      </c>
      <c r="F329" s="28">
        <v>46085</v>
      </c>
    </row>
    <row r="330" spans="1:6">
      <c r="A330" s="11" t="s">
        <v>4164</v>
      </c>
      <c r="B330" s="11" t="s">
        <v>3104</v>
      </c>
      <c r="C330" s="11"/>
      <c r="D330" s="11" t="s">
        <v>145</v>
      </c>
      <c r="E330" s="45">
        <v>41.76</v>
      </c>
      <c r="F330" s="28">
        <v>46085</v>
      </c>
    </row>
    <row r="331" spans="1:6">
      <c r="A331" s="11" t="s">
        <v>4165</v>
      </c>
      <c r="B331" s="11" t="s">
        <v>3104</v>
      </c>
      <c r="C331" s="11"/>
      <c r="D331" s="11" t="s">
        <v>145</v>
      </c>
      <c r="E331" s="45">
        <v>41.76</v>
      </c>
      <c r="F331" s="28">
        <v>46085</v>
      </c>
    </row>
    <row r="332" spans="1:6">
      <c r="A332" s="11" t="s">
        <v>4166</v>
      </c>
      <c r="B332" s="11" t="s">
        <v>3104</v>
      </c>
      <c r="C332" s="11"/>
      <c r="D332" s="11" t="s">
        <v>145</v>
      </c>
      <c r="E332" s="45">
        <v>41.76</v>
      </c>
      <c r="F332" s="28">
        <v>46085</v>
      </c>
    </row>
    <row r="333" spans="1:6">
      <c r="A333" s="11" t="s">
        <v>4167</v>
      </c>
      <c r="B333" s="11" t="s">
        <v>3104</v>
      </c>
      <c r="C333" s="11"/>
      <c r="D333" s="11" t="s">
        <v>145</v>
      </c>
      <c r="E333" s="45">
        <v>41.76</v>
      </c>
      <c r="F333" s="28">
        <v>46085</v>
      </c>
    </row>
    <row r="334" spans="1:6">
      <c r="A334" s="11" t="s">
        <v>4168</v>
      </c>
      <c r="B334" s="11" t="s">
        <v>3104</v>
      </c>
      <c r="C334" s="11"/>
      <c r="D334" s="11" t="s">
        <v>145</v>
      </c>
      <c r="E334" s="45">
        <v>41.74</v>
      </c>
      <c r="F334" s="28">
        <v>46085</v>
      </c>
    </row>
    <row r="335" spans="1:6">
      <c r="A335" s="11" t="s">
        <v>4169</v>
      </c>
      <c r="B335" s="11" t="s">
        <v>3107</v>
      </c>
      <c r="C335" s="11"/>
      <c r="D335" s="11" t="s">
        <v>146</v>
      </c>
      <c r="E335" s="45">
        <v>50.01</v>
      </c>
      <c r="F335" s="28">
        <v>46095</v>
      </c>
    </row>
    <row r="336" spans="1:6">
      <c r="A336" s="11" t="s">
        <v>4170</v>
      </c>
      <c r="B336" s="11" t="s">
        <v>3107</v>
      </c>
      <c r="C336" s="11"/>
      <c r="D336" s="11" t="s">
        <v>146</v>
      </c>
      <c r="E336" s="45">
        <v>50.01</v>
      </c>
      <c r="F336" s="28">
        <v>46095</v>
      </c>
    </row>
    <row r="337" spans="1:6">
      <c r="A337" s="11" t="s">
        <v>4171</v>
      </c>
      <c r="B337" s="11" t="s">
        <v>3107</v>
      </c>
      <c r="C337" s="11"/>
      <c r="D337" s="11" t="s">
        <v>146</v>
      </c>
      <c r="E337" s="45">
        <v>50.01</v>
      </c>
      <c r="F337" s="28">
        <v>46095</v>
      </c>
    </row>
    <row r="338" spans="1:6">
      <c r="A338" s="11" t="s">
        <v>4172</v>
      </c>
      <c r="B338" s="11" t="s">
        <v>3107</v>
      </c>
      <c r="C338" s="11"/>
      <c r="D338" s="11" t="s">
        <v>146</v>
      </c>
      <c r="E338" s="45">
        <v>50.01</v>
      </c>
      <c r="F338" s="28">
        <v>46095</v>
      </c>
    </row>
    <row r="339" spans="1:6">
      <c r="A339" s="11" t="s">
        <v>4173</v>
      </c>
      <c r="B339" s="11" t="s">
        <v>3107</v>
      </c>
      <c r="C339" s="11"/>
      <c r="D339" s="11" t="s">
        <v>146</v>
      </c>
      <c r="E339" s="45">
        <v>50.01</v>
      </c>
      <c r="F339" s="28">
        <v>46095</v>
      </c>
    </row>
    <row r="340" spans="1:6">
      <c r="A340" s="11" t="s">
        <v>4174</v>
      </c>
      <c r="B340" s="11" t="s">
        <v>3107</v>
      </c>
      <c r="C340" s="11"/>
      <c r="D340" s="11" t="s">
        <v>146</v>
      </c>
      <c r="E340" s="45">
        <v>50.02</v>
      </c>
      <c r="F340" s="28">
        <v>46095</v>
      </c>
    </row>
    <row r="341" spans="1:6">
      <c r="A341" s="11" t="s">
        <v>4175</v>
      </c>
      <c r="B341" s="11" t="s">
        <v>3110</v>
      </c>
      <c r="C341" s="11"/>
      <c r="D341" s="11" t="s">
        <v>127</v>
      </c>
      <c r="E341" s="45">
        <v>34.08</v>
      </c>
      <c r="F341" s="28">
        <v>46098</v>
      </c>
    </row>
    <row r="342" spans="1:6">
      <c r="A342" s="11" t="s">
        <v>4176</v>
      </c>
      <c r="B342" s="11" t="s">
        <v>3110</v>
      </c>
      <c r="C342" s="11"/>
      <c r="D342" s="11" t="s">
        <v>127</v>
      </c>
      <c r="E342" s="45">
        <v>34.08</v>
      </c>
      <c r="F342" s="28">
        <v>46098</v>
      </c>
    </row>
    <row r="343" spans="1:6">
      <c r="A343" s="11" t="s">
        <v>4177</v>
      </c>
      <c r="B343" s="11" t="s">
        <v>3110</v>
      </c>
      <c r="C343" s="11"/>
      <c r="D343" s="11" t="s">
        <v>127</v>
      </c>
      <c r="E343" s="45">
        <v>34.08</v>
      </c>
      <c r="F343" s="28">
        <v>46098</v>
      </c>
    </row>
    <row r="344" spans="1:6">
      <c r="A344" s="11" t="s">
        <v>4178</v>
      </c>
      <c r="B344" s="11" t="s">
        <v>3110</v>
      </c>
      <c r="C344" s="11"/>
      <c r="D344" s="11" t="s">
        <v>127</v>
      </c>
      <c r="E344" s="45">
        <v>34.08</v>
      </c>
      <c r="F344" s="28">
        <v>46098</v>
      </c>
    </row>
    <row r="345" spans="1:6">
      <c r="A345" s="11" t="s">
        <v>4179</v>
      </c>
      <c r="B345" s="11" t="s">
        <v>3110</v>
      </c>
      <c r="C345" s="11"/>
      <c r="D345" s="11" t="s">
        <v>127</v>
      </c>
      <c r="E345" s="45">
        <v>34.08</v>
      </c>
      <c r="F345" s="28">
        <v>46098</v>
      </c>
    </row>
    <row r="346" spans="1:6">
      <c r="A346" s="11" t="s">
        <v>4180</v>
      </c>
      <c r="B346" s="11" t="s">
        <v>3110</v>
      </c>
      <c r="C346" s="11"/>
      <c r="D346" s="11" t="s">
        <v>127</v>
      </c>
      <c r="E346" s="45">
        <v>34.07</v>
      </c>
      <c r="F346" s="28">
        <v>46098</v>
      </c>
    </row>
    <row r="347" spans="1:6">
      <c r="A347" s="11" t="s">
        <v>4181</v>
      </c>
      <c r="B347" s="11" t="s">
        <v>3113</v>
      </c>
      <c r="C347" s="11"/>
      <c r="D347" s="11" t="s">
        <v>96</v>
      </c>
      <c r="E347" s="45">
        <v>39.08</v>
      </c>
      <c r="F347" s="28">
        <v>46100</v>
      </c>
    </row>
    <row r="348" spans="1:6">
      <c r="A348" s="11" t="s">
        <v>4182</v>
      </c>
      <c r="B348" s="11" t="s">
        <v>3113</v>
      </c>
      <c r="C348" s="11"/>
      <c r="D348" s="11" t="s">
        <v>96</v>
      </c>
      <c r="E348" s="45">
        <v>39.08</v>
      </c>
      <c r="F348" s="28">
        <v>46100</v>
      </c>
    </row>
    <row r="349" spans="1:6">
      <c r="A349" s="11" t="s">
        <v>4183</v>
      </c>
      <c r="B349" s="11" t="s">
        <v>3113</v>
      </c>
      <c r="C349" s="11"/>
      <c r="D349" s="11" t="s">
        <v>96</v>
      </c>
      <c r="E349" s="45">
        <v>39.08</v>
      </c>
      <c r="F349" s="28">
        <v>46100</v>
      </c>
    </row>
    <row r="350" spans="1:6">
      <c r="A350" s="11" t="s">
        <v>4184</v>
      </c>
      <c r="B350" s="11" t="s">
        <v>3113</v>
      </c>
      <c r="C350" s="11"/>
      <c r="D350" s="11" t="s">
        <v>96</v>
      </c>
      <c r="E350" s="45">
        <v>39.08</v>
      </c>
      <c r="F350" s="28">
        <v>46100</v>
      </c>
    </row>
    <row r="351" spans="1:6">
      <c r="A351" s="11" t="s">
        <v>4185</v>
      </c>
      <c r="B351" s="11" t="s">
        <v>3113</v>
      </c>
      <c r="C351" s="11"/>
      <c r="D351" s="11" t="s">
        <v>96</v>
      </c>
      <c r="E351" s="45">
        <v>39.08</v>
      </c>
      <c r="F351" s="28">
        <v>46100</v>
      </c>
    </row>
    <row r="352" spans="1:6">
      <c r="A352" s="11" t="s">
        <v>4186</v>
      </c>
      <c r="B352" s="11" t="s">
        <v>3113</v>
      </c>
      <c r="C352" s="11"/>
      <c r="D352" s="11" t="s">
        <v>96</v>
      </c>
      <c r="E352" s="45">
        <v>39.090000000000003</v>
      </c>
      <c r="F352" s="28">
        <v>46100</v>
      </c>
    </row>
    <row r="353" spans="1:6">
      <c r="A353" s="11" t="s">
        <v>4187</v>
      </c>
      <c r="B353" s="11" t="s">
        <v>3116</v>
      </c>
      <c r="C353" s="11"/>
      <c r="D353" s="11" t="s">
        <v>99</v>
      </c>
      <c r="E353" s="45">
        <v>51.29</v>
      </c>
      <c r="F353" s="28">
        <v>46084</v>
      </c>
    </row>
    <row r="354" spans="1:6">
      <c r="A354" s="11" t="s">
        <v>4188</v>
      </c>
      <c r="B354" s="11" t="s">
        <v>3116</v>
      </c>
      <c r="C354" s="11"/>
      <c r="D354" s="11" t="s">
        <v>99</v>
      </c>
      <c r="E354" s="45">
        <v>51.29</v>
      </c>
      <c r="F354" s="28">
        <v>46084</v>
      </c>
    </row>
    <row r="355" spans="1:6">
      <c r="A355" s="11" t="s">
        <v>4189</v>
      </c>
      <c r="B355" s="11" t="s">
        <v>3116</v>
      </c>
      <c r="C355" s="11"/>
      <c r="D355" s="11" t="s">
        <v>99</v>
      </c>
      <c r="E355" s="45">
        <v>51.29</v>
      </c>
      <c r="F355" s="28">
        <v>46084</v>
      </c>
    </row>
    <row r="356" spans="1:6">
      <c r="A356" s="11" t="s">
        <v>4190</v>
      </c>
      <c r="B356" s="11" t="s">
        <v>3116</v>
      </c>
      <c r="C356" s="11"/>
      <c r="D356" s="11" t="s">
        <v>99</v>
      </c>
      <c r="E356" s="45">
        <v>51.29</v>
      </c>
      <c r="F356" s="28">
        <v>46084</v>
      </c>
    </row>
    <row r="357" spans="1:6">
      <c r="A357" s="11" t="s">
        <v>4191</v>
      </c>
      <c r="B357" s="11" t="s">
        <v>3116</v>
      </c>
      <c r="C357" s="11"/>
      <c r="D357" s="11" t="s">
        <v>99</v>
      </c>
      <c r="E357" s="45">
        <v>51.29</v>
      </c>
      <c r="F357" s="28">
        <v>46084</v>
      </c>
    </row>
    <row r="358" spans="1:6">
      <c r="A358" s="11" t="s">
        <v>4192</v>
      </c>
      <c r="B358" s="11" t="s">
        <v>3116</v>
      </c>
      <c r="C358" s="11"/>
      <c r="D358" s="11" t="s">
        <v>99</v>
      </c>
      <c r="E358" s="45">
        <v>51.28</v>
      </c>
      <c r="F358" s="28">
        <v>46084</v>
      </c>
    </row>
    <row r="359" spans="1:6">
      <c r="A359" s="11" t="s">
        <v>4193</v>
      </c>
      <c r="B359" s="11" t="s">
        <v>3119</v>
      </c>
      <c r="C359" s="11"/>
      <c r="D359" s="11" t="s">
        <v>102</v>
      </c>
      <c r="E359" s="45">
        <v>46.61</v>
      </c>
      <c r="F359" s="28">
        <v>46094</v>
      </c>
    </row>
    <row r="360" spans="1:6">
      <c r="A360" s="11" t="s">
        <v>4194</v>
      </c>
      <c r="B360" s="11" t="s">
        <v>3119</v>
      </c>
      <c r="C360" s="11"/>
      <c r="D360" s="11" t="s">
        <v>102</v>
      </c>
      <c r="E360" s="45">
        <v>46.61</v>
      </c>
      <c r="F360" s="28">
        <v>46094</v>
      </c>
    </row>
    <row r="361" spans="1:6">
      <c r="A361" s="11" t="s">
        <v>4195</v>
      </c>
      <c r="B361" s="11" t="s">
        <v>3119</v>
      </c>
      <c r="C361" s="11"/>
      <c r="D361" s="11" t="s">
        <v>102</v>
      </c>
      <c r="E361" s="45">
        <v>46.61</v>
      </c>
      <c r="F361" s="28">
        <v>46094</v>
      </c>
    </row>
    <row r="362" spans="1:6">
      <c r="A362" s="11" t="s">
        <v>4196</v>
      </c>
      <c r="B362" s="11" t="s">
        <v>3119</v>
      </c>
      <c r="C362" s="11"/>
      <c r="D362" s="11" t="s">
        <v>102</v>
      </c>
      <c r="E362" s="45">
        <v>46.61</v>
      </c>
      <c r="F362" s="28">
        <v>46094</v>
      </c>
    </row>
    <row r="363" spans="1:6">
      <c r="A363" s="11" t="s">
        <v>4197</v>
      </c>
      <c r="B363" s="11" t="s">
        <v>3119</v>
      </c>
      <c r="C363" s="11"/>
      <c r="D363" s="11" t="s">
        <v>102</v>
      </c>
      <c r="E363" s="45">
        <v>46.61</v>
      </c>
      <c r="F363" s="28">
        <v>46094</v>
      </c>
    </row>
    <row r="364" spans="1:6">
      <c r="A364" s="11" t="s">
        <v>4198</v>
      </c>
      <c r="B364" s="11" t="s">
        <v>3119</v>
      </c>
      <c r="C364" s="11"/>
      <c r="D364" s="11" t="s">
        <v>102</v>
      </c>
      <c r="E364" s="45">
        <v>46.62</v>
      </c>
      <c r="F364" s="28">
        <v>46094</v>
      </c>
    </row>
    <row r="365" spans="1:6">
      <c r="A365" s="11" t="s">
        <v>4199</v>
      </c>
      <c r="B365" s="11" t="s">
        <v>3122</v>
      </c>
      <c r="C365" s="11"/>
      <c r="D365" s="11" t="s">
        <v>105</v>
      </c>
      <c r="E365" s="45">
        <v>47.37</v>
      </c>
      <c r="F365" s="28">
        <v>46083</v>
      </c>
    </row>
    <row r="366" spans="1:6">
      <c r="A366" s="11" t="s">
        <v>4200</v>
      </c>
      <c r="B366" s="11" t="s">
        <v>3122</v>
      </c>
      <c r="C366" s="11"/>
      <c r="D366" s="11" t="s">
        <v>105</v>
      </c>
      <c r="E366" s="45">
        <v>47.37</v>
      </c>
      <c r="F366" s="28">
        <v>46083</v>
      </c>
    </row>
    <row r="367" spans="1:6">
      <c r="A367" s="11" t="s">
        <v>4201</v>
      </c>
      <c r="B367" s="11" t="s">
        <v>3122</v>
      </c>
      <c r="C367" s="11"/>
      <c r="D367" s="11" t="s">
        <v>105</v>
      </c>
      <c r="E367" s="45">
        <v>47.37</v>
      </c>
      <c r="F367" s="28">
        <v>46083</v>
      </c>
    </row>
    <row r="368" spans="1:6">
      <c r="A368" s="11" t="s">
        <v>4202</v>
      </c>
      <c r="B368" s="11" t="s">
        <v>3122</v>
      </c>
      <c r="C368" s="11"/>
      <c r="D368" s="11" t="s">
        <v>105</v>
      </c>
      <c r="E368" s="45">
        <v>47.37</v>
      </c>
      <c r="F368" s="28">
        <v>46083</v>
      </c>
    </row>
    <row r="369" spans="1:6">
      <c r="A369" s="11" t="s">
        <v>4203</v>
      </c>
      <c r="B369" s="11" t="s">
        <v>3122</v>
      </c>
      <c r="C369" s="11"/>
      <c r="D369" s="11" t="s">
        <v>105</v>
      </c>
      <c r="E369" s="45">
        <v>47.35</v>
      </c>
      <c r="F369" s="28">
        <v>46083</v>
      </c>
    </row>
    <row r="370" spans="1:6">
      <c r="A370" s="11" t="s">
        <v>4204</v>
      </c>
      <c r="B370" s="11" t="s">
        <v>3125</v>
      </c>
      <c r="C370" s="11"/>
      <c r="D370" s="11" t="s">
        <v>107</v>
      </c>
      <c r="E370" s="45">
        <v>52.29</v>
      </c>
      <c r="F370" s="28">
        <v>46088</v>
      </c>
    </row>
    <row r="371" spans="1:6">
      <c r="A371" s="11" t="s">
        <v>4205</v>
      </c>
      <c r="B371" s="11" t="s">
        <v>3125</v>
      </c>
      <c r="C371" s="11"/>
      <c r="D371" s="11" t="s">
        <v>107</v>
      </c>
      <c r="E371" s="45">
        <v>52.29</v>
      </c>
      <c r="F371" s="28">
        <v>46088</v>
      </c>
    </row>
    <row r="372" spans="1:6">
      <c r="A372" s="11" t="s">
        <v>4206</v>
      </c>
      <c r="B372" s="11" t="s">
        <v>3125</v>
      </c>
      <c r="C372" s="11"/>
      <c r="D372" s="11" t="s">
        <v>107</v>
      </c>
      <c r="E372" s="45">
        <v>52.29</v>
      </c>
      <c r="F372" s="28">
        <v>46088</v>
      </c>
    </row>
    <row r="373" spans="1:6">
      <c r="A373" s="11" t="s">
        <v>4207</v>
      </c>
      <c r="B373" s="11" t="s">
        <v>3125</v>
      </c>
      <c r="C373" s="11"/>
      <c r="D373" s="11" t="s">
        <v>107</v>
      </c>
      <c r="E373" s="45">
        <v>52.29</v>
      </c>
      <c r="F373" s="28">
        <v>46088</v>
      </c>
    </row>
    <row r="374" spans="1:6">
      <c r="A374" s="11" t="s">
        <v>4208</v>
      </c>
      <c r="B374" s="11" t="s">
        <v>3125</v>
      </c>
      <c r="C374" s="11"/>
      <c r="D374" s="11" t="s">
        <v>107</v>
      </c>
      <c r="E374" s="45">
        <v>52.28</v>
      </c>
      <c r="F374" s="28">
        <v>46088</v>
      </c>
    </row>
    <row r="375" spans="1:6">
      <c r="A375" s="11" t="s">
        <v>4209</v>
      </c>
      <c r="B375" s="11" t="s">
        <v>3128</v>
      </c>
      <c r="C375" s="11"/>
      <c r="D375" s="11" t="s">
        <v>109</v>
      </c>
      <c r="E375" s="45">
        <v>60.42</v>
      </c>
      <c r="F375" s="28">
        <v>46111</v>
      </c>
    </row>
    <row r="376" spans="1:6">
      <c r="A376" s="11" t="s">
        <v>4210</v>
      </c>
      <c r="B376" s="11" t="s">
        <v>3128</v>
      </c>
      <c r="C376" s="11"/>
      <c r="D376" s="11" t="s">
        <v>109</v>
      </c>
      <c r="E376" s="45">
        <v>60.42</v>
      </c>
      <c r="F376" s="28">
        <v>46111</v>
      </c>
    </row>
    <row r="377" spans="1:6">
      <c r="A377" s="11" t="s">
        <v>4211</v>
      </c>
      <c r="B377" s="11" t="s">
        <v>3128</v>
      </c>
      <c r="C377" s="11"/>
      <c r="D377" s="11" t="s">
        <v>109</v>
      </c>
      <c r="E377" s="45">
        <v>60.42</v>
      </c>
      <c r="F377" s="28">
        <v>46111</v>
      </c>
    </row>
    <row r="378" spans="1:6">
      <c r="A378" s="11" t="s">
        <v>4212</v>
      </c>
      <c r="B378" s="11" t="s">
        <v>3128</v>
      </c>
      <c r="C378" s="11"/>
      <c r="D378" s="11" t="s">
        <v>109</v>
      </c>
      <c r="E378" s="45">
        <v>60.42</v>
      </c>
      <c r="F378" s="28">
        <v>46111</v>
      </c>
    </row>
    <row r="379" spans="1:6">
      <c r="A379" s="11" t="s">
        <v>4213</v>
      </c>
      <c r="B379" s="11" t="s">
        <v>3128</v>
      </c>
      <c r="C379" s="11"/>
      <c r="D379" s="11" t="s">
        <v>109</v>
      </c>
      <c r="E379" s="45">
        <v>60.4</v>
      </c>
      <c r="F379" s="28">
        <v>46111</v>
      </c>
    </row>
    <row r="380" spans="1:6">
      <c r="A380" s="11" t="s">
        <v>4214</v>
      </c>
      <c r="B380" s="11" t="s">
        <v>3131</v>
      </c>
      <c r="C380" s="11"/>
      <c r="D380" s="11" t="s">
        <v>120</v>
      </c>
      <c r="E380" s="45">
        <v>50.26</v>
      </c>
      <c r="F380" s="28">
        <v>46112</v>
      </c>
    </row>
    <row r="381" spans="1:6">
      <c r="A381" s="11" t="s">
        <v>4215</v>
      </c>
      <c r="B381" s="11" t="s">
        <v>3131</v>
      </c>
      <c r="C381" s="11"/>
      <c r="D381" s="11" t="s">
        <v>120</v>
      </c>
      <c r="E381" s="45">
        <v>50.26</v>
      </c>
      <c r="F381" s="28">
        <v>46112</v>
      </c>
    </row>
    <row r="382" spans="1:6">
      <c r="A382" s="11" t="s">
        <v>4216</v>
      </c>
      <c r="B382" s="11" t="s">
        <v>3131</v>
      </c>
      <c r="C382" s="11"/>
      <c r="D382" s="11" t="s">
        <v>120</v>
      </c>
      <c r="E382" s="45">
        <v>50.26</v>
      </c>
      <c r="F382" s="28">
        <v>46112</v>
      </c>
    </row>
    <row r="383" spans="1:6">
      <c r="A383" s="11" t="s">
        <v>4217</v>
      </c>
      <c r="B383" s="11" t="s">
        <v>3131</v>
      </c>
      <c r="C383" s="11"/>
      <c r="D383" s="11" t="s">
        <v>120</v>
      </c>
      <c r="E383" s="45">
        <v>50.26</v>
      </c>
      <c r="F383" s="28">
        <v>46112</v>
      </c>
    </row>
    <row r="384" spans="1:6">
      <c r="A384" s="11" t="s">
        <v>4218</v>
      </c>
      <c r="B384" s="11" t="s">
        <v>3131</v>
      </c>
      <c r="C384" s="11"/>
      <c r="D384" s="11" t="s">
        <v>120</v>
      </c>
      <c r="E384" s="45">
        <v>50.26</v>
      </c>
      <c r="F384" s="28">
        <v>46112</v>
      </c>
    </row>
    <row r="385" spans="1:6">
      <c r="A385" s="11" t="s">
        <v>4219</v>
      </c>
      <c r="B385" s="11" t="s">
        <v>3134</v>
      </c>
      <c r="C385" s="11"/>
      <c r="D385" s="11" t="s">
        <v>121</v>
      </c>
      <c r="E385" s="45">
        <v>47.45</v>
      </c>
      <c r="F385" s="28">
        <v>46110</v>
      </c>
    </row>
    <row r="386" spans="1:6">
      <c r="A386" s="11" t="s">
        <v>4220</v>
      </c>
      <c r="B386" s="11" t="s">
        <v>3134</v>
      </c>
      <c r="C386" s="11"/>
      <c r="D386" s="11" t="s">
        <v>121</v>
      </c>
      <c r="E386" s="45">
        <v>47.45</v>
      </c>
      <c r="F386" s="28">
        <v>46110</v>
      </c>
    </row>
    <row r="387" spans="1:6">
      <c r="A387" s="11" t="s">
        <v>4221</v>
      </c>
      <c r="B387" s="11" t="s">
        <v>3134</v>
      </c>
      <c r="C387" s="11"/>
      <c r="D387" s="11" t="s">
        <v>121</v>
      </c>
      <c r="E387" s="45">
        <v>47.45</v>
      </c>
      <c r="F387" s="28">
        <v>46110</v>
      </c>
    </row>
    <row r="388" spans="1:6">
      <c r="A388" s="11" t="s">
        <v>4222</v>
      </c>
      <c r="B388" s="11" t="s">
        <v>3134</v>
      </c>
      <c r="C388" s="11"/>
      <c r="D388" s="11" t="s">
        <v>121</v>
      </c>
      <c r="E388" s="45">
        <v>47.45</v>
      </c>
      <c r="F388" s="28">
        <v>46110</v>
      </c>
    </row>
    <row r="389" spans="1:6">
      <c r="A389" s="11" t="s">
        <v>4223</v>
      </c>
      <c r="B389" s="11" t="s">
        <v>3134</v>
      </c>
      <c r="C389" s="11"/>
      <c r="D389" s="11" t="s">
        <v>121</v>
      </c>
      <c r="E389" s="45">
        <v>47.46</v>
      </c>
      <c r="F389" s="28">
        <v>46110</v>
      </c>
    </row>
    <row r="390" spans="1:6">
      <c r="A390" s="11" t="s">
        <v>4224</v>
      </c>
      <c r="B390" s="11" t="s">
        <v>3137</v>
      </c>
      <c r="C390" s="11"/>
      <c r="D390" s="11" t="s">
        <v>129</v>
      </c>
      <c r="E390" s="45">
        <v>24.36</v>
      </c>
      <c r="F390" s="28">
        <v>46111</v>
      </c>
    </row>
    <row r="391" spans="1:6">
      <c r="A391" s="11" t="s">
        <v>4225</v>
      </c>
      <c r="B391" s="11" t="s">
        <v>3137</v>
      </c>
      <c r="C391" s="11"/>
      <c r="D391" s="11" t="s">
        <v>129</v>
      </c>
      <c r="E391" s="45">
        <v>24.36</v>
      </c>
      <c r="F391" s="28">
        <v>46111</v>
      </c>
    </row>
    <row r="392" spans="1:6">
      <c r="A392" s="11" t="s">
        <v>4226</v>
      </c>
      <c r="B392" s="11" t="s">
        <v>3137</v>
      </c>
      <c r="C392" s="11"/>
      <c r="D392" s="11" t="s">
        <v>129</v>
      </c>
      <c r="E392" s="45">
        <v>24.36</v>
      </c>
      <c r="F392" s="28">
        <v>46111</v>
      </c>
    </row>
    <row r="393" spans="1:6">
      <c r="A393" s="11" t="s">
        <v>4227</v>
      </c>
      <c r="B393" s="11" t="s">
        <v>3137</v>
      </c>
      <c r="C393" s="11"/>
      <c r="D393" s="11" t="s">
        <v>129</v>
      </c>
      <c r="E393" s="45">
        <v>24.36</v>
      </c>
      <c r="F393" s="28">
        <v>46111</v>
      </c>
    </row>
    <row r="394" spans="1:6">
      <c r="A394" s="11" t="s">
        <v>4228</v>
      </c>
      <c r="B394" s="11" t="s">
        <v>3137</v>
      </c>
      <c r="C394" s="11"/>
      <c r="D394" s="11" t="s">
        <v>129</v>
      </c>
      <c r="E394" s="45">
        <v>24.37</v>
      </c>
      <c r="F394" s="28">
        <v>46111</v>
      </c>
    </row>
    <row r="395" spans="1:6">
      <c r="A395" s="11" t="s">
        <v>4229</v>
      </c>
      <c r="B395" s="11" t="s">
        <v>3140</v>
      </c>
      <c r="C395" s="11"/>
      <c r="D395" s="11" t="s">
        <v>123</v>
      </c>
      <c r="E395" s="45">
        <v>58.5</v>
      </c>
      <c r="F395" s="28">
        <v>46099</v>
      </c>
    </row>
    <row r="396" spans="1:6">
      <c r="A396" s="11" t="s">
        <v>4230</v>
      </c>
      <c r="B396" s="11" t="s">
        <v>3140</v>
      </c>
      <c r="C396" s="11"/>
      <c r="D396" s="11" t="s">
        <v>123</v>
      </c>
      <c r="E396" s="45">
        <v>58.5</v>
      </c>
      <c r="F396" s="28">
        <v>46099</v>
      </c>
    </row>
    <row r="397" spans="1:6">
      <c r="A397" s="11" t="s">
        <v>4231</v>
      </c>
      <c r="B397" s="11" t="s">
        <v>3140</v>
      </c>
      <c r="C397" s="11"/>
      <c r="D397" s="11" t="s">
        <v>123</v>
      </c>
      <c r="E397" s="45">
        <v>58.5</v>
      </c>
      <c r="F397" s="28">
        <v>46099</v>
      </c>
    </row>
    <row r="398" spans="1:6">
      <c r="A398" s="11" t="s">
        <v>4232</v>
      </c>
      <c r="B398" s="11" t="s">
        <v>3140</v>
      </c>
      <c r="C398" s="11"/>
      <c r="D398" s="11" t="s">
        <v>123</v>
      </c>
      <c r="E398" s="45">
        <v>58.5</v>
      </c>
      <c r="F398" s="28">
        <v>46099</v>
      </c>
    </row>
    <row r="399" spans="1:6">
      <c r="A399" s="11" t="s">
        <v>4233</v>
      </c>
      <c r="B399" s="11" t="s">
        <v>3140</v>
      </c>
      <c r="C399" s="11"/>
      <c r="D399" s="11" t="s">
        <v>123</v>
      </c>
      <c r="E399" s="45">
        <v>58.5</v>
      </c>
      <c r="F399" s="28">
        <v>46099</v>
      </c>
    </row>
    <row r="400" spans="1:6">
      <c r="A400" s="11" t="s">
        <v>4234</v>
      </c>
      <c r="B400" s="11" t="s">
        <v>3143</v>
      </c>
      <c r="C400" s="11"/>
      <c r="D400" s="11" t="s">
        <v>124</v>
      </c>
      <c r="E400" s="45">
        <v>53.91</v>
      </c>
      <c r="F400" s="28">
        <v>46105</v>
      </c>
    </row>
    <row r="401" spans="1:6">
      <c r="A401" s="11" t="s">
        <v>4235</v>
      </c>
      <c r="B401" s="11" t="s">
        <v>3143</v>
      </c>
      <c r="C401" s="11"/>
      <c r="D401" s="11" t="s">
        <v>124</v>
      </c>
      <c r="E401" s="45">
        <v>53.91</v>
      </c>
      <c r="F401" s="28">
        <v>46105</v>
      </c>
    </row>
    <row r="402" spans="1:6">
      <c r="A402" s="11" t="s">
        <v>4236</v>
      </c>
      <c r="B402" s="11" t="s">
        <v>3143</v>
      </c>
      <c r="C402" s="11"/>
      <c r="D402" s="11" t="s">
        <v>124</v>
      </c>
      <c r="E402" s="45">
        <v>53.91</v>
      </c>
      <c r="F402" s="28">
        <v>46105</v>
      </c>
    </row>
    <row r="403" spans="1:6">
      <c r="A403" s="11" t="s">
        <v>4237</v>
      </c>
      <c r="B403" s="11" t="s">
        <v>3143</v>
      </c>
      <c r="C403" s="11"/>
      <c r="D403" s="11" t="s">
        <v>124</v>
      </c>
      <c r="E403" s="45">
        <v>53.91</v>
      </c>
      <c r="F403" s="28">
        <v>46105</v>
      </c>
    </row>
    <row r="404" spans="1:6">
      <c r="A404" s="11" t="s">
        <v>4238</v>
      </c>
      <c r="B404" s="11" t="s">
        <v>3143</v>
      </c>
      <c r="C404" s="11"/>
      <c r="D404" s="11" t="s">
        <v>124</v>
      </c>
      <c r="E404" s="45">
        <v>53.93</v>
      </c>
      <c r="F404" s="28">
        <v>46105</v>
      </c>
    </row>
    <row r="405" spans="1:6">
      <c r="A405" s="11" t="s">
        <v>4239</v>
      </c>
      <c r="B405" s="11"/>
      <c r="C405" s="11" t="s">
        <v>2441</v>
      </c>
      <c r="D405" s="11" t="s">
        <v>176</v>
      </c>
      <c r="E405" s="45">
        <v>45.96</v>
      </c>
      <c r="F405" s="7" t="s">
        <v>1552</v>
      </c>
    </row>
    <row r="406" spans="1:6">
      <c r="A406" s="11" t="s">
        <v>4240</v>
      </c>
      <c r="B406" s="11"/>
      <c r="C406" s="11" t="s">
        <v>2441</v>
      </c>
      <c r="D406" s="11" t="s">
        <v>176</v>
      </c>
      <c r="E406" s="45">
        <v>45.96</v>
      </c>
      <c r="F406" s="7" t="s">
        <v>1552</v>
      </c>
    </row>
    <row r="407" spans="1:6">
      <c r="A407" s="11" t="s">
        <v>4241</v>
      </c>
      <c r="B407" s="11"/>
      <c r="C407" s="11" t="s">
        <v>2443</v>
      </c>
      <c r="D407" s="11" t="s">
        <v>190</v>
      </c>
      <c r="E407" s="45">
        <v>45.96</v>
      </c>
      <c r="F407" s="7" t="s">
        <v>2444</v>
      </c>
    </row>
    <row r="408" spans="1:6">
      <c r="A408" s="11" t="s">
        <v>4242</v>
      </c>
      <c r="B408" s="11"/>
      <c r="C408" s="11" t="s">
        <v>2443</v>
      </c>
      <c r="D408" s="11" t="s">
        <v>190</v>
      </c>
      <c r="E408" s="45">
        <v>45.96</v>
      </c>
      <c r="F408" s="7" t="s">
        <v>2444</v>
      </c>
    </row>
    <row r="409" spans="1:6">
      <c r="A409" s="11" t="s">
        <v>4243</v>
      </c>
      <c r="B409" s="11"/>
      <c r="C409" s="11" t="s">
        <v>2445</v>
      </c>
      <c r="D409" s="11" t="s">
        <v>199</v>
      </c>
      <c r="E409" s="45">
        <v>45.95</v>
      </c>
      <c r="F409" s="7" t="s">
        <v>2446</v>
      </c>
    </row>
    <row r="410" spans="1:6">
      <c r="A410" s="11" t="s">
        <v>4244</v>
      </c>
      <c r="B410" s="11"/>
      <c r="C410" s="11" t="s">
        <v>2445</v>
      </c>
      <c r="D410" s="11" t="s">
        <v>199</v>
      </c>
      <c r="E410" s="45">
        <v>42.18</v>
      </c>
      <c r="F410" s="7" t="s">
        <v>2446</v>
      </c>
    </row>
    <row r="411" spans="1:6">
      <c r="A411" s="11" t="s">
        <v>4245</v>
      </c>
      <c r="B411" s="11"/>
      <c r="C411" s="11" t="s">
        <v>2447</v>
      </c>
      <c r="D411" s="11" t="s">
        <v>158</v>
      </c>
      <c r="E411" s="45">
        <v>42.18</v>
      </c>
      <c r="F411" s="7" t="s">
        <v>2449</v>
      </c>
    </row>
    <row r="412" spans="1:6">
      <c r="A412" s="11" t="s">
        <v>4246</v>
      </c>
      <c r="B412" s="11"/>
      <c r="C412" s="11" t="s">
        <v>2447</v>
      </c>
      <c r="D412" s="11" t="s">
        <v>158</v>
      </c>
      <c r="E412" s="45">
        <v>42.18</v>
      </c>
      <c r="F412" s="7" t="s">
        <v>2449</v>
      </c>
    </row>
    <row r="413" spans="1:6">
      <c r="A413" s="11" t="s">
        <v>4247</v>
      </c>
      <c r="B413" s="11"/>
      <c r="C413" s="11" t="s">
        <v>2450</v>
      </c>
      <c r="D413" s="11" t="s">
        <v>182</v>
      </c>
      <c r="E413" s="45">
        <v>42.18</v>
      </c>
      <c r="F413" s="7" t="s">
        <v>1655</v>
      </c>
    </row>
    <row r="414" spans="1:6">
      <c r="A414" s="11" t="s">
        <v>4248</v>
      </c>
      <c r="B414" s="11"/>
      <c r="C414" s="11" t="s">
        <v>2450</v>
      </c>
      <c r="D414" s="11" t="s">
        <v>182</v>
      </c>
      <c r="E414" s="45">
        <v>42.19</v>
      </c>
      <c r="F414" s="7" t="s">
        <v>1655</v>
      </c>
    </row>
    <row r="415" spans="1:6">
      <c r="A415" s="11" t="s">
        <v>4249</v>
      </c>
      <c r="B415" s="11"/>
      <c r="C415" s="11" t="s">
        <v>2471</v>
      </c>
      <c r="D415" s="11" t="s">
        <v>199</v>
      </c>
      <c r="E415" s="45">
        <v>46.33</v>
      </c>
      <c r="F415" s="7" t="s">
        <v>1561</v>
      </c>
    </row>
    <row r="416" spans="1:6">
      <c r="A416" s="11" t="s">
        <v>4250</v>
      </c>
      <c r="B416" s="11"/>
      <c r="C416" s="11" t="s">
        <v>2471</v>
      </c>
      <c r="D416" s="11" t="s">
        <v>199</v>
      </c>
      <c r="E416" s="45">
        <v>46.33</v>
      </c>
      <c r="F416" s="7" t="s">
        <v>1561</v>
      </c>
    </row>
    <row r="417" spans="1:6">
      <c r="A417" s="11" t="s">
        <v>4251</v>
      </c>
      <c r="B417" s="11"/>
      <c r="C417" s="11" t="s">
        <v>2472</v>
      </c>
      <c r="D417" s="11" t="s">
        <v>157</v>
      </c>
      <c r="E417" s="45">
        <v>46.33</v>
      </c>
      <c r="F417" s="7" t="s">
        <v>1552</v>
      </c>
    </row>
    <row r="418" spans="1:6">
      <c r="A418" s="11" t="s">
        <v>4252</v>
      </c>
      <c r="B418" s="11"/>
      <c r="C418" s="11" t="s">
        <v>2472</v>
      </c>
      <c r="D418" s="11" t="s">
        <v>157</v>
      </c>
      <c r="E418" s="45">
        <v>46.33</v>
      </c>
      <c r="F418" s="7" t="s">
        <v>1552</v>
      </c>
    </row>
    <row r="419" spans="1:6">
      <c r="A419" s="11" t="s">
        <v>4253</v>
      </c>
      <c r="B419" s="11"/>
      <c r="C419" s="11" t="s">
        <v>2473</v>
      </c>
      <c r="D419" s="11" t="s">
        <v>180</v>
      </c>
      <c r="E419" s="45">
        <v>46.32</v>
      </c>
      <c r="F419" s="7" t="s">
        <v>2444</v>
      </c>
    </row>
    <row r="420" spans="1:6">
      <c r="A420" s="11" t="s">
        <v>4254</v>
      </c>
      <c r="B420" s="11"/>
      <c r="C420" s="11" t="s">
        <v>2473</v>
      </c>
      <c r="D420" s="11" t="s">
        <v>180</v>
      </c>
      <c r="E420" s="45">
        <v>57.9</v>
      </c>
      <c r="F420" s="7" t="s">
        <v>2444</v>
      </c>
    </row>
    <row r="421" spans="1:6">
      <c r="A421" s="11" t="s">
        <v>4255</v>
      </c>
      <c r="B421" s="11"/>
      <c r="C421" s="11" t="s">
        <v>2474</v>
      </c>
      <c r="D421" s="11" t="s">
        <v>169</v>
      </c>
      <c r="E421" s="45">
        <v>57.9</v>
      </c>
      <c r="F421" s="7" t="s">
        <v>2446</v>
      </c>
    </row>
    <row r="422" spans="1:6">
      <c r="A422" s="11" t="s">
        <v>4256</v>
      </c>
      <c r="B422" s="11"/>
      <c r="C422" s="11" t="s">
        <v>2474</v>
      </c>
      <c r="D422" s="11" t="s">
        <v>169</v>
      </c>
      <c r="E422" s="45">
        <v>57.9</v>
      </c>
      <c r="F422" s="7" t="s">
        <v>2446</v>
      </c>
    </row>
    <row r="423" spans="1:6">
      <c r="A423" s="11" t="s">
        <v>4257</v>
      </c>
      <c r="B423" s="11"/>
      <c r="C423" s="11" t="s">
        <v>2475</v>
      </c>
      <c r="D423" s="11" t="s">
        <v>2128</v>
      </c>
      <c r="E423" s="45">
        <v>57.9</v>
      </c>
      <c r="F423" s="7" t="s">
        <v>2449</v>
      </c>
    </row>
    <row r="424" spans="1:6">
      <c r="A424" s="11" t="s">
        <v>4258</v>
      </c>
      <c r="B424" s="11"/>
      <c r="C424" s="11" t="s">
        <v>2475</v>
      </c>
      <c r="D424" s="11" t="s">
        <v>2128</v>
      </c>
      <c r="E424" s="45">
        <v>57.92</v>
      </c>
      <c r="F424" s="7" t="s">
        <v>2449</v>
      </c>
    </row>
    <row r="425" spans="1:6">
      <c r="A425" s="11" t="s">
        <v>4259</v>
      </c>
      <c r="B425" s="11"/>
      <c r="C425" s="11" t="s">
        <v>2491</v>
      </c>
      <c r="D425" s="11" t="s">
        <v>180</v>
      </c>
      <c r="E425" s="45">
        <v>55.47</v>
      </c>
      <c r="F425" s="7" t="s">
        <v>1583</v>
      </c>
    </row>
    <row r="426" spans="1:6">
      <c r="A426" s="11" t="s">
        <v>4260</v>
      </c>
      <c r="B426" s="11"/>
      <c r="C426" s="11" t="s">
        <v>2491</v>
      </c>
      <c r="D426" s="11" t="s">
        <v>180</v>
      </c>
      <c r="E426" s="45">
        <v>55.47</v>
      </c>
      <c r="F426" s="7" t="s">
        <v>1583</v>
      </c>
    </row>
    <row r="427" spans="1:6">
      <c r="A427" s="11" t="s">
        <v>4261</v>
      </c>
      <c r="B427" s="11"/>
      <c r="C427" s="11" t="s">
        <v>2492</v>
      </c>
      <c r="D427" s="11" t="s">
        <v>2139</v>
      </c>
      <c r="E427" s="45">
        <v>55.47</v>
      </c>
      <c r="F427" s="7" t="s">
        <v>1561</v>
      </c>
    </row>
    <row r="428" spans="1:6">
      <c r="A428" s="11" t="s">
        <v>4262</v>
      </c>
      <c r="B428" s="11"/>
      <c r="C428" s="11" t="s">
        <v>2492</v>
      </c>
      <c r="D428" s="11" t="s">
        <v>2139</v>
      </c>
      <c r="E428" s="45">
        <v>55.47</v>
      </c>
      <c r="F428" s="7" t="s">
        <v>1561</v>
      </c>
    </row>
    <row r="429" spans="1:6">
      <c r="A429" s="11" t="s">
        <v>4263</v>
      </c>
      <c r="B429" s="11"/>
      <c r="C429" s="11" t="s">
        <v>2493</v>
      </c>
      <c r="D429" s="11" t="s">
        <v>2124</v>
      </c>
      <c r="E429" s="45">
        <v>55.47</v>
      </c>
      <c r="F429" s="7" t="s">
        <v>2448</v>
      </c>
    </row>
    <row r="430" spans="1:6">
      <c r="A430" s="11" t="s">
        <v>4264</v>
      </c>
      <c r="B430" s="11"/>
      <c r="C430" s="11" t="s">
        <v>2493</v>
      </c>
      <c r="D430" s="11" t="s">
        <v>2124</v>
      </c>
      <c r="E430" s="45">
        <v>51.25</v>
      </c>
      <c r="F430" s="7" t="s">
        <v>2448</v>
      </c>
    </row>
    <row r="431" spans="1:6">
      <c r="A431" s="11" t="s">
        <v>4265</v>
      </c>
      <c r="B431" s="11"/>
      <c r="C431" s="11" t="s">
        <v>2494</v>
      </c>
      <c r="D431" s="11" t="s">
        <v>163</v>
      </c>
      <c r="E431" s="45">
        <v>51.25</v>
      </c>
      <c r="F431" s="7" t="s">
        <v>2444</v>
      </c>
    </row>
    <row r="432" spans="1:6">
      <c r="A432" s="11" t="s">
        <v>4266</v>
      </c>
      <c r="B432" s="11"/>
      <c r="C432" s="11" t="s">
        <v>2494</v>
      </c>
      <c r="D432" s="11" t="s">
        <v>163</v>
      </c>
      <c r="E432" s="45">
        <v>51.25</v>
      </c>
      <c r="F432" s="7" t="s">
        <v>2444</v>
      </c>
    </row>
    <row r="433" spans="1:6">
      <c r="A433" s="11" t="s">
        <v>4267</v>
      </c>
      <c r="B433" s="11"/>
      <c r="C433" s="11" t="s">
        <v>2495</v>
      </c>
      <c r="D433" s="11" t="s">
        <v>186</v>
      </c>
      <c r="E433" s="45">
        <v>51.25</v>
      </c>
      <c r="F433" s="7" t="s">
        <v>2446</v>
      </c>
    </row>
    <row r="434" spans="1:6">
      <c r="A434" s="11" t="s">
        <v>4268</v>
      </c>
      <c r="B434" s="11"/>
      <c r="C434" s="11" t="s">
        <v>2495</v>
      </c>
      <c r="D434" s="11" t="s">
        <v>186</v>
      </c>
      <c r="E434" s="45">
        <v>51.25</v>
      </c>
      <c r="F434" s="7" t="s">
        <v>2446</v>
      </c>
    </row>
    <row r="435" spans="1:6">
      <c r="A435" s="11" t="s">
        <v>4269</v>
      </c>
      <c r="B435" s="11"/>
      <c r="C435" s="11" t="s">
        <v>2514</v>
      </c>
      <c r="D435" s="11" t="s">
        <v>2124</v>
      </c>
      <c r="E435" s="45">
        <v>52.84</v>
      </c>
      <c r="F435" s="7" t="s">
        <v>2437</v>
      </c>
    </row>
    <row r="436" spans="1:6">
      <c r="A436" s="11" t="s">
        <v>4270</v>
      </c>
      <c r="B436" s="11"/>
      <c r="C436" s="11" t="s">
        <v>2514</v>
      </c>
      <c r="D436" s="11" t="s">
        <v>2124</v>
      </c>
      <c r="E436" s="45">
        <v>52.84</v>
      </c>
      <c r="F436" s="7" t="s">
        <v>2437</v>
      </c>
    </row>
    <row r="437" spans="1:6">
      <c r="A437" s="11" t="s">
        <v>4271</v>
      </c>
      <c r="B437" s="11"/>
      <c r="C437" s="11" t="s">
        <v>2515</v>
      </c>
      <c r="D437" s="11" t="s">
        <v>160</v>
      </c>
      <c r="E437" s="45">
        <v>52.84</v>
      </c>
      <c r="F437" s="7" t="s">
        <v>1583</v>
      </c>
    </row>
    <row r="438" spans="1:6">
      <c r="A438" s="11" t="s">
        <v>4272</v>
      </c>
      <c r="B438" s="11"/>
      <c r="C438" s="11" t="s">
        <v>2515</v>
      </c>
      <c r="D438" s="11" t="s">
        <v>160</v>
      </c>
      <c r="E438" s="45">
        <v>52.84</v>
      </c>
      <c r="F438" s="7" t="s">
        <v>1583</v>
      </c>
    </row>
    <row r="439" spans="1:6">
      <c r="A439" s="11" t="s">
        <v>4273</v>
      </c>
      <c r="B439" s="11"/>
      <c r="C439" s="11" t="s">
        <v>2516</v>
      </c>
      <c r="D439" s="11" t="s">
        <v>184</v>
      </c>
      <c r="E439" s="45">
        <v>52.82</v>
      </c>
      <c r="F439" s="7" t="s">
        <v>1561</v>
      </c>
    </row>
    <row r="440" spans="1:6">
      <c r="A440" s="11" t="s">
        <v>4274</v>
      </c>
      <c r="B440" s="11"/>
      <c r="C440" s="11" t="s">
        <v>2516</v>
      </c>
      <c r="D440" s="11" t="s">
        <v>184</v>
      </c>
      <c r="E440" s="45">
        <v>55.34</v>
      </c>
      <c r="F440" s="7" t="s">
        <v>1561</v>
      </c>
    </row>
    <row r="441" spans="1:6">
      <c r="A441" s="11" t="s">
        <v>4275</v>
      </c>
      <c r="B441" s="11"/>
      <c r="C441" s="11" t="s">
        <v>2517</v>
      </c>
      <c r="D441" s="11" t="s">
        <v>174</v>
      </c>
      <c r="E441" s="45">
        <v>55.34</v>
      </c>
      <c r="F441" s="7" t="s">
        <v>2448</v>
      </c>
    </row>
    <row r="442" spans="1:6">
      <c r="A442" s="11" t="s">
        <v>4276</v>
      </c>
      <c r="B442" s="11"/>
      <c r="C442" s="11" t="s">
        <v>2517</v>
      </c>
      <c r="D442" s="11" t="s">
        <v>174</v>
      </c>
      <c r="E442" s="45">
        <v>55.34</v>
      </c>
      <c r="F442" s="7" t="s">
        <v>2448</v>
      </c>
    </row>
    <row r="443" spans="1:6">
      <c r="A443" s="11" t="s">
        <v>4277</v>
      </c>
      <c r="B443" s="11"/>
      <c r="C443" s="11" t="s">
        <v>2518</v>
      </c>
      <c r="D443" s="11" t="s">
        <v>152</v>
      </c>
      <c r="E443" s="45">
        <v>55.34</v>
      </c>
      <c r="F443" s="7" t="s">
        <v>2519</v>
      </c>
    </row>
    <row r="444" spans="1:6">
      <c r="A444" s="11" t="s">
        <v>4278</v>
      </c>
      <c r="B444" s="11"/>
      <c r="C444" s="11" t="s">
        <v>2518</v>
      </c>
      <c r="D444" s="11" t="s">
        <v>152</v>
      </c>
      <c r="E444" s="45">
        <v>55.33</v>
      </c>
      <c r="F444" s="7" t="s">
        <v>2519</v>
      </c>
    </row>
    <row r="445" spans="1:6">
      <c r="A445" s="11" t="s">
        <v>4279</v>
      </c>
      <c r="B445" s="11"/>
      <c r="C445" s="11" t="s">
        <v>2537</v>
      </c>
      <c r="D445" s="11" t="s">
        <v>184</v>
      </c>
      <c r="E445" s="45">
        <v>44.2</v>
      </c>
      <c r="F445" s="7" t="s">
        <v>2513</v>
      </c>
    </row>
    <row r="446" spans="1:6">
      <c r="A446" s="11" t="s">
        <v>4280</v>
      </c>
      <c r="B446" s="11"/>
      <c r="C446" s="11" t="s">
        <v>2537</v>
      </c>
      <c r="D446" s="11" t="s">
        <v>184</v>
      </c>
      <c r="E446" s="45">
        <v>44.2</v>
      </c>
      <c r="F446" s="7" t="s">
        <v>2513</v>
      </c>
    </row>
    <row r="447" spans="1:6">
      <c r="A447" s="11" t="s">
        <v>4281</v>
      </c>
      <c r="B447" s="11"/>
      <c r="C447" s="11" t="s">
        <v>2538</v>
      </c>
      <c r="D447" s="11" t="s">
        <v>172</v>
      </c>
      <c r="E447" s="45">
        <v>44.2</v>
      </c>
      <c r="F447" s="7" t="s">
        <v>1589</v>
      </c>
    </row>
    <row r="448" spans="1:6">
      <c r="A448" s="11" t="s">
        <v>4282</v>
      </c>
      <c r="B448" s="11"/>
      <c r="C448" s="11" t="s">
        <v>2538</v>
      </c>
      <c r="D448" s="11" t="s">
        <v>172</v>
      </c>
      <c r="E448" s="45">
        <v>44.2</v>
      </c>
      <c r="F448" s="7" t="s">
        <v>1589</v>
      </c>
    </row>
    <row r="449" spans="1:6">
      <c r="A449" s="11" t="s">
        <v>4283</v>
      </c>
      <c r="B449" s="11"/>
      <c r="C449" s="11" t="s">
        <v>2539</v>
      </c>
      <c r="D449" s="11" t="s">
        <v>2155</v>
      </c>
      <c r="E449" s="45">
        <v>44.21</v>
      </c>
      <c r="F449" s="7" t="s">
        <v>1583</v>
      </c>
    </row>
    <row r="450" spans="1:6">
      <c r="A450" s="11" t="s">
        <v>4284</v>
      </c>
      <c r="B450" s="11"/>
      <c r="C450" s="11" t="s">
        <v>2539</v>
      </c>
      <c r="D450" s="11" t="s">
        <v>2155</v>
      </c>
      <c r="E450" s="45">
        <v>46.55</v>
      </c>
      <c r="F450" s="7" t="s">
        <v>1583</v>
      </c>
    </row>
    <row r="451" spans="1:6">
      <c r="A451" s="11" t="s">
        <v>4285</v>
      </c>
      <c r="B451" s="11"/>
      <c r="C451" s="11" t="s">
        <v>2540</v>
      </c>
      <c r="D451" s="11" t="s">
        <v>167</v>
      </c>
      <c r="E451" s="45">
        <v>46.55</v>
      </c>
      <c r="F451" s="7" t="s">
        <v>1561</v>
      </c>
    </row>
    <row r="452" spans="1:6">
      <c r="A452" s="11" t="s">
        <v>4286</v>
      </c>
      <c r="B452" s="11"/>
      <c r="C452" s="11" t="s">
        <v>2540</v>
      </c>
      <c r="D452" s="11" t="s">
        <v>167</v>
      </c>
      <c r="E452" s="45">
        <v>46.55</v>
      </c>
      <c r="F452" s="7" t="s">
        <v>1561</v>
      </c>
    </row>
    <row r="453" spans="1:6">
      <c r="A453" s="11" t="s">
        <v>4287</v>
      </c>
      <c r="B453" s="11"/>
      <c r="C453" s="11" t="s">
        <v>2541</v>
      </c>
      <c r="D453" s="11" t="s">
        <v>190</v>
      </c>
      <c r="E453" s="45">
        <v>46.55</v>
      </c>
      <c r="F453" s="7" t="s">
        <v>2448</v>
      </c>
    </row>
    <row r="454" spans="1:6">
      <c r="A454" s="11" t="s">
        <v>4288</v>
      </c>
      <c r="B454" s="11"/>
      <c r="C454" s="11" t="s">
        <v>2541</v>
      </c>
      <c r="D454" s="11" t="s">
        <v>190</v>
      </c>
      <c r="E454" s="45">
        <v>46.56</v>
      </c>
      <c r="F454" s="7" t="s">
        <v>2448</v>
      </c>
    </row>
    <row r="455" spans="1:6">
      <c r="A455" s="11" t="s">
        <v>4289</v>
      </c>
      <c r="B455" s="11"/>
      <c r="C455" s="11" t="s">
        <v>2558</v>
      </c>
      <c r="D455" s="11" t="s">
        <v>2155</v>
      </c>
      <c r="E455" s="45">
        <v>43.39</v>
      </c>
      <c r="F455" s="7" t="s">
        <v>2429</v>
      </c>
    </row>
    <row r="456" spans="1:6">
      <c r="A456" s="11" t="s">
        <v>4290</v>
      </c>
      <c r="B456" s="11"/>
      <c r="C456" s="11" t="s">
        <v>2558</v>
      </c>
      <c r="D456" s="11" t="s">
        <v>2155</v>
      </c>
      <c r="E456" s="45">
        <v>43.39</v>
      </c>
      <c r="F456" s="7" t="s">
        <v>2429</v>
      </c>
    </row>
    <row r="457" spans="1:6">
      <c r="A457" s="11" t="s">
        <v>4291</v>
      </c>
      <c r="B457" s="11"/>
      <c r="C457" s="11" t="s">
        <v>2559</v>
      </c>
      <c r="D457" s="11" t="s">
        <v>165</v>
      </c>
      <c r="E457" s="45">
        <v>43.39</v>
      </c>
      <c r="F457" s="7" t="s">
        <v>2513</v>
      </c>
    </row>
    <row r="458" spans="1:6">
      <c r="A458" s="11" t="s">
        <v>4292</v>
      </c>
      <c r="B458" s="11"/>
      <c r="C458" s="11" t="s">
        <v>2559</v>
      </c>
      <c r="D458" s="11" t="s">
        <v>165</v>
      </c>
      <c r="E458" s="45">
        <v>43.39</v>
      </c>
      <c r="F458" s="7" t="s">
        <v>2513</v>
      </c>
    </row>
    <row r="459" spans="1:6">
      <c r="A459" s="11" t="s">
        <v>4293</v>
      </c>
      <c r="B459" s="11"/>
      <c r="C459" s="11" t="s">
        <v>2560</v>
      </c>
      <c r="D459" s="11" t="s">
        <v>188</v>
      </c>
      <c r="E459" s="45">
        <v>43.41</v>
      </c>
      <c r="F459" s="7" t="s">
        <v>1589</v>
      </c>
    </row>
    <row r="460" spans="1:6">
      <c r="A460" s="11" t="s">
        <v>4294</v>
      </c>
      <c r="B460" s="11"/>
      <c r="C460" s="11" t="s">
        <v>2560</v>
      </c>
      <c r="D460" s="11" t="s">
        <v>188</v>
      </c>
      <c r="E460" s="45">
        <v>41.32</v>
      </c>
      <c r="F460" s="7" t="s">
        <v>1589</v>
      </c>
    </row>
    <row r="461" spans="1:6">
      <c r="A461" s="11" t="s">
        <v>4295</v>
      </c>
      <c r="B461" s="11"/>
      <c r="C461" s="11" t="s">
        <v>2561</v>
      </c>
      <c r="D461" s="11" t="s">
        <v>198</v>
      </c>
      <c r="E461" s="45">
        <v>41.32</v>
      </c>
      <c r="F461" s="7" t="s">
        <v>1563</v>
      </c>
    </row>
    <row r="462" spans="1:6">
      <c r="A462" s="11" t="s">
        <v>4296</v>
      </c>
      <c r="B462" s="11"/>
      <c r="C462" s="11" t="s">
        <v>2561</v>
      </c>
      <c r="D462" s="11" t="s">
        <v>198</v>
      </c>
      <c r="E462" s="45">
        <v>41.32</v>
      </c>
      <c r="F462" s="7" t="s">
        <v>1563</v>
      </c>
    </row>
    <row r="463" spans="1:6">
      <c r="A463" s="11" t="s">
        <v>4297</v>
      </c>
      <c r="B463" s="11"/>
      <c r="C463" s="11" t="s">
        <v>2562</v>
      </c>
      <c r="D463" s="11" t="s">
        <v>157</v>
      </c>
      <c r="E463" s="45">
        <v>41.32</v>
      </c>
      <c r="F463" s="7" t="s">
        <v>1561</v>
      </c>
    </row>
    <row r="464" spans="1:6">
      <c r="A464" s="11" t="s">
        <v>4298</v>
      </c>
      <c r="B464" s="11"/>
      <c r="C464" s="11" t="s">
        <v>2562</v>
      </c>
      <c r="D464" s="11" t="s">
        <v>157</v>
      </c>
      <c r="E464" s="45">
        <v>41.32</v>
      </c>
      <c r="F464" s="7" t="s">
        <v>1561</v>
      </c>
    </row>
    <row r="465" spans="1:6">
      <c r="A465" s="11" t="s">
        <v>4299</v>
      </c>
      <c r="B465" s="11"/>
      <c r="C465" s="11" t="s">
        <v>2578</v>
      </c>
      <c r="D465" s="11" t="s">
        <v>188</v>
      </c>
      <c r="E465" s="45">
        <v>52.88</v>
      </c>
      <c r="F465" s="7" t="s">
        <v>1660</v>
      </c>
    </row>
    <row r="466" spans="1:6">
      <c r="A466" s="11" t="s">
        <v>4300</v>
      </c>
      <c r="B466" s="11"/>
      <c r="C466" s="11" t="s">
        <v>2578</v>
      </c>
      <c r="D466" s="11" t="s">
        <v>188</v>
      </c>
      <c r="E466" s="45">
        <v>52.88</v>
      </c>
      <c r="F466" s="7" t="s">
        <v>1660</v>
      </c>
    </row>
    <row r="467" spans="1:6">
      <c r="A467" s="11" t="s">
        <v>4301</v>
      </c>
      <c r="B467" s="11"/>
      <c r="C467" s="11" t="s">
        <v>2579</v>
      </c>
      <c r="D467" s="11" t="s">
        <v>175</v>
      </c>
      <c r="E467" s="45">
        <v>52.88</v>
      </c>
      <c r="F467" s="7" t="s">
        <v>2429</v>
      </c>
    </row>
    <row r="468" spans="1:6">
      <c r="A468" s="11" t="s">
        <v>4302</v>
      </c>
      <c r="B468" s="11"/>
      <c r="C468" s="11" t="s">
        <v>2579</v>
      </c>
      <c r="D468" s="11" t="s">
        <v>175</v>
      </c>
      <c r="E468" s="45">
        <v>52.88</v>
      </c>
      <c r="F468" s="7" t="s">
        <v>2429</v>
      </c>
    </row>
    <row r="469" spans="1:6">
      <c r="A469" s="11" t="s">
        <v>4303</v>
      </c>
      <c r="B469" s="11"/>
      <c r="C469" s="11" t="s">
        <v>2580</v>
      </c>
      <c r="D469" s="11" t="s">
        <v>155</v>
      </c>
      <c r="E469" s="45">
        <v>52.88</v>
      </c>
      <c r="F469" s="7" t="s">
        <v>2513</v>
      </c>
    </row>
    <row r="470" spans="1:6">
      <c r="A470" s="11" t="s">
        <v>4304</v>
      </c>
      <c r="B470" s="11"/>
      <c r="C470" s="11" t="s">
        <v>2580</v>
      </c>
      <c r="D470" s="11" t="s">
        <v>155</v>
      </c>
      <c r="E470" s="45">
        <v>55.62</v>
      </c>
      <c r="F470" s="7" t="s">
        <v>2513</v>
      </c>
    </row>
    <row r="471" spans="1:6">
      <c r="A471" s="11" t="s">
        <v>4305</v>
      </c>
      <c r="B471" s="11"/>
      <c r="C471" s="11" t="s">
        <v>2581</v>
      </c>
      <c r="D471" s="11" t="s">
        <v>178</v>
      </c>
      <c r="E471" s="45">
        <v>55.62</v>
      </c>
      <c r="F471" s="7" t="s">
        <v>1589</v>
      </c>
    </row>
    <row r="472" spans="1:6">
      <c r="A472" s="11" t="s">
        <v>4306</v>
      </c>
      <c r="B472" s="11"/>
      <c r="C472" s="11" t="s">
        <v>2581</v>
      </c>
      <c r="D472" s="11" t="s">
        <v>178</v>
      </c>
      <c r="E472" s="45">
        <v>55.62</v>
      </c>
      <c r="F472" s="7" t="s">
        <v>1589</v>
      </c>
    </row>
    <row r="473" spans="1:6">
      <c r="A473" s="11" t="s">
        <v>4307</v>
      </c>
      <c r="B473" s="11"/>
      <c r="C473" s="11" t="s">
        <v>2582</v>
      </c>
      <c r="D473" s="11" t="s">
        <v>2139</v>
      </c>
      <c r="E473" s="45">
        <v>55.62</v>
      </c>
      <c r="F473" s="7" t="s">
        <v>1563</v>
      </c>
    </row>
    <row r="474" spans="1:6">
      <c r="A474" s="11" t="s">
        <v>4308</v>
      </c>
      <c r="B474" s="11"/>
      <c r="C474" s="11" t="s">
        <v>2582</v>
      </c>
      <c r="D474" s="11" t="s">
        <v>2139</v>
      </c>
      <c r="E474" s="45">
        <v>55.63</v>
      </c>
      <c r="F474" s="7" t="s">
        <v>1563</v>
      </c>
    </row>
    <row r="475" spans="1:6">
      <c r="A475" s="11" t="s">
        <v>4309</v>
      </c>
      <c r="B475" s="11"/>
      <c r="C475" s="11" t="s">
        <v>2598</v>
      </c>
      <c r="D475" s="11" t="s">
        <v>155</v>
      </c>
      <c r="E475" s="45">
        <v>50.86</v>
      </c>
      <c r="F475" s="7" t="s">
        <v>2444</v>
      </c>
    </row>
    <row r="476" spans="1:6">
      <c r="A476" s="11" t="s">
        <v>4310</v>
      </c>
      <c r="B476" s="11"/>
      <c r="C476" s="11" t="s">
        <v>2598</v>
      </c>
      <c r="D476" s="11" t="s">
        <v>155</v>
      </c>
      <c r="E476" s="45">
        <v>50.86</v>
      </c>
      <c r="F476" s="7" t="s">
        <v>2444</v>
      </c>
    </row>
    <row r="477" spans="1:6">
      <c r="A477" s="11" t="s">
        <v>4311</v>
      </c>
      <c r="B477" s="11"/>
      <c r="C477" s="11" t="s">
        <v>2599</v>
      </c>
      <c r="D477" s="11" t="s">
        <v>176</v>
      </c>
      <c r="E477" s="45">
        <v>50.86</v>
      </c>
      <c r="F477" s="7" t="s">
        <v>2446</v>
      </c>
    </row>
    <row r="478" spans="1:6">
      <c r="A478" s="11" t="s">
        <v>4312</v>
      </c>
      <c r="B478" s="11"/>
      <c r="C478" s="11" t="s">
        <v>2599</v>
      </c>
      <c r="D478" s="11" t="s">
        <v>176</v>
      </c>
      <c r="E478" s="45">
        <v>50.86</v>
      </c>
      <c r="F478" s="7" t="s">
        <v>2446</v>
      </c>
    </row>
    <row r="479" spans="1:6">
      <c r="A479" s="11" t="s">
        <v>4313</v>
      </c>
      <c r="B479" s="11"/>
      <c r="C479" s="11" t="s">
        <v>2600</v>
      </c>
      <c r="D479" s="11" t="s">
        <v>2160</v>
      </c>
      <c r="E479" s="45">
        <v>50.84</v>
      </c>
      <c r="F479" s="7" t="s">
        <v>2429</v>
      </c>
    </row>
    <row r="480" spans="1:6">
      <c r="A480" s="11" t="s">
        <v>4314</v>
      </c>
      <c r="B480" s="11"/>
      <c r="C480" s="11" t="s">
        <v>2600</v>
      </c>
      <c r="D480" s="11" t="s">
        <v>2160</v>
      </c>
      <c r="E480" s="45">
        <v>46.53</v>
      </c>
      <c r="F480" s="7" t="s">
        <v>2429</v>
      </c>
    </row>
    <row r="481" spans="1:6">
      <c r="A481" s="11" t="s">
        <v>4315</v>
      </c>
      <c r="B481" s="11"/>
      <c r="C481" s="11" t="s">
        <v>2601</v>
      </c>
      <c r="D481" s="11" t="s">
        <v>150</v>
      </c>
      <c r="E481" s="45">
        <v>46.53</v>
      </c>
      <c r="F481" s="7" t="s">
        <v>1535</v>
      </c>
    </row>
    <row r="482" spans="1:6">
      <c r="A482" s="11" t="s">
        <v>4316</v>
      </c>
      <c r="B482" s="11"/>
      <c r="C482" s="11" t="s">
        <v>2601</v>
      </c>
      <c r="D482" s="11" t="s">
        <v>150</v>
      </c>
      <c r="E482" s="45">
        <v>46.53</v>
      </c>
      <c r="F482" s="7" t="s">
        <v>1535</v>
      </c>
    </row>
    <row r="483" spans="1:6">
      <c r="A483" s="11" t="s">
        <v>4317</v>
      </c>
      <c r="B483" s="11"/>
      <c r="C483" s="11" t="s">
        <v>2602</v>
      </c>
      <c r="D483" s="11" t="s">
        <v>160</v>
      </c>
      <c r="E483" s="45">
        <v>46.53</v>
      </c>
      <c r="F483" s="7" t="s">
        <v>1589</v>
      </c>
    </row>
    <row r="484" spans="1:6">
      <c r="A484" s="11" t="s">
        <v>4318</v>
      </c>
      <c r="B484" s="11"/>
      <c r="C484" s="11" t="s">
        <v>2602</v>
      </c>
      <c r="D484" s="11" t="s">
        <v>160</v>
      </c>
      <c r="E484" s="45">
        <v>46.51</v>
      </c>
      <c r="F484" s="7" t="s">
        <v>1589</v>
      </c>
    </row>
    <row r="485" spans="1:6">
      <c r="A485" s="11" t="s">
        <v>4319</v>
      </c>
      <c r="B485" s="11"/>
      <c r="C485" s="11" t="s">
        <v>2618</v>
      </c>
      <c r="D485" s="11" t="s">
        <v>2160</v>
      </c>
      <c r="E485" s="45">
        <v>57.96</v>
      </c>
      <c r="F485" s="7" t="s">
        <v>1552</v>
      </c>
    </row>
    <row r="486" spans="1:6">
      <c r="A486" s="11" t="s">
        <v>4320</v>
      </c>
      <c r="B486" s="11"/>
      <c r="C486" s="11" t="s">
        <v>2618</v>
      </c>
      <c r="D486" s="11" t="s">
        <v>2160</v>
      </c>
      <c r="E486" s="45">
        <v>57.96</v>
      </c>
      <c r="F486" s="7" t="s">
        <v>1552</v>
      </c>
    </row>
    <row r="487" spans="1:6">
      <c r="A487" s="11" t="s">
        <v>4321</v>
      </c>
      <c r="B487" s="11"/>
      <c r="C487" s="11" t="s">
        <v>2619</v>
      </c>
      <c r="D487" s="11" t="s">
        <v>199</v>
      </c>
      <c r="E487" s="45">
        <v>57.96</v>
      </c>
      <c r="F487" s="7" t="s">
        <v>2444</v>
      </c>
    </row>
    <row r="488" spans="1:6">
      <c r="A488" s="11" t="s">
        <v>4322</v>
      </c>
      <c r="B488" s="11"/>
      <c r="C488" s="11" t="s">
        <v>2619</v>
      </c>
      <c r="D488" s="11" t="s">
        <v>199</v>
      </c>
      <c r="E488" s="45">
        <v>57.96</v>
      </c>
      <c r="F488" s="7" t="s">
        <v>2444</v>
      </c>
    </row>
    <row r="489" spans="1:6">
      <c r="A489" s="11" t="s">
        <v>4323</v>
      </c>
      <c r="B489" s="11"/>
      <c r="C489" s="11" t="s">
        <v>2620</v>
      </c>
      <c r="D489" s="11" t="s">
        <v>158</v>
      </c>
      <c r="E489" s="45">
        <v>57.95</v>
      </c>
      <c r="F489" s="7" t="s">
        <v>2446</v>
      </c>
    </row>
    <row r="490" spans="1:6">
      <c r="A490" s="11" t="s">
        <v>4324</v>
      </c>
      <c r="B490" s="11"/>
      <c r="C490" s="11" t="s">
        <v>2620</v>
      </c>
      <c r="D490" s="11" t="s">
        <v>158</v>
      </c>
      <c r="E490" s="45">
        <v>54.48</v>
      </c>
      <c r="F490" s="7" t="s">
        <v>2446</v>
      </c>
    </row>
    <row r="491" spans="1:6">
      <c r="A491" s="11" t="s">
        <v>4325</v>
      </c>
      <c r="B491" s="11"/>
      <c r="C491" s="11" t="s">
        <v>2621</v>
      </c>
      <c r="D491" s="11" t="s">
        <v>182</v>
      </c>
      <c r="E491" s="45">
        <v>54.48</v>
      </c>
      <c r="F491" s="7" t="s">
        <v>2449</v>
      </c>
    </row>
    <row r="492" spans="1:6">
      <c r="A492" s="11" t="s">
        <v>4326</v>
      </c>
      <c r="B492" s="11"/>
      <c r="C492" s="11" t="s">
        <v>2621</v>
      </c>
      <c r="D492" s="11" t="s">
        <v>182</v>
      </c>
      <c r="E492" s="45">
        <v>54.48</v>
      </c>
      <c r="F492" s="7" t="s">
        <v>2449</v>
      </c>
    </row>
    <row r="493" spans="1:6">
      <c r="A493" s="11" t="s">
        <v>4327</v>
      </c>
      <c r="B493" s="11"/>
      <c r="C493" s="11" t="s">
        <v>2622</v>
      </c>
      <c r="D493" s="11" t="s">
        <v>172</v>
      </c>
      <c r="E493" s="45">
        <v>54.48</v>
      </c>
      <c r="F493" s="7" t="s">
        <v>1535</v>
      </c>
    </row>
    <row r="494" spans="1:6">
      <c r="A494" s="11" t="s">
        <v>4328</v>
      </c>
      <c r="B494" s="11"/>
      <c r="C494" s="11" t="s">
        <v>2622</v>
      </c>
      <c r="D494" s="11" t="s">
        <v>172</v>
      </c>
      <c r="E494" s="45">
        <v>54.48</v>
      </c>
      <c r="F494" s="7" t="s">
        <v>1535</v>
      </c>
    </row>
    <row r="495" spans="1:6">
      <c r="A495" s="11" t="s">
        <v>4329</v>
      </c>
      <c r="B495" s="11"/>
      <c r="C495" s="11" t="s">
        <v>2638</v>
      </c>
      <c r="D495" s="11" t="s">
        <v>158</v>
      </c>
      <c r="E495" s="45">
        <v>42.74</v>
      </c>
      <c r="F495" s="7" t="s">
        <v>1561</v>
      </c>
    </row>
    <row r="496" spans="1:6">
      <c r="A496" s="11" t="s">
        <v>4330</v>
      </c>
      <c r="B496" s="11"/>
      <c r="C496" s="11" t="s">
        <v>2638</v>
      </c>
      <c r="D496" s="11" t="s">
        <v>158</v>
      </c>
      <c r="E496" s="45">
        <v>42.74</v>
      </c>
      <c r="F496" s="7" t="s">
        <v>1561</v>
      </c>
    </row>
    <row r="497" spans="1:6">
      <c r="A497" s="11" t="s">
        <v>4331</v>
      </c>
      <c r="B497" s="11"/>
      <c r="C497" s="11" t="s">
        <v>2639</v>
      </c>
      <c r="D497" s="11" t="s">
        <v>180</v>
      </c>
      <c r="E497" s="45">
        <v>42.74</v>
      </c>
      <c r="F497" s="7" t="s">
        <v>1552</v>
      </c>
    </row>
    <row r="498" spans="1:6">
      <c r="A498" s="11" t="s">
        <v>4332</v>
      </c>
      <c r="B498" s="11"/>
      <c r="C498" s="11" t="s">
        <v>2639</v>
      </c>
      <c r="D498" s="11" t="s">
        <v>180</v>
      </c>
      <c r="E498" s="45">
        <v>42.74</v>
      </c>
      <c r="F498" s="7" t="s">
        <v>1552</v>
      </c>
    </row>
    <row r="499" spans="1:6">
      <c r="A499" s="11" t="s">
        <v>4333</v>
      </c>
      <c r="B499" s="11"/>
      <c r="C499" s="11" t="s">
        <v>2640</v>
      </c>
      <c r="D499" s="11" t="s">
        <v>169</v>
      </c>
      <c r="E499" s="45">
        <v>42.74</v>
      </c>
      <c r="F499" s="7" t="s">
        <v>2444</v>
      </c>
    </row>
    <row r="500" spans="1:6">
      <c r="A500" s="11" t="s">
        <v>4334</v>
      </c>
      <c r="B500" s="11"/>
      <c r="C500" s="11" t="s">
        <v>2640</v>
      </c>
      <c r="D500" s="11" t="s">
        <v>169</v>
      </c>
      <c r="E500" s="45">
        <v>52.01</v>
      </c>
      <c r="F500" s="7" t="s">
        <v>2444</v>
      </c>
    </row>
    <row r="501" spans="1:6">
      <c r="A501" s="11" t="s">
        <v>4335</v>
      </c>
      <c r="B501" s="11"/>
      <c r="C501" s="11" t="s">
        <v>2641</v>
      </c>
      <c r="D501" s="11" t="s">
        <v>2128</v>
      </c>
      <c r="E501" s="45">
        <v>52.01</v>
      </c>
      <c r="F501" s="7" t="s">
        <v>2446</v>
      </c>
    </row>
    <row r="502" spans="1:6">
      <c r="A502" s="11" t="s">
        <v>4336</v>
      </c>
      <c r="B502" s="11"/>
      <c r="C502" s="11" t="s">
        <v>2641</v>
      </c>
      <c r="D502" s="11" t="s">
        <v>2128</v>
      </c>
      <c r="E502" s="45">
        <v>52.01</v>
      </c>
      <c r="F502" s="7" t="s">
        <v>2446</v>
      </c>
    </row>
    <row r="503" spans="1:6">
      <c r="A503" s="11" t="s">
        <v>4337</v>
      </c>
      <c r="B503" s="11"/>
      <c r="C503" s="11" t="s">
        <v>2642</v>
      </c>
      <c r="D503" s="11" t="s">
        <v>165</v>
      </c>
      <c r="E503" s="45">
        <v>52.01</v>
      </c>
      <c r="F503" s="7" t="s">
        <v>2449</v>
      </c>
    </row>
    <row r="504" spans="1:6">
      <c r="A504" s="11" t="s">
        <v>4338</v>
      </c>
      <c r="B504" s="11"/>
      <c r="C504" s="11" t="s">
        <v>2642</v>
      </c>
      <c r="D504" s="11" t="s">
        <v>165</v>
      </c>
      <c r="E504" s="45">
        <v>51.93</v>
      </c>
      <c r="F504" s="7" t="s">
        <v>2449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25CA-D997-E845-ACA9-1267C23CB49C}">
  <sheetPr codeName="Sheet19">
    <tabColor rgb="FF002060"/>
  </sheetPr>
  <dimension ref="A1:S15"/>
  <sheetViews>
    <sheetView topLeftCell="L1" workbookViewId="0">
      <selection activeCell="Q1" sqref="Q1"/>
    </sheetView>
  </sheetViews>
  <sheetFormatPr defaultColWidth="11.5546875" defaultRowHeight="15.95"/>
  <cols>
    <col min="1" max="1" width="21.6640625" bestFit="1" customWidth="1"/>
    <col min="2" max="2" width="29.44140625" bestFit="1" customWidth="1"/>
    <col min="3" max="3" width="16.77734375" bestFit="1" customWidth="1"/>
    <col min="4" max="4" width="18.44140625" bestFit="1" customWidth="1"/>
    <col min="5" max="5" width="12.109375" bestFit="1" customWidth="1"/>
    <col min="6" max="6" width="26.109375" bestFit="1" customWidth="1"/>
    <col min="7" max="7" width="14.44140625" bestFit="1" customWidth="1"/>
    <col min="8" max="8" width="44.44140625" bestFit="1" customWidth="1"/>
    <col min="9" max="9" width="32.6640625" bestFit="1" customWidth="1"/>
    <col min="10" max="10" width="24.44140625" customWidth="1"/>
    <col min="11" max="11" width="31.77734375" bestFit="1" customWidth="1"/>
    <col min="12" max="12" width="41.33203125" bestFit="1" customWidth="1"/>
    <col min="13" max="13" width="18.6640625" customWidth="1"/>
    <col min="15" max="15" width="15.109375" customWidth="1"/>
    <col min="16" max="16" width="17.44140625" customWidth="1"/>
    <col min="17" max="17" width="7.6640625" bestFit="1" customWidth="1"/>
    <col min="18" max="18" width="9.109375" bestFit="1" customWidth="1"/>
    <col min="19" max="19" width="52.44140625" bestFit="1" customWidth="1"/>
  </cols>
  <sheetData>
    <row r="1" spans="1:19" ht="33.950000000000003">
      <c r="A1" s="29" t="s">
        <v>4339</v>
      </c>
      <c r="B1" s="30" t="s">
        <v>4340</v>
      </c>
      <c r="C1" s="30" t="s">
        <v>4341</v>
      </c>
      <c r="D1" s="30" t="s">
        <v>2811</v>
      </c>
      <c r="E1" s="30" t="s">
        <v>764</v>
      </c>
      <c r="F1" s="30" t="s">
        <v>4342</v>
      </c>
      <c r="G1" s="30" t="s">
        <v>415</v>
      </c>
      <c r="H1" s="30" t="s">
        <v>4343</v>
      </c>
      <c r="I1" s="30" t="s">
        <v>4344</v>
      </c>
      <c r="J1" s="30" t="s">
        <v>4345</v>
      </c>
      <c r="K1" s="30" t="s">
        <v>4346</v>
      </c>
      <c r="L1" s="30" t="s">
        <v>4347</v>
      </c>
      <c r="M1" s="30" t="s">
        <v>1161</v>
      </c>
      <c r="N1" s="30" t="s">
        <v>4348</v>
      </c>
      <c r="O1" s="30" t="s">
        <v>4349</v>
      </c>
      <c r="P1" s="30" t="s">
        <v>4350</v>
      </c>
      <c r="Q1" s="30" t="s">
        <v>2812</v>
      </c>
      <c r="R1" s="30" t="s">
        <v>2813</v>
      </c>
      <c r="S1" s="30" t="s">
        <v>421</v>
      </c>
    </row>
    <row r="2" spans="1:19">
      <c r="A2" s="11" t="s">
        <v>1297</v>
      </c>
      <c r="B2" s="5" t="s">
        <v>4351</v>
      </c>
      <c r="C2" s="5" t="s">
        <v>4352</v>
      </c>
      <c r="D2" s="5" t="s">
        <v>572</v>
      </c>
      <c r="E2" s="5" t="s">
        <v>971</v>
      </c>
      <c r="F2" s="5" t="s">
        <v>4353</v>
      </c>
      <c r="G2" s="5" t="s">
        <v>426</v>
      </c>
      <c r="H2" s="5" t="s">
        <v>2925</v>
      </c>
      <c r="I2" s="5" t="s">
        <v>429</v>
      </c>
      <c r="J2" s="5" t="s">
        <v>4354</v>
      </c>
      <c r="K2" s="5" t="s">
        <v>4355</v>
      </c>
      <c r="L2" s="5" t="s">
        <v>4356</v>
      </c>
      <c r="M2" s="5" t="s">
        <v>427</v>
      </c>
      <c r="N2" s="8">
        <v>25000</v>
      </c>
      <c r="O2" s="8">
        <v>0</v>
      </c>
      <c r="P2" s="8">
        <v>18000</v>
      </c>
      <c r="Q2" s="19">
        <v>51.954999999999998</v>
      </c>
      <c r="R2" s="19">
        <v>4.1420000000000003</v>
      </c>
      <c r="S2" s="5" t="s">
        <v>4357</v>
      </c>
    </row>
    <row r="3" spans="1:19">
      <c r="A3" s="11" t="s">
        <v>1313</v>
      </c>
      <c r="B3" s="5" t="s">
        <v>4358</v>
      </c>
      <c r="C3" s="5" t="s">
        <v>4352</v>
      </c>
      <c r="D3" s="5" t="s">
        <v>576</v>
      </c>
      <c r="E3" s="5" t="s">
        <v>1031</v>
      </c>
      <c r="F3" s="5" t="s">
        <v>4359</v>
      </c>
      <c r="G3" s="5" t="s">
        <v>426</v>
      </c>
      <c r="H3" s="5" t="s">
        <v>2925</v>
      </c>
      <c r="I3" s="5" t="s">
        <v>1186</v>
      </c>
      <c r="J3" s="5" t="s">
        <v>4354</v>
      </c>
      <c r="K3" s="5" t="s">
        <v>4355</v>
      </c>
      <c r="L3" s="5" t="s">
        <v>4360</v>
      </c>
      <c r="M3" s="5" t="s">
        <v>427</v>
      </c>
      <c r="N3" s="8">
        <v>18000</v>
      </c>
      <c r="O3" s="8">
        <v>0</v>
      </c>
      <c r="P3" s="8">
        <v>12000</v>
      </c>
      <c r="Q3" s="19">
        <v>51.26</v>
      </c>
      <c r="R3" s="19">
        <v>4.4000000000000004</v>
      </c>
      <c r="S3" s="5" t="s">
        <v>4361</v>
      </c>
    </row>
    <row r="4" spans="1:19">
      <c r="A4" s="11" t="s">
        <v>1328</v>
      </c>
      <c r="B4" s="5" t="s">
        <v>4362</v>
      </c>
      <c r="C4" s="5" t="s">
        <v>4352</v>
      </c>
      <c r="D4" s="5" t="s">
        <v>564</v>
      </c>
      <c r="E4" s="5" t="s">
        <v>4363</v>
      </c>
      <c r="F4" s="5" t="s">
        <v>4364</v>
      </c>
      <c r="G4" s="5" t="s">
        <v>426</v>
      </c>
      <c r="H4" s="5" t="s">
        <v>2925</v>
      </c>
      <c r="I4" s="5" t="s">
        <v>216</v>
      </c>
      <c r="J4" s="5">
        <v>3</v>
      </c>
      <c r="K4" s="5" t="s">
        <v>4365</v>
      </c>
      <c r="L4" s="5" t="s">
        <v>4366</v>
      </c>
      <c r="M4" s="5" t="s">
        <v>427</v>
      </c>
      <c r="N4" s="8">
        <v>9000</v>
      </c>
      <c r="O4" s="8">
        <v>0</v>
      </c>
      <c r="P4" s="8">
        <v>6500</v>
      </c>
      <c r="Q4" s="19">
        <v>44.405000000000001</v>
      </c>
      <c r="R4" s="19">
        <v>8.9440000000000008</v>
      </c>
      <c r="S4" s="5" t="s">
        <v>4367</v>
      </c>
    </row>
    <row r="5" spans="1:19">
      <c r="A5" s="11" t="s">
        <v>4368</v>
      </c>
      <c r="B5" s="5" t="s">
        <v>4369</v>
      </c>
      <c r="C5" s="5" t="s">
        <v>4370</v>
      </c>
      <c r="D5" s="5" t="s">
        <v>556</v>
      </c>
      <c r="E5" s="5" t="s">
        <v>4371</v>
      </c>
      <c r="F5" s="5" t="s">
        <v>4372</v>
      </c>
      <c r="G5" s="5" t="s">
        <v>4370</v>
      </c>
      <c r="H5" s="5" t="s">
        <v>4373</v>
      </c>
      <c r="I5" s="5" t="s">
        <v>4374</v>
      </c>
      <c r="J5" s="5" t="s">
        <v>4375</v>
      </c>
      <c r="K5" s="5" t="s">
        <v>4365</v>
      </c>
      <c r="L5" s="5" t="s">
        <v>4360</v>
      </c>
      <c r="M5" s="5" t="s">
        <v>427</v>
      </c>
      <c r="N5" s="8">
        <v>1200</v>
      </c>
      <c r="O5" s="8">
        <v>4200</v>
      </c>
      <c r="P5" s="8">
        <v>3500</v>
      </c>
      <c r="Q5" s="19">
        <v>53.545999999999999</v>
      </c>
      <c r="R5" s="19">
        <v>9.9659999999999993</v>
      </c>
      <c r="S5" s="5" t="s">
        <v>4376</v>
      </c>
    </row>
    <row r="6" spans="1:19">
      <c r="A6" s="11" t="s">
        <v>1375</v>
      </c>
      <c r="B6" s="5" t="s">
        <v>4377</v>
      </c>
      <c r="C6" s="5" t="s">
        <v>4378</v>
      </c>
      <c r="D6" s="5" t="s">
        <v>553</v>
      </c>
      <c r="E6" s="5" t="s">
        <v>4379</v>
      </c>
      <c r="F6" s="5" t="s">
        <v>4380</v>
      </c>
      <c r="G6" s="5" t="s">
        <v>4381</v>
      </c>
      <c r="H6" s="5" t="s">
        <v>4382</v>
      </c>
      <c r="I6" s="5" t="s">
        <v>486</v>
      </c>
      <c r="J6" s="5" t="s">
        <v>4354</v>
      </c>
      <c r="K6" s="5" t="s">
        <v>4383</v>
      </c>
      <c r="L6" s="5" t="s">
        <v>4384</v>
      </c>
      <c r="M6" s="5" t="s">
        <v>427</v>
      </c>
      <c r="N6" s="8">
        <v>5000</v>
      </c>
      <c r="O6" s="8">
        <v>2500</v>
      </c>
      <c r="P6" s="8">
        <v>9000</v>
      </c>
      <c r="Q6" s="19">
        <v>18.948</v>
      </c>
      <c r="R6" s="19">
        <v>72.953000000000003</v>
      </c>
      <c r="S6" s="5" t="s">
        <v>4385</v>
      </c>
    </row>
    <row r="7" spans="1:19">
      <c r="A7" s="11" t="s">
        <v>1343</v>
      </c>
      <c r="B7" s="5" t="s">
        <v>4386</v>
      </c>
      <c r="C7" s="5" t="s">
        <v>4370</v>
      </c>
      <c r="D7" s="5" t="s">
        <v>553</v>
      </c>
      <c r="E7" s="5" t="s">
        <v>4387</v>
      </c>
      <c r="F7" s="5" t="s">
        <v>4388</v>
      </c>
      <c r="G7" s="5" t="s">
        <v>4370</v>
      </c>
      <c r="H7" s="5" t="s">
        <v>4373</v>
      </c>
      <c r="I7" s="5" t="s">
        <v>486</v>
      </c>
      <c r="J7" s="5" t="s">
        <v>4354</v>
      </c>
      <c r="K7" s="5" t="s">
        <v>4389</v>
      </c>
      <c r="L7" s="5" t="s">
        <v>1177</v>
      </c>
      <c r="M7" s="5" t="s">
        <v>427</v>
      </c>
      <c r="N7" s="8">
        <v>900</v>
      </c>
      <c r="O7" s="8">
        <v>6000</v>
      </c>
      <c r="P7" s="8">
        <v>6500</v>
      </c>
      <c r="Q7" s="19">
        <v>19.280999999999999</v>
      </c>
      <c r="R7" s="19">
        <v>73.055999999999997</v>
      </c>
      <c r="S7" s="5" t="s">
        <v>4390</v>
      </c>
    </row>
    <row r="8" spans="1:19">
      <c r="A8" s="11" t="s">
        <v>1351</v>
      </c>
      <c r="B8" s="5" t="s">
        <v>4391</v>
      </c>
      <c r="C8" s="5" t="s">
        <v>4370</v>
      </c>
      <c r="D8" s="5" t="s">
        <v>553</v>
      </c>
      <c r="E8" s="5" t="s">
        <v>777</v>
      </c>
      <c r="F8" s="5" t="s">
        <v>4392</v>
      </c>
      <c r="G8" s="5" t="s">
        <v>4370</v>
      </c>
      <c r="H8" s="5" t="s">
        <v>4373</v>
      </c>
      <c r="I8" s="5" t="s">
        <v>1186</v>
      </c>
      <c r="J8" s="5" t="s">
        <v>4354</v>
      </c>
      <c r="K8" s="5" t="s">
        <v>4393</v>
      </c>
      <c r="L8" s="5" t="s">
        <v>1177</v>
      </c>
      <c r="M8" s="5" t="s">
        <v>427</v>
      </c>
      <c r="N8" s="8">
        <v>700</v>
      </c>
      <c r="O8" s="8">
        <v>4200</v>
      </c>
      <c r="P8" s="8">
        <v>4800</v>
      </c>
      <c r="Q8" s="19">
        <v>23.021999999999998</v>
      </c>
      <c r="R8" s="19">
        <v>72.570999999999998</v>
      </c>
      <c r="S8" s="5" t="s">
        <v>4394</v>
      </c>
    </row>
    <row r="9" spans="1:19">
      <c r="A9" s="11" t="s">
        <v>1359</v>
      </c>
      <c r="B9" s="5" t="s">
        <v>4395</v>
      </c>
      <c r="C9" s="5" t="s">
        <v>4370</v>
      </c>
      <c r="D9" s="5" t="s">
        <v>553</v>
      </c>
      <c r="E9" s="5" t="s">
        <v>941</v>
      </c>
      <c r="F9" s="5" t="s">
        <v>4396</v>
      </c>
      <c r="G9" s="5" t="s">
        <v>4370</v>
      </c>
      <c r="H9" s="5" t="s">
        <v>4397</v>
      </c>
      <c r="I9" s="5" t="s">
        <v>4374</v>
      </c>
      <c r="J9" s="5" t="s">
        <v>4354</v>
      </c>
      <c r="K9" s="5" t="s">
        <v>4393</v>
      </c>
      <c r="L9" s="5" t="s">
        <v>1177</v>
      </c>
      <c r="M9" s="5" t="s">
        <v>427</v>
      </c>
      <c r="N9" s="8">
        <v>550</v>
      </c>
      <c r="O9" s="8">
        <v>3800</v>
      </c>
      <c r="P9" s="8">
        <v>4200</v>
      </c>
      <c r="Q9" s="19">
        <v>17.385000000000002</v>
      </c>
      <c r="R9" s="19">
        <v>78.486999999999995</v>
      </c>
      <c r="S9" s="5" t="s">
        <v>4398</v>
      </c>
    </row>
    <row r="10" spans="1:19">
      <c r="A10" s="11" t="s">
        <v>1367</v>
      </c>
      <c r="B10" s="5" t="s">
        <v>4399</v>
      </c>
      <c r="C10" s="5" t="s">
        <v>4370</v>
      </c>
      <c r="D10" s="5" t="s">
        <v>553</v>
      </c>
      <c r="E10" s="5" t="s">
        <v>4400</v>
      </c>
      <c r="F10" s="5" t="s">
        <v>4401</v>
      </c>
      <c r="G10" s="5" t="s">
        <v>4370</v>
      </c>
      <c r="H10" s="5" t="s">
        <v>4397</v>
      </c>
      <c r="I10" s="5" t="s">
        <v>4402</v>
      </c>
      <c r="J10" s="5" t="s">
        <v>4354</v>
      </c>
      <c r="K10" s="5" t="s">
        <v>4393</v>
      </c>
      <c r="L10" s="5" t="s">
        <v>1177</v>
      </c>
      <c r="M10" s="5" t="s">
        <v>427</v>
      </c>
      <c r="N10" s="8">
        <v>600</v>
      </c>
      <c r="O10" s="8">
        <v>4500</v>
      </c>
      <c r="P10" s="8">
        <v>5000</v>
      </c>
      <c r="Q10" s="19">
        <v>28.21</v>
      </c>
      <c r="R10" s="19">
        <v>76.864999999999995</v>
      </c>
      <c r="S10" s="5" t="s">
        <v>4403</v>
      </c>
    </row>
    <row r="11" spans="1:19">
      <c r="A11" s="11" t="s">
        <v>4404</v>
      </c>
      <c r="B11" s="5" t="s">
        <v>4405</v>
      </c>
      <c r="C11" s="5" t="s">
        <v>4370</v>
      </c>
      <c r="D11" s="5" t="s">
        <v>553</v>
      </c>
      <c r="E11" s="5" t="s">
        <v>869</v>
      </c>
      <c r="F11" s="5" t="s">
        <v>4406</v>
      </c>
      <c r="G11" s="5" t="s">
        <v>4370</v>
      </c>
      <c r="H11" s="5" t="s">
        <v>4397</v>
      </c>
      <c r="I11" s="5" t="s">
        <v>4402</v>
      </c>
      <c r="J11" s="5" t="s">
        <v>4354</v>
      </c>
      <c r="K11" s="5" t="s">
        <v>4393</v>
      </c>
      <c r="L11" s="5" t="s">
        <v>1177</v>
      </c>
      <c r="M11" s="5" t="s">
        <v>427</v>
      </c>
      <c r="N11" s="8">
        <v>420</v>
      </c>
      <c r="O11" s="8">
        <v>2600</v>
      </c>
      <c r="P11" s="8">
        <v>2800</v>
      </c>
      <c r="Q11" s="19">
        <v>22.571999999999999</v>
      </c>
      <c r="R11" s="19">
        <v>88.364000000000004</v>
      </c>
      <c r="S11" s="5" t="s">
        <v>4407</v>
      </c>
    </row>
    <row r="12" spans="1:19">
      <c r="A12" s="11" t="s">
        <v>1391</v>
      </c>
      <c r="B12" s="5" t="s">
        <v>4408</v>
      </c>
      <c r="C12" s="5" t="s">
        <v>4370</v>
      </c>
      <c r="D12" s="5" t="s">
        <v>639</v>
      </c>
      <c r="E12" s="5" t="s">
        <v>4409</v>
      </c>
      <c r="F12" s="5" t="s">
        <v>4410</v>
      </c>
      <c r="G12" s="5" t="s">
        <v>4370</v>
      </c>
      <c r="H12" s="5" t="s">
        <v>4411</v>
      </c>
      <c r="I12" s="5" t="s">
        <v>429</v>
      </c>
      <c r="J12" s="5" t="s">
        <v>4354</v>
      </c>
      <c r="K12" s="5" t="s">
        <v>4412</v>
      </c>
      <c r="L12" s="5" t="s">
        <v>4413</v>
      </c>
      <c r="M12" s="5" t="s">
        <v>427</v>
      </c>
      <c r="N12" s="8">
        <v>800</v>
      </c>
      <c r="O12" s="8">
        <v>3200</v>
      </c>
      <c r="P12" s="8">
        <v>3800</v>
      </c>
      <c r="Q12" s="19">
        <v>40.734999999999999</v>
      </c>
      <c r="R12" s="19">
        <v>-74.171999999999997</v>
      </c>
      <c r="S12" s="5" t="s">
        <v>4414</v>
      </c>
    </row>
    <row r="13" spans="1:19">
      <c r="A13" s="11" t="s">
        <v>1399</v>
      </c>
      <c r="B13" s="5" t="s">
        <v>4415</v>
      </c>
      <c r="C13" s="5" t="s">
        <v>4370</v>
      </c>
      <c r="D13" s="5" t="s">
        <v>639</v>
      </c>
      <c r="E13" s="5" t="s">
        <v>4416</v>
      </c>
      <c r="F13" s="5" t="s">
        <v>4417</v>
      </c>
      <c r="G13" s="5" t="s">
        <v>4370</v>
      </c>
      <c r="H13" s="5" t="s">
        <v>4397</v>
      </c>
      <c r="I13" s="5" t="s">
        <v>4374</v>
      </c>
      <c r="J13" s="5" t="s">
        <v>4354</v>
      </c>
      <c r="K13" s="5" t="s">
        <v>4412</v>
      </c>
      <c r="L13" s="5" t="s">
        <v>4418</v>
      </c>
      <c r="M13" s="5" t="s">
        <v>427</v>
      </c>
      <c r="N13" s="8">
        <v>650</v>
      </c>
      <c r="O13" s="8">
        <v>2800</v>
      </c>
      <c r="P13" s="8">
        <v>3100</v>
      </c>
      <c r="Q13" s="19">
        <v>41.878</v>
      </c>
      <c r="R13" s="19">
        <v>-87.63</v>
      </c>
      <c r="S13" s="5" t="s">
        <v>4419</v>
      </c>
    </row>
    <row r="14" spans="1:19">
      <c r="A14" s="11" t="s">
        <v>1383</v>
      </c>
      <c r="B14" s="5" t="s">
        <v>4420</v>
      </c>
      <c r="C14" s="5" t="s">
        <v>4421</v>
      </c>
      <c r="D14" s="5" t="s">
        <v>714</v>
      </c>
      <c r="E14" s="5" t="s">
        <v>1004</v>
      </c>
      <c r="F14" s="5" t="s">
        <v>4422</v>
      </c>
      <c r="G14" s="5" t="s">
        <v>4370</v>
      </c>
      <c r="H14" s="5" t="s">
        <v>4423</v>
      </c>
      <c r="I14" s="5" t="s">
        <v>1238</v>
      </c>
      <c r="J14" s="5" t="s">
        <v>4354</v>
      </c>
      <c r="K14" s="5" t="s">
        <v>4424</v>
      </c>
      <c r="L14" s="5" t="s">
        <v>4425</v>
      </c>
      <c r="M14" s="5" t="s">
        <v>427</v>
      </c>
      <c r="N14" s="8">
        <v>500</v>
      </c>
      <c r="O14" s="8">
        <v>2200</v>
      </c>
      <c r="P14" s="8">
        <v>2600</v>
      </c>
      <c r="Q14" s="19">
        <v>25.346</v>
      </c>
      <c r="R14" s="19">
        <v>55.42</v>
      </c>
      <c r="S14" s="5" t="s">
        <v>4426</v>
      </c>
    </row>
    <row r="15" spans="1:19">
      <c r="A15" s="11" t="s">
        <v>4427</v>
      </c>
      <c r="B15" s="5" t="s">
        <v>4428</v>
      </c>
      <c r="C15" s="5" t="s">
        <v>4370</v>
      </c>
      <c r="D15" s="5" t="s">
        <v>667</v>
      </c>
      <c r="E15" s="5" t="s">
        <v>787</v>
      </c>
      <c r="F15" s="5" t="s">
        <v>4429</v>
      </c>
      <c r="G15" s="5" t="s">
        <v>4370</v>
      </c>
      <c r="H15" s="5" t="s">
        <v>4373</v>
      </c>
      <c r="I15" s="5" t="s">
        <v>4430</v>
      </c>
      <c r="J15" s="5" t="s">
        <v>4354</v>
      </c>
      <c r="K15" s="5" t="s">
        <v>4431</v>
      </c>
      <c r="L15" s="5" t="s">
        <v>4432</v>
      </c>
      <c r="M15" s="5" t="s">
        <v>427</v>
      </c>
      <c r="N15" s="8">
        <v>700</v>
      </c>
      <c r="O15" s="8">
        <v>3000</v>
      </c>
      <c r="P15" s="8">
        <v>3400</v>
      </c>
      <c r="Q15" s="19">
        <v>31.23</v>
      </c>
      <c r="R15" s="19">
        <v>121.474</v>
      </c>
      <c r="S15" s="5" t="s">
        <v>4433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5090-88E3-1C4E-ADE1-89AD2B50A53F}">
  <sheetPr codeName="Sheet20">
    <tabColor rgb="FF002060"/>
  </sheetPr>
  <dimension ref="A1:Q268"/>
  <sheetViews>
    <sheetView workbookViewId="0">
      <selection activeCell="B8" sqref="B8"/>
    </sheetView>
  </sheetViews>
  <sheetFormatPr defaultColWidth="11.5546875" defaultRowHeight="15.95"/>
  <cols>
    <col min="1" max="1" width="30.33203125" bestFit="1" customWidth="1"/>
    <col min="2" max="2" width="21.6640625" bestFit="1" customWidth="1"/>
    <col min="3" max="3" width="10" bestFit="1" customWidth="1"/>
    <col min="4" max="4" width="9.77734375" bestFit="1" customWidth="1"/>
    <col min="5" max="5" width="10" bestFit="1" customWidth="1"/>
    <col min="6" max="6" width="9.77734375" bestFit="1" customWidth="1"/>
    <col min="7" max="7" width="13" bestFit="1" customWidth="1"/>
    <col min="8" max="8" width="14.44140625" bestFit="1" customWidth="1"/>
    <col min="9" max="9" width="32.6640625" bestFit="1" customWidth="1"/>
    <col min="10" max="10" width="25.109375" bestFit="1" customWidth="1"/>
    <col min="11" max="11" width="41.109375" bestFit="1" customWidth="1"/>
    <col min="12" max="12" width="17.44140625" bestFit="1" customWidth="1"/>
    <col min="13" max="13" width="15.109375" bestFit="1" customWidth="1"/>
    <col min="14" max="14" width="19.6640625" bestFit="1" customWidth="1"/>
    <col min="15" max="15" width="20.77734375" bestFit="1" customWidth="1"/>
    <col min="16" max="16" width="11.33203125" bestFit="1" customWidth="1"/>
    <col min="17" max="17" width="39.44140625" bestFit="1" customWidth="1"/>
  </cols>
  <sheetData>
    <row r="1" spans="1:17">
      <c r="A1" s="35" t="s">
        <v>4434</v>
      </c>
      <c r="B1" s="36" t="s">
        <v>4435</v>
      </c>
      <c r="C1" s="24" t="s">
        <v>4436</v>
      </c>
      <c r="D1" s="24" t="s">
        <v>4437</v>
      </c>
      <c r="E1" s="24" t="s">
        <v>4438</v>
      </c>
      <c r="F1" s="24" t="s">
        <v>4439</v>
      </c>
      <c r="G1" s="24" t="s">
        <v>4440</v>
      </c>
      <c r="H1" s="24" t="s">
        <v>4441</v>
      </c>
      <c r="I1" s="24" t="s">
        <v>4442</v>
      </c>
      <c r="J1" s="24" t="s">
        <v>4343</v>
      </c>
      <c r="K1" s="24" t="s">
        <v>4443</v>
      </c>
      <c r="L1" s="24" t="s">
        <v>4444</v>
      </c>
      <c r="M1" s="24" t="s">
        <v>4445</v>
      </c>
      <c r="N1" s="24" t="s">
        <v>4446</v>
      </c>
      <c r="O1" s="24" t="s">
        <v>4447</v>
      </c>
      <c r="P1" s="24" t="s">
        <v>768</v>
      </c>
      <c r="Q1" s="24" t="s">
        <v>421</v>
      </c>
    </row>
    <row r="2" spans="1:17">
      <c r="A2" s="5" t="s">
        <v>4448</v>
      </c>
      <c r="B2" s="5" t="s">
        <v>1297</v>
      </c>
      <c r="C2" s="5" t="s">
        <v>4449</v>
      </c>
      <c r="D2" s="5" t="s">
        <v>4450</v>
      </c>
      <c r="E2" s="5" t="s">
        <v>4450</v>
      </c>
      <c r="F2" s="5" t="s">
        <v>4450</v>
      </c>
      <c r="G2" s="5" t="s">
        <v>4450</v>
      </c>
      <c r="H2" s="5" t="s">
        <v>4451</v>
      </c>
      <c r="I2" s="5" t="s">
        <v>429</v>
      </c>
      <c r="J2" s="5" t="s">
        <v>2925</v>
      </c>
      <c r="K2" s="5" t="s">
        <v>4452</v>
      </c>
      <c r="L2" s="5" t="s">
        <v>427</v>
      </c>
      <c r="M2" s="8">
        <v>1</v>
      </c>
      <c r="N2" s="8">
        <v>30000</v>
      </c>
      <c r="O2" s="5" t="s">
        <v>4453</v>
      </c>
      <c r="P2" s="5" t="s">
        <v>780</v>
      </c>
      <c r="Q2" s="5" t="s">
        <v>4454</v>
      </c>
    </row>
    <row r="3" spans="1:17">
      <c r="A3" s="5" t="s">
        <v>4455</v>
      </c>
      <c r="B3" s="5" t="s">
        <v>1297</v>
      </c>
      <c r="C3" s="5" t="s">
        <v>4449</v>
      </c>
      <c r="D3" s="5" t="s">
        <v>4450</v>
      </c>
      <c r="E3" s="5" t="s">
        <v>4450</v>
      </c>
      <c r="F3" s="5" t="s">
        <v>4450</v>
      </c>
      <c r="G3" s="5" t="s">
        <v>4450</v>
      </c>
      <c r="H3" s="5" t="s">
        <v>4451</v>
      </c>
      <c r="I3" s="5" t="s">
        <v>429</v>
      </c>
      <c r="J3" s="5" t="s">
        <v>2925</v>
      </c>
      <c r="K3" s="5" t="s">
        <v>4452</v>
      </c>
      <c r="L3" s="5" t="s">
        <v>427</v>
      </c>
      <c r="M3" s="8">
        <v>1</v>
      </c>
      <c r="N3" s="8">
        <v>30000</v>
      </c>
      <c r="O3" s="5" t="s">
        <v>4453</v>
      </c>
      <c r="P3" s="5" t="s">
        <v>780</v>
      </c>
      <c r="Q3" s="5" t="s">
        <v>4454</v>
      </c>
    </row>
    <row r="4" spans="1:17">
      <c r="A4" s="5" t="s">
        <v>4456</v>
      </c>
      <c r="B4" s="5" t="s">
        <v>1297</v>
      </c>
      <c r="C4" s="5" t="s">
        <v>4449</v>
      </c>
      <c r="D4" s="5" t="s">
        <v>4450</v>
      </c>
      <c r="E4" s="5" t="s">
        <v>4450</v>
      </c>
      <c r="F4" s="5" t="s">
        <v>4450</v>
      </c>
      <c r="G4" s="5" t="s">
        <v>4450</v>
      </c>
      <c r="H4" s="5" t="s">
        <v>4451</v>
      </c>
      <c r="I4" s="5" t="s">
        <v>429</v>
      </c>
      <c r="J4" s="5" t="s">
        <v>2925</v>
      </c>
      <c r="K4" s="5" t="s">
        <v>4452</v>
      </c>
      <c r="L4" s="5" t="s">
        <v>427</v>
      </c>
      <c r="M4" s="8">
        <v>1</v>
      </c>
      <c r="N4" s="8">
        <v>30000</v>
      </c>
      <c r="O4" s="5" t="s">
        <v>4453</v>
      </c>
      <c r="P4" s="5" t="s">
        <v>780</v>
      </c>
      <c r="Q4" s="5" t="s">
        <v>4454</v>
      </c>
    </row>
    <row r="5" spans="1:17">
      <c r="A5" s="5" t="s">
        <v>4457</v>
      </c>
      <c r="B5" s="5" t="s">
        <v>1297</v>
      </c>
      <c r="C5" s="5" t="s">
        <v>4449</v>
      </c>
      <c r="D5" s="5" t="s">
        <v>4450</v>
      </c>
      <c r="E5" s="5" t="s">
        <v>4450</v>
      </c>
      <c r="F5" s="5" t="s">
        <v>4450</v>
      </c>
      <c r="G5" s="5" t="s">
        <v>4450</v>
      </c>
      <c r="H5" s="5" t="s">
        <v>4451</v>
      </c>
      <c r="I5" s="5" t="s">
        <v>429</v>
      </c>
      <c r="J5" s="5" t="s">
        <v>2925</v>
      </c>
      <c r="K5" s="5" t="s">
        <v>4452</v>
      </c>
      <c r="L5" s="5" t="s">
        <v>427</v>
      </c>
      <c r="M5" s="8">
        <v>1</v>
      </c>
      <c r="N5" s="8">
        <v>30000</v>
      </c>
      <c r="O5" s="5" t="s">
        <v>4453</v>
      </c>
      <c r="P5" s="5" t="s">
        <v>780</v>
      </c>
      <c r="Q5" s="5" t="s">
        <v>4454</v>
      </c>
    </row>
    <row r="6" spans="1:17">
      <c r="A6" s="5" t="s">
        <v>4458</v>
      </c>
      <c r="B6" s="5" t="s">
        <v>1297</v>
      </c>
      <c r="C6" s="5" t="s">
        <v>4449</v>
      </c>
      <c r="D6" s="5" t="s">
        <v>4450</v>
      </c>
      <c r="E6" s="5" t="s">
        <v>4450</v>
      </c>
      <c r="F6" s="5" t="s">
        <v>4450</v>
      </c>
      <c r="G6" s="5" t="s">
        <v>4450</v>
      </c>
      <c r="H6" s="5" t="s">
        <v>4451</v>
      </c>
      <c r="I6" s="5" t="s">
        <v>429</v>
      </c>
      <c r="J6" s="5" t="s">
        <v>2925</v>
      </c>
      <c r="K6" s="5" t="s">
        <v>4452</v>
      </c>
      <c r="L6" s="5" t="s">
        <v>427</v>
      </c>
      <c r="M6" s="8">
        <v>1</v>
      </c>
      <c r="N6" s="8">
        <v>30000</v>
      </c>
      <c r="O6" s="5" t="s">
        <v>4453</v>
      </c>
      <c r="P6" s="5" t="s">
        <v>780</v>
      </c>
      <c r="Q6" s="5" t="s">
        <v>4454</v>
      </c>
    </row>
    <row r="7" spans="1:17">
      <c r="A7" s="5" t="s">
        <v>4459</v>
      </c>
      <c r="B7" s="5" t="s">
        <v>1297</v>
      </c>
      <c r="C7" s="5" t="s">
        <v>4449</v>
      </c>
      <c r="D7" s="5" t="s">
        <v>4450</v>
      </c>
      <c r="E7" s="5" t="s">
        <v>4450</v>
      </c>
      <c r="F7" s="5" t="s">
        <v>4450</v>
      </c>
      <c r="G7" s="5" t="s">
        <v>4450</v>
      </c>
      <c r="H7" s="5" t="s">
        <v>4451</v>
      </c>
      <c r="I7" s="5" t="s">
        <v>429</v>
      </c>
      <c r="J7" s="5" t="s">
        <v>2925</v>
      </c>
      <c r="K7" s="5" t="s">
        <v>4452</v>
      </c>
      <c r="L7" s="5" t="s">
        <v>427</v>
      </c>
      <c r="M7" s="8">
        <v>1</v>
      </c>
      <c r="N7" s="8">
        <v>30000</v>
      </c>
      <c r="O7" s="5" t="s">
        <v>4453</v>
      </c>
      <c r="P7" s="5" t="s">
        <v>780</v>
      </c>
      <c r="Q7" s="5" t="s">
        <v>4454</v>
      </c>
    </row>
    <row r="8" spans="1:17">
      <c r="A8" s="5" t="s">
        <v>4460</v>
      </c>
      <c r="B8" s="5" t="s">
        <v>1297</v>
      </c>
      <c r="C8" s="5" t="s">
        <v>4449</v>
      </c>
      <c r="D8" s="5" t="s">
        <v>4450</v>
      </c>
      <c r="E8" s="5" t="s">
        <v>4450</v>
      </c>
      <c r="F8" s="5" t="s">
        <v>4450</v>
      </c>
      <c r="G8" s="5" t="s">
        <v>4450</v>
      </c>
      <c r="H8" s="5" t="s">
        <v>4451</v>
      </c>
      <c r="I8" s="5" t="s">
        <v>429</v>
      </c>
      <c r="J8" s="5" t="s">
        <v>2925</v>
      </c>
      <c r="K8" s="5" t="s">
        <v>4452</v>
      </c>
      <c r="L8" s="5" t="s">
        <v>427</v>
      </c>
      <c r="M8" s="8">
        <v>1</v>
      </c>
      <c r="N8" s="8">
        <v>30000</v>
      </c>
      <c r="O8" s="5" t="s">
        <v>4453</v>
      </c>
      <c r="P8" s="5" t="s">
        <v>780</v>
      </c>
      <c r="Q8" s="5" t="s">
        <v>4454</v>
      </c>
    </row>
    <row r="9" spans="1:17">
      <c r="A9" s="5" t="s">
        <v>4461</v>
      </c>
      <c r="B9" s="5" t="s">
        <v>1297</v>
      </c>
      <c r="C9" s="5" t="s">
        <v>4449</v>
      </c>
      <c r="D9" s="5" t="s">
        <v>4450</v>
      </c>
      <c r="E9" s="5" t="s">
        <v>4450</v>
      </c>
      <c r="F9" s="5" t="s">
        <v>4450</v>
      </c>
      <c r="G9" s="5" t="s">
        <v>4450</v>
      </c>
      <c r="H9" s="5" t="s">
        <v>4451</v>
      </c>
      <c r="I9" s="5" t="s">
        <v>429</v>
      </c>
      <c r="J9" s="5" t="s">
        <v>2925</v>
      </c>
      <c r="K9" s="5" t="s">
        <v>4452</v>
      </c>
      <c r="L9" s="5" t="s">
        <v>427</v>
      </c>
      <c r="M9" s="8">
        <v>1</v>
      </c>
      <c r="N9" s="8">
        <v>30000</v>
      </c>
      <c r="O9" s="5" t="s">
        <v>4453</v>
      </c>
      <c r="P9" s="5" t="s">
        <v>780</v>
      </c>
      <c r="Q9" s="5" t="s">
        <v>4454</v>
      </c>
    </row>
    <row r="10" spans="1:17">
      <c r="A10" s="5" t="s">
        <v>4462</v>
      </c>
      <c r="B10" s="5" t="s">
        <v>1297</v>
      </c>
      <c r="C10" s="5" t="s">
        <v>4463</v>
      </c>
      <c r="D10" s="5" t="s">
        <v>428</v>
      </c>
      <c r="E10" s="5" t="s">
        <v>4464</v>
      </c>
      <c r="F10" s="5">
        <v>1</v>
      </c>
      <c r="G10" s="5">
        <v>1</v>
      </c>
      <c r="H10" s="5" t="s">
        <v>4465</v>
      </c>
      <c r="I10" s="5" t="s">
        <v>429</v>
      </c>
      <c r="J10" s="5" t="s">
        <v>1192</v>
      </c>
      <c r="K10" s="5" t="s">
        <v>4466</v>
      </c>
      <c r="L10" s="5" t="s">
        <v>427</v>
      </c>
      <c r="M10" s="8">
        <v>4</v>
      </c>
      <c r="N10" s="8">
        <v>1200</v>
      </c>
      <c r="O10" s="5" t="s">
        <v>4467</v>
      </c>
      <c r="P10" s="5" t="s">
        <v>780</v>
      </c>
      <c r="Q10" s="5" t="s">
        <v>4468</v>
      </c>
    </row>
    <row r="11" spans="1:17">
      <c r="A11" s="5" t="s">
        <v>4469</v>
      </c>
      <c r="B11" s="5" t="s">
        <v>1297</v>
      </c>
      <c r="C11" s="5" t="s">
        <v>4463</v>
      </c>
      <c r="D11" s="5" t="s">
        <v>428</v>
      </c>
      <c r="E11" s="5" t="s">
        <v>4464</v>
      </c>
      <c r="F11" s="5">
        <v>1</v>
      </c>
      <c r="G11" s="5">
        <v>2</v>
      </c>
      <c r="H11" s="5" t="s">
        <v>4465</v>
      </c>
      <c r="I11" s="5" t="s">
        <v>429</v>
      </c>
      <c r="J11" s="5" t="s">
        <v>1192</v>
      </c>
      <c r="K11" s="5" t="s">
        <v>4466</v>
      </c>
      <c r="L11" s="5" t="s">
        <v>427</v>
      </c>
      <c r="M11" s="8">
        <v>4</v>
      </c>
      <c r="N11" s="8">
        <v>1200</v>
      </c>
      <c r="O11" s="5" t="s">
        <v>4467</v>
      </c>
      <c r="P11" s="5" t="s">
        <v>780</v>
      </c>
      <c r="Q11" s="5" t="s">
        <v>4468</v>
      </c>
    </row>
    <row r="12" spans="1:17">
      <c r="A12" s="5" t="s">
        <v>4470</v>
      </c>
      <c r="B12" s="5" t="s">
        <v>1297</v>
      </c>
      <c r="C12" s="5" t="s">
        <v>4463</v>
      </c>
      <c r="D12" s="5" t="s">
        <v>428</v>
      </c>
      <c r="E12" s="5" t="s">
        <v>4464</v>
      </c>
      <c r="F12" s="5">
        <v>2</v>
      </c>
      <c r="G12" s="5">
        <v>1</v>
      </c>
      <c r="H12" s="5" t="s">
        <v>4465</v>
      </c>
      <c r="I12" s="5" t="s">
        <v>429</v>
      </c>
      <c r="J12" s="5" t="s">
        <v>1192</v>
      </c>
      <c r="K12" s="5" t="s">
        <v>4466</v>
      </c>
      <c r="L12" s="5" t="s">
        <v>427</v>
      </c>
      <c r="M12" s="8">
        <v>4</v>
      </c>
      <c r="N12" s="8">
        <v>1200</v>
      </c>
      <c r="O12" s="5" t="s">
        <v>4467</v>
      </c>
      <c r="P12" s="5" t="s">
        <v>780</v>
      </c>
      <c r="Q12" s="5" t="s">
        <v>4468</v>
      </c>
    </row>
    <row r="13" spans="1:17">
      <c r="A13" s="5" t="s">
        <v>4471</v>
      </c>
      <c r="B13" s="5" t="s">
        <v>1297</v>
      </c>
      <c r="C13" s="5" t="s">
        <v>4463</v>
      </c>
      <c r="D13" s="5" t="s">
        <v>428</v>
      </c>
      <c r="E13" s="5" t="s">
        <v>4464</v>
      </c>
      <c r="F13" s="5">
        <v>2</v>
      </c>
      <c r="G13" s="5">
        <v>2</v>
      </c>
      <c r="H13" s="5" t="s">
        <v>4465</v>
      </c>
      <c r="I13" s="5" t="s">
        <v>429</v>
      </c>
      <c r="J13" s="5" t="s">
        <v>1192</v>
      </c>
      <c r="K13" s="5" t="s">
        <v>4466</v>
      </c>
      <c r="L13" s="5" t="s">
        <v>427</v>
      </c>
      <c r="M13" s="8">
        <v>4</v>
      </c>
      <c r="N13" s="8">
        <v>1200</v>
      </c>
      <c r="O13" s="5" t="s">
        <v>4467</v>
      </c>
      <c r="P13" s="5" t="s">
        <v>780</v>
      </c>
      <c r="Q13" s="5" t="s">
        <v>4468</v>
      </c>
    </row>
    <row r="14" spans="1:17">
      <c r="A14" s="5" t="s">
        <v>4472</v>
      </c>
      <c r="B14" s="5" t="s">
        <v>1297</v>
      </c>
      <c r="C14" s="5" t="s">
        <v>4463</v>
      </c>
      <c r="D14" s="5" t="s">
        <v>428</v>
      </c>
      <c r="E14" s="5" t="s">
        <v>4473</v>
      </c>
      <c r="F14" s="5">
        <v>1</v>
      </c>
      <c r="G14" s="5">
        <v>1</v>
      </c>
      <c r="H14" s="5" t="s">
        <v>4465</v>
      </c>
      <c r="I14" s="5" t="s">
        <v>429</v>
      </c>
      <c r="J14" s="5" t="s">
        <v>1192</v>
      </c>
      <c r="K14" s="5" t="s">
        <v>4466</v>
      </c>
      <c r="L14" s="5" t="s">
        <v>427</v>
      </c>
      <c r="M14" s="8">
        <v>4</v>
      </c>
      <c r="N14" s="8">
        <v>1200</v>
      </c>
      <c r="O14" s="5" t="s">
        <v>4467</v>
      </c>
      <c r="P14" s="5" t="s">
        <v>780</v>
      </c>
      <c r="Q14" s="5" t="s">
        <v>4468</v>
      </c>
    </row>
    <row r="15" spans="1:17">
      <c r="A15" s="5" t="s">
        <v>4474</v>
      </c>
      <c r="B15" s="5" t="s">
        <v>1297</v>
      </c>
      <c r="C15" s="5" t="s">
        <v>4463</v>
      </c>
      <c r="D15" s="5" t="s">
        <v>428</v>
      </c>
      <c r="E15" s="5" t="s">
        <v>4473</v>
      </c>
      <c r="F15" s="5">
        <v>1</v>
      </c>
      <c r="G15" s="5">
        <v>2</v>
      </c>
      <c r="H15" s="5" t="s">
        <v>4465</v>
      </c>
      <c r="I15" s="5" t="s">
        <v>429</v>
      </c>
      <c r="J15" s="5" t="s">
        <v>1192</v>
      </c>
      <c r="K15" s="5" t="s">
        <v>4466</v>
      </c>
      <c r="L15" s="5" t="s">
        <v>427</v>
      </c>
      <c r="M15" s="8">
        <v>4</v>
      </c>
      <c r="N15" s="8">
        <v>1200</v>
      </c>
      <c r="O15" s="5" t="s">
        <v>4467</v>
      </c>
      <c r="P15" s="5" t="s">
        <v>780</v>
      </c>
      <c r="Q15" s="5" t="s">
        <v>4468</v>
      </c>
    </row>
    <row r="16" spans="1:17">
      <c r="A16" s="5" t="s">
        <v>4475</v>
      </c>
      <c r="B16" s="5" t="s">
        <v>1297</v>
      </c>
      <c r="C16" s="5" t="s">
        <v>4463</v>
      </c>
      <c r="D16" s="5" t="s">
        <v>428</v>
      </c>
      <c r="E16" s="5" t="s">
        <v>4473</v>
      </c>
      <c r="F16" s="5">
        <v>2</v>
      </c>
      <c r="G16" s="5">
        <v>1</v>
      </c>
      <c r="H16" s="5" t="s">
        <v>4465</v>
      </c>
      <c r="I16" s="5" t="s">
        <v>429</v>
      </c>
      <c r="J16" s="5" t="s">
        <v>1192</v>
      </c>
      <c r="K16" s="5" t="s">
        <v>4466</v>
      </c>
      <c r="L16" s="5" t="s">
        <v>427</v>
      </c>
      <c r="M16" s="8">
        <v>4</v>
      </c>
      <c r="N16" s="8">
        <v>1200</v>
      </c>
      <c r="O16" s="5" t="s">
        <v>4467</v>
      </c>
      <c r="P16" s="5" t="s">
        <v>780</v>
      </c>
      <c r="Q16" s="5" t="s">
        <v>4468</v>
      </c>
    </row>
    <row r="17" spans="1:17">
      <c r="A17" s="5" t="s">
        <v>4476</v>
      </c>
      <c r="B17" s="5" t="s">
        <v>1297</v>
      </c>
      <c r="C17" s="5" t="s">
        <v>4463</v>
      </c>
      <c r="D17" s="5" t="s">
        <v>428</v>
      </c>
      <c r="E17" s="5" t="s">
        <v>4473</v>
      </c>
      <c r="F17" s="5">
        <v>2</v>
      </c>
      <c r="G17" s="5">
        <v>2</v>
      </c>
      <c r="H17" s="5" t="s">
        <v>4465</v>
      </c>
      <c r="I17" s="5" t="s">
        <v>429</v>
      </c>
      <c r="J17" s="5" t="s">
        <v>1192</v>
      </c>
      <c r="K17" s="5" t="s">
        <v>4466</v>
      </c>
      <c r="L17" s="5" t="s">
        <v>427</v>
      </c>
      <c r="M17" s="8">
        <v>4</v>
      </c>
      <c r="N17" s="8">
        <v>1200</v>
      </c>
      <c r="O17" s="5" t="s">
        <v>4467</v>
      </c>
      <c r="P17" s="5" t="s">
        <v>780</v>
      </c>
      <c r="Q17" s="5" t="s">
        <v>4468</v>
      </c>
    </row>
    <row r="18" spans="1:17">
      <c r="A18" s="5" t="s">
        <v>4477</v>
      </c>
      <c r="B18" s="5" t="s">
        <v>1297</v>
      </c>
      <c r="C18" s="5" t="s">
        <v>4463</v>
      </c>
      <c r="D18" s="5" t="s">
        <v>428</v>
      </c>
      <c r="E18" s="5" t="s">
        <v>4478</v>
      </c>
      <c r="F18" s="5">
        <v>1</v>
      </c>
      <c r="G18" s="5">
        <v>1</v>
      </c>
      <c r="H18" s="5" t="s">
        <v>4465</v>
      </c>
      <c r="I18" s="5" t="s">
        <v>429</v>
      </c>
      <c r="J18" s="5" t="s">
        <v>1192</v>
      </c>
      <c r="K18" s="5" t="s">
        <v>4466</v>
      </c>
      <c r="L18" s="5" t="s">
        <v>427</v>
      </c>
      <c r="M18" s="8">
        <v>4</v>
      </c>
      <c r="N18" s="8">
        <v>1200</v>
      </c>
      <c r="O18" s="5" t="s">
        <v>4467</v>
      </c>
      <c r="P18" s="5" t="s">
        <v>780</v>
      </c>
      <c r="Q18" s="5" t="s">
        <v>4468</v>
      </c>
    </row>
    <row r="19" spans="1:17">
      <c r="A19" s="5" t="s">
        <v>4479</v>
      </c>
      <c r="B19" s="5" t="s">
        <v>1297</v>
      </c>
      <c r="C19" s="5" t="s">
        <v>4463</v>
      </c>
      <c r="D19" s="5" t="s">
        <v>428</v>
      </c>
      <c r="E19" s="5" t="s">
        <v>4478</v>
      </c>
      <c r="F19" s="5">
        <v>1</v>
      </c>
      <c r="G19" s="5">
        <v>2</v>
      </c>
      <c r="H19" s="5" t="s">
        <v>4465</v>
      </c>
      <c r="I19" s="5" t="s">
        <v>429</v>
      </c>
      <c r="J19" s="5" t="s">
        <v>1192</v>
      </c>
      <c r="K19" s="5" t="s">
        <v>4466</v>
      </c>
      <c r="L19" s="5" t="s">
        <v>427</v>
      </c>
      <c r="M19" s="8">
        <v>4</v>
      </c>
      <c r="N19" s="8">
        <v>1200</v>
      </c>
      <c r="O19" s="5" t="s">
        <v>4467</v>
      </c>
      <c r="P19" s="5" t="s">
        <v>780</v>
      </c>
      <c r="Q19" s="5" t="s">
        <v>4468</v>
      </c>
    </row>
    <row r="20" spans="1:17">
      <c r="A20" s="5" t="s">
        <v>4480</v>
      </c>
      <c r="B20" s="5" t="s">
        <v>1297</v>
      </c>
      <c r="C20" s="5" t="s">
        <v>4463</v>
      </c>
      <c r="D20" s="5" t="s">
        <v>437</v>
      </c>
      <c r="E20" s="5" t="s">
        <v>4464</v>
      </c>
      <c r="F20" s="5">
        <v>1</v>
      </c>
      <c r="G20" s="5">
        <v>1</v>
      </c>
      <c r="H20" s="5" t="s">
        <v>4465</v>
      </c>
      <c r="I20" s="5" t="s">
        <v>429</v>
      </c>
      <c r="J20" s="5" t="s">
        <v>1192</v>
      </c>
      <c r="K20" s="5" t="s">
        <v>4466</v>
      </c>
      <c r="L20" s="5" t="s">
        <v>427</v>
      </c>
      <c r="M20" s="8">
        <v>4</v>
      </c>
      <c r="N20" s="8">
        <v>1200</v>
      </c>
      <c r="O20" s="5" t="s">
        <v>4467</v>
      </c>
      <c r="P20" s="5" t="s">
        <v>780</v>
      </c>
      <c r="Q20" s="5" t="s">
        <v>4468</v>
      </c>
    </row>
    <row r="21" spans="1:17">
      <c r="A21" s="5" t="s">
        <v>4481</v>
      </c>
      <c r="B21" s="5" t="s">
        <v>1297</v>
      </c>
      <c r="C21" s="5" t="s">
        <v>4463</v>
      </c>
      <c r="D21" s="5" t="s">
        <v>437</v>
      </c>
      <c r="E21" s="5" t="s">
        <v>4464</v>
      </c>
      <c r="F21" s="5">
        <v>1</v>
      </c>
      <c r="G21" s="5">
        <v>2</v>
      </c>
      <c r="H21" s="5" t="s">
        <v>4465</v>
      </c>
      <c r="I21" s="5" t="s">
        <v>429</v>
      </c>
      <c r="J21" s="5" t="s">
        <v>1192</v>
      </c>
      <c r="K21" s="5" t="s">
        <v>4466</v>
      </c>
      <c r="L21" s="5" t="s">
        <v>427</v>
      </c>
      <c r="M21" s="8">
        <v>4</v>
      </c>
      <c r="N21" s="8">
        <v>1200</v>
      </c>
      <c r="O21" s="5" t="s">
        <v>4467</v>
      </c>
      <c r="P21" s="5" t="s">
        <v>780</v>
      </c>
      <c r="Q21" s="5" t="s">
        <v>4468</v>
      </c>
    </row>
    <row r="22" spans="1:17">
      <c r="A22" s="5" t="s">
        <v>4482</v>
      </c>
      <c r="B22" s="5" t="s">
        <v>1297</v>
      </c>
      <c r="C22" s="5" t="s">
        <v>4463</v>
      </c>
      <c r="D22" s="5" t="s">
        <v>437</v>
      </c>
      <c r="E22" s="5" t="s">
        <v>4464</v>
      </c>
      <c r="F22" s="5">
        <v>2</v>
      </c>
      <c r="G22" s="5">
        <v>1</v>
      </c>
      <c r="H22" s="5" t="s">
        <v>4465</v>
      </c>
      <c r="I22" s="5" t="s">
        <v>429</v>
      </c>
      <c r="J22" s="5" t="s">
        <v>1192</v>
      </c>
      <c r="K22" s="5" t="s">
        <v>4466</v>
      </c>
      <c r="L22" s="5" t="s">
        <v>427</v>
      </c>
      <c r="M22" s="8">
        <v>4</v>
      </c>
      <c r="N22" s="8">
        <v>1200</v>
      </c>
      <c r="O22" s="5" t="s">
        <v>4467</v>
      </c>
      <c r="P22" s="5" t="s">
        <v>780</v>
      </c>
      <c r="Q22" s="5" t="s">
        <v>4468</v>
      </c>
    </row>
    <row r="23" spans="1:17">
      <c r="A23" s="5" t="s">
        <v>4483</v>
      </c>
      <c r="B23" s="5" t="s">
        <v>1297</v>
      </c>
      <c r="C23" s="5" t="s">
        <v>4463</v>
      </c>
      <c r="D23" s="5" t="s">
        <v>437</v>
      </c>
      <c r="E23" s="5" t="s">
        <v>4464</v>
      </c>
      <c r="F23" s="5">
        <v>2</v>
      </c>
      <c r="G23" s="5">
        <v>2</v>
      </c>
      <c r="H23" s="5" t="s">
        <v>4465</v>
      </c>
      <c r="I23" s="5" t="s">
        <v>429</v>
      </c>
      <c r="J23" s="5" t="s">
        <v>1192</v>
      </c>
      <c r="K23" s="5" t="s">
        <v>4466</v>
      </c>
      <c r="L23" s="5" t="s">
        <v>427</v>
      </c>
      <c r="M23" s="8">
        <v>4</v>
      </c>
      <c r="N23" s="8">
        <v>1200</v>
      </c>
      <c r="O23" s="5" t="s">
        <v>4467</v>
      </c>
      <c r="P23" s="5" t="s">
        <v>780</v>
      </c>
      <c r="Q23" s="5" t="s">
        <v>4468</v>
      </c>
    </row>
    <row r="24" spans="1:17">
      <c r="A24" s="5" t="s">
        <v>4484</v>
      </c>
      <c r="B24" s="5" t="s">
        <v>1297</v>
      </c>
      <c r="C24" s="5" t="s">
        <v>4463</v>
      </c>
      <c r="D24" s="5" t="s">
        <v>437</v>
      </c>
      <c r="E24" s="5" t="s">
        <v>4473</v>
      </c>
      <c r="F24" s="5">
        <v>1</v>
      </c>
      <c r="G24" s="5">
        <v>1</v>
      </c>
      <c r="H24" s="5" t="s">
        <v>4465</v>
      </c>
      <c r="I24" s="5" t="s">
        <v>429</v>
      </c>
      <c r="J24" s="5" t="s">
        <v>1192</v>
      </c>
      <c r="K24" s="5" t="s">
        <v>4466</v>
      </c>
      <c r="L24" s="5" t="s">
        <v>427</v>
      </c>
      <c r="M24" s="8">
        <v>4</v>
      </c>
      <c r="N24" s="8">
        <v>1200</v>
      </c>
      <c r="O24" s="5" t="s">
        <v>4467</v>
      </c>
      <c r="P24" s="5" t="s">
        <v>780</v>
      </c>
      <c r="Q24" s="5" t="s">
        <v>4468</v>
      </c>
    </row>
    <row r="25" spans="1:17">
      <c r="A25" s="5" t="s">
        <v>4485</v>
      </c>
      <c r="B25" s="5" t="s">
        <v>1297</v>
      </c>
      <c r="C25" s="5" t="s">
        <v>4463</v>
      </c>
      <c r="D25" s="5" t="s">
        <v>437</v>
      </c>
      <c r="E25" s="5" t="s">
        <v>4473</v>
      </c>
      <c r="F25" s="5">
        <v>1</v>
      </c>
      <c r="G25" s="5">
        <v>2</v>
      </c>
      <c r="H25" s="5" t="s">
        <v>4465</v>
      </c>
      <c r="I25" s="5" t="s">
        <v>429</v>
      </c>
      <c r="J25" s="5" t="s">
        <v>1192</v>
      </c>
      <c r="K25" s="5" t="s">
        <v>4466</v>
      </c>
      <c r="L25" s="5" t="s">
        <v>427</v>
      </c>
      <c r="M25" s="8">
        <v>4</v>
      </c>
      <c r="N25" s="8">
        <v>1200</v>
      </c>
      <c r="O25" s="5" t="s">
        <v>4467</v>
      </c>
      <c r="P25" s="5" t="s">
        <v>780</v>
      </c>
      <c r="Q25" s="5" t="s">
        <v>4468</v>
      </c>
    </row>
    <row r="26" spans="1:17">
      <c r="A26" s="5" t="s">
        <v>4486</v>
      </c>
      <c r="B26" s="5" t="s">
        <v>1297</v>
      </c>
      <c r="C26" s="5" t="s">
        <v>4463</v>
      </c>
      <c r="D26" s="5" t="s">
        <v>437</v>
      </c>
      <c r="E26" s="5" t="s">
        <v>4473</v>
      </c>
      <c r="F26" s="5">
        <v>2</v>
      </c>
      <c r="G26" s="5">
        <v>1</v>
      </c>
      <c r="H26" s="5" t="s">
        <v>4465</v>
      </c>
      <c r="I26" s="5" t="s">
        <v>429</v>
      </c>
      <c r="J26" s="5" t="s">
        <v>1192</v>
      </c>
      <c r="K26" s="5" t="s">
        <v>4466</v>
      </c>
      <c r="L26" s="5" t="s">
        <v>427</v>
      </c>
      <c r="M26" s="8">
        <v>4</v>
      </c>
      <c r="N26" s="8">
        <v>1200</v>
      </c>
      <c r="O26" s="5" t="s">
        <v>4467</v>
      </c>
      <c r="P26" s="5" t="s">
        <v>780</v>
      </c>
      <c r="Q26" s="5" t="s">
        <v>4468</v>
      </c>
    </row>
    <row r="27" spans="1:17">
      <c r="A27" s="5" t="s">
        <v>4487</v>
      </c>
      <c r="B27" s="5" t="s">
        <v>1297</v>
      </c>
      <c r="C27" s="5" t="s">
        <v>4463</v>
      </c>
      <c r="D27" s="5" t="s">
        <v>437</v>
      </c>
      <c r="E27" s="5" t="s">
        <v>4473</v>
      </c>
      <c r="F27" s="5">
        <v>2</v>
      </c>
      <c r="G27" s="5">
        <v>2</v>
      </c>
      <c r="H27" s="5" t="s">
        <v>4465</v>
      </c>
      <c r="I27" s="5" t="s">
        <v>429</v>
      </c>
      <c r="J27" s="5" t="s">
        <v>1192</v>
      </c>
      <c r="K27" s="5" t="s">
        <v>4466</v>
      </c>
      <c r="L27" s="5" t="s">
        <v>427</v>
      </c>
      <c r="M27" s="8">
        <v>4</v>
      </c>
      <c r="N27" s="8">
        <v>1200</v>
      </c>
      <c r="O27" s="5" t="s">
        <v>4467</v>
      </c>
      <c r="P27" s="5" t="s">
        <v>780</v>
      </c>
      <c r="Q27" s="5" t="s">
        <v>4468</v>
      </c>
    </row>
    <row r="28" spans="1:17">
      <c r="A28" s="5" t="s">
        <v>4488</v>
      </c>
      <c r="B28" s="5" t="s">
        <v>1297</v>
      </c>
      <c r="C28" s="5" t="s">
        <v>4463</v>
      </c>
      <c r="D28" s="5" t="s">
        <v>437</v>
      </c>
      <c r="E28" s="5" t="s">
        <v>4478</v>
      </c>
      <c r="F28" s="5">
        <v>1</v>
      </c>
      <c r="G28" s="5">
        <v>1</v>
      </c>
      <c r="H28" s="5" t="s">
        <v>4465</v>
      </c>
      <c r="I28" s="5" t="s">
        <v>429</v>
      </c>
      <c r="J28" s="5" t="s">
        <v>1192</v>
      </c>
      <c r="K28" s="5" t="s">
        <v>4466</v>
      </c>
      <c r="L28" s="5" t="s">
        <v>427</v>
      </c>
      <c r="M28" s="8">
        <v>4</v>
      </c>
      <c r="N28" s="8">
        <v>1200</v>
      </c>
      <c r="O28" s="5" t="s">
        <v>4467</v>
      </c>
      <c r="P28" s="5" t="s">
        <v>780</v>
      </c>
      <c r="Q28" s="5" t="s">
        <v>4468</v>
      </c>
    </row>
    <row r="29" spans="1:17">
      <c r="A29" s="5" t="s">
        <v>4489</v>
      </c>
      <c r="B29" s="5" t="s">
        <v>1297</v>
      </c>
      <c r="C29" s="5" t="s">
        <v>4463</v>
      </c>
      <c r="D29" s="5" t="s">
        <v>437</v>
      </c>
      <c r="E29" s="5" t="s">
        <v>4478</v>
      </c>
      <c r="F29" s="5">
        <v>1</v>
      </c>
      <c r="G29" s="5">
        <v>2</v>
      </c>
      <c r="H29" s="5" t="s">
        <v>4465</v>
      </c>
      <c r="I29" s="5" t="s">
        <v>429</v>
      </c>
      <c r="J29" s="5" t="s">
        <v>1192</v>
      </c>
      <c r="K29" s="5" t="s">
        <v>4466</v>
      </c>
      <c r="L29" s="5" t="s">
        <v>427</v>
      </c>
      <c r="M29" s="8">
        <v>4</v>
      </c>
      <c r="N29" s="8">
        <v>1200</v>
      </c>
      <c r="O29" s="5" t="s">
        <v>4467</v>
      </c>
      <c r="P29" s="5" t="s">
        <v>780</v>
      </c>
      <c r="Q29" s="5" t="s">
        <v>4468</v>
      </c>
    </row>
    <row r="30" spans="1:17">
      <c r="A30" s="5" t="s">
        <v>4490</v>
      </c>
      <c r="B30" s="5" t="s">
        <v>1297</v>
      </c>
      <c r="C30" s="5" t="s">
        <v>4463</v>
      </c>
      <c r="D30" s="5" t="s">
        <v>493</v>
      </c>
      <c r="E30" s="5" t="s">
        <v>4464</v>
      </c>
      <c r="F30" s="5">
        <v>1</v>
      </c>
      <c r="G30" s="5">
        <v>1</v>
      </c>
      <c r="H30" s="5" t="s">
        <v>4465</v>
      </c>
      <c r="I30" s="5" t="s">
        <v>429</v>
      </c>
      <c r="J30" s="5" t="s">
        <v>1192</v>
      </c>
      <c r="K30" s="5" t="s">
        <v>4466</v>
      </c>
      <c r="L30" s="5" t="s">
        <v>427</v>
      </c>
      <c r="M30" s="8">
        <v>4</v>
      </c>
      <c r="N30" s="8">
        <v>1200</v>
      </c>
      <c r="O30" s="5" t="s">
        <v>4467</v>
      </c>
      <c r="P30" s="5" t="s">
        <v>780</v>
      </c>
      <c r="Q30" s="5" t="s">
        <v>4468</v>
      </c>
    </row>
    <row r="31" spans="1:17">
      <c r="A31" s="5" t="s">
        <v>4491</v>
      </c>
      <c r="B31" s="5" t="s">
        <v>1297</v>
      </c>
      <c r="C31" s="5" t="s">
        <v>4463</v>
      </c>
      <c r="D31" s="5" t="s">
        <v>493</v>
      </c>
      <c r="E31" s="5" t="s">
        <v>4464</v>
      </c>
      <c r="F31" s="5">
        <v>1</v>
      </c>
      <c r="G31" s="5">
        <v>2</v>
      </c>
      <c r="H31" s="5" t="s">
        <v>4465</v>
      </c>
      <c r="I31" s="5" t="s">
        <v>429</v>
      </c>
      <c r="J31" s="5" t="s">
        <v>1192</v>
      </c>
      <c r="K31" s="5" t="s">
        <v>4466</v>
      </c>
      <c r="L31" s="5" t="s">
        <v>427</v>
      </c>
      <c r="M31" s="8">
        <v>4</v>
      </c>
      <c r="N31" s="8">
        <v>1200</v>
      </c>
      <c r="O31" s="5" t="s">
        <v>4467</v>
      </c>
      <c r="P31" s="5" t="s">
        <v>780</v>
      </c>
      <c r="Q31" s="5" t="s">
        <v>4468</v>
      </c>
    </row>
    <row r="32" spans="1:17">
      <c r="A32" s="5" t="s">
        <v>4492</v>
      </c>
      <c r="B32" s="5" t="s">
        <v>1297</v>
      </c>
      <c r="C32" s="5" t="s">
        <v>4463</v>
      </c>
      <c r="D32" s="5" t="s">
        <v>493</v>
      </c>
      <c r="E32" s="5" t="s">
        <v>4464</v>
      </c>
      <c r="F32" s="5">
        <v>2</v>
      </c>
      <c r="G32" s="5">
        <v>1</v>
      </c>
      <c r="H32" s="5" t="s">
        <v>4465</v>
      </c>
      <c r="I32" s="5" t="s">
        <v>429</v>
      </c>
      <c r="J32" s="5" t="s">
        <v>1192</v>
      </c>
      <c r="K32" s="5" t="s">
        <v>4466</v>
      </c>
      <c r="L32" s="5" t="s">
        <v>427</v>
      </c>
      <c r="M32" s="8">
        <v>4</v>
      </c>
      <c r="N32" s="8">
        <v>1200</v>
      </c>
      <c r="O32" s="5" t="s">
        <v>4467</v>
      </c>
      <c r="P32" s="5" t="s">
        <v>780</v>
      </c>
      <c r="Q32" s="5" t="s">
        <v>4468</v>
      </c>
    </row>
    <row r="33" spans="1:17">
      <c r="A33" s="5" t="s">
        <v>4493</v>
      </c>
      <c r="B33" s="5" t="s">
        <v>1297</v>
      </c>
      <c r="C33" s="5" t="s">
        <v>4463</v>
      </c>
      <c r="D33" s="5" t="s">
        <v>493</v>
      </c>
      <c r="E33" s="5" t="s">
        <v>4464</v>
      </c>
      <c r="F33" s="5">
        <v>2</v>
      </c>
      <c r="G33" s="5">
        <v>2</v>
      </c>
      <c r="H33" s="5" t="s">
        <v>4465</v>
      </c>
      <c r="I33" s="5" t="s">
        <v>429</v>
      </c>
      <c r="J33" s="5" t="s">
        <v>1192</v>
      </c>
      <c r="K33" s="5" t="s">
        <v>4466</v>
      </c>
      <c r="L33" s="5" t="s">
        <v>427</v>
      </c>
      <c r="M33" s="8">
        <v>4</v>
      </c>
      <c r="N33" s="8">
        <v>1200</v>
      </c>
      <c r="O33" s="5" t="s">
        <v>4467</v>
      </c>
      <c r="P33" s="5" t="s">
        <v>780</v>
      </c>
      <c r="Q33" s="5" t="s">
        <v>4468</v>
      </c>
    </row>
    <row r="34" spans="1:17">
      <c r="A34" s="5" t="s">
        <v>4494</v>
      </c>
      <c r="B34" s="5" t="s">
        <v>1297</v>
      </c>
      <c r="C34" s="5" t="s">
        <v>4463</v>
      </c>
      <c r="D34" s="5" t="s">
        <v>493</v>
      </c>
      <c r="E34" s="5" t="s">
        <v>4473</v>
      </c>
      <c r="F34" s="5">
        <v>1</v>
      </c>
      <c r="G34" s="5">
        <v>1</v>
      </c>
      <c r="H34" s="5" t="s">
        <v>4465</v>
      </c>
      <c r="I34" s="5" t="s">
        <v>429</v>
      </c>
      <c r="J34" s="5" t="s">
        <v>1192</v>
      </c>
      <c r="K34" s="5" t="s">
        <v>4466</v>
      </c>
      <c r="L34" s="5" t="s">
        <v>427</v>
      </c>
      <c r="M34" s="8">
        <v>4</v>
      </c>
      <c r="N34" s="8">
        <v>1200</v>
      </c>
      <c r="O34" s="5" t="s">
        <v>4467</v>
      </c>
      <c r="P34" s="5" t="s">
        <v>780</v>
      </c>
      <c r="Q34" s="5" t="s">
        <v>4468</v>
      </c>
    </row>
    <row r="35" spans="1:17">
      <c r="A35" s="5" t="s">
        <v>4495</v>
      </c>
      <c r="B35" s="5" t="s">
        <v>1297</v>
      </c>
      <c r="C35" s="5" t="s">
        <v>4463</v>
      </c>
      <c r="D35" s="5" t="s">
        <v>493</v>
      </c>
      <c r="E35" s="5" t="s">
        <v>4473</v>
      </c>
      <c r="F35" s="5">
        <v>1</v>
      </c>
      <c r="G35" s="5">
        <v>2</v>
      </c>
      <c r="H35" s="5" t="s">
        <v>4465</v>
      </c>
      <c r="I35" s="5" t="s">
        <v>429</v>
      </c>
      <c r="J35" s="5" t="s">
        <v>1192</v>
      </c>
      <c r="K35" s="5" t="s">
        <v>4466</v>
      </c>
      <c r="L35" s="5" t="s">
        <v>427</v>
      </c>
      <c r="M35" s="8">
        <v>4</v>
      </c>
      <c r="N35" s="8">
        <v>1200</v>
      </c>
      <c r="O35" s="5" t="s">
        <v>4467</v>
      </c>
      <c r="P35" s="5" t="s">
        <v>780</v>
      </c>
      <c r="Q35" s="5" t="s">
        <v>4468</v>
      </c>
    </row>
    <row r="36" spans="1:17">
      <c r="A36" s="5" t="s">
        <v>4496</v>
      </c>
      <c r="B36" s="5" t="s">
        <v>1297</v>
      </c>
      <c r="C36" s="5" t="s">
        <v>4463</v>
      </c>
      <c r="D36" s="5" t="s">
        <v>493</v>
      </c>
      <c r="E36" s="5" t="s">
        <v>4473</v>
      </c>
      <c r="F36" s="5">
        <v>2</v>
      </c>
      <c r="G36" s="5">
        <v>1</v>
      </c>
      <c r="H36" s="5" t="s">
        <v>4465</v>
      </c>
      <c r="I36" s="5" t="s">
        <v>429</v>
      </c>
      <c r="J36" s="5" t="s">
        <v>1192</v>
      </c>
      <c r="K36" s="5" t="s">
        <v>4466</v>
      </c>
      <c r="L36" s="5" t="s">
        <v>427</v>
      </c>
      <c r="M36" s="8">
        <v>4</v>
      </c>
      <c r="N36" s="8">
        <v>1200</v>
      </c>
      <c r="O36" s="5" t="s">
        <v>4467</v>
      </c>
      <c r="P36" s="5" t="s">
        <v>780</v>
      </c>
      <c r="Q36" s="5" t="s">
        <v>4468</v>
      </c>
    </row>
    <row r="37" spans="1:17">
      <c r="A37" s="5" t="s">
        <v>4497</v>
      </c>
      <c r="B37" s="5" t="s">
        <v>1297</v>
      </c>
      <c r="C37" s="5" t="s">
        <v>4463</v>
      </c>
      <c r="D37" s="5" t="s">
        <v>493</v>
      </c>
      <c r="E37" s="5" t="s">
        <v>4473</v>
      </c>
      <c r="F37" s="5">
        <v>2</v>
      </c>
      <c r="G37" s="5">
        <v>2</v>
      </c>
      <c r="H37" s="5" t="s">
        <v>4465</v>
      </c>
      <c r="I37" s="5" t="s">
        <v>429</v>
      </c>
      <c r="J37" s="5" t="s">
        <v>1192</v>
      </c>
      <c r="K37" s="5" t="s">
        <v>4466</v>
      </c>
      <c r="L37" s="5" t="s">
        <v>427</v>
      </c>
      <c r="M37" s="8">
        <v>4</v>
      </c>
      <c r="N37" s="8">
        <v>1200</v>
      </c>
      <c r="O37" s="5" t="s">
        <v>4467</v>
      </c>
      <c r="P37" s="5" t="s">
        <v>780</v>
      </c>
      <c r="Q37" s="5" t="s">
        <v>4468</v>
      </c>
    </row>
    <row r="38" spans="1:17">
      <c r="A38" s="5" t="s">
        <v>4498</v>
      </c>
      <c r="B38" s="5" t="s">
        <v>1297</v>
      </c>
      <c r="C38" s="5" t="s">
        <v>4463</v>
      </c>
      <c r="D38" s="5" t="s">
        <v>493</v>
      </c>
      <c r="E38" s="5" t="s">
        <v>4478</v>
      </c>
      <c r="F38" s="5">
        <v>1</v>
      </c>
      <c r="G38" s="5">
        <v>1</v>
      </c>
      <c r="H38" s="5" t="s">
        <v>4465</v>
      </c>
      <c r="I38" s="5" t="s">
        <v>429</v>
      </c>
      <c r="J38" s="5" t="s">
        <v>1192</v>
      </c>
      <c r="K38" s="5" t="s">
        <v>4466</v>
      </c>
      <c r="L38" s="5" t="s">
        <v>427</v>
      </c>
      <c r="M38" s="8">
        <v>4</v>
      </c>
      <c r="N38" s="8">
        <v>1200</v>
      </c>
      <c r="O38" s="5" t="s">
        <v>4467</v>
      </c>
      <c r="P38" s="5" t="s">
        <v>780</v>
      </c>
      <c r="Q38" s="5" t="s">
        <v>4468</v>
      </c>
    </row>
    <row r="39" spans="1:17">
      <c r="A39" s="5" t="s">
        <v>4499</v>
      </c>
      <c r="B39" s="5" t="s">
        <v>1297</v>
      </c>
      <c r="C39" s="5" t="s">
        <v>4463</v>
      </c>
      <c r="D39" s="5" t="s">
        <v>493</v>
      </c>
      <c r="E39" s="5" t="s">
        <v>4478</v>
      </c>
      <c r="F39" s="5">
        <v>1</v>
      </c>
      <c r="G39" s="5">
        <v>2</v>
      </c>
      <c r="H39" s="5" t="s">
        <v>4465</v>
      </c>
      <c r="I39" s="5" t="s">
        <v>429</v>
      </c>
      <c r="J39" s="5" t="s">
        <v>1192</v>
      </c>
      <c r="K39" s="5" t="s">
        <v>4466</v>
      </c>
      <c r="L39" s="5" t="s">
        <v>427</v>
      </c>
      <c r="M39" s="8">
        <v>4</v>
      </c>
      <c r="N39" s="8">
        <v>1200</v>
      </c>
      <c r="O39" s="5" t="s">
        <v>4467</v>
      </c>
      <c r="P39" s="5" t="s">
        <v>780</v>
      </c>
      <c r="Q39" s="5" t="s">
        <v>4468</v>
      </c>
    </row>
    <row r="40" spans="1:17">
      <c r="A40" s="5" t="s">
        <v>4500</v>
      </c>
      <c r="B40" s="5" t="s">
        <v>1297</v>
      </c>
      <c r="C40" s="5" t="s">
        <v>4463</v>
      </c>
      <c r="D40" s="5" t="s">
        <v>4501</v>
      </c>
      <c r="E40" s="5" t="s">
        <v>4464</v>
      </c>
      <c r="F40" s="5">
        <v>1</v>
      </c>
      <c r="G40" s="5">
        <v>1</v>
      </c>
      <c r="H40" s="5" t="s">
        <v>4465</v>
      </c>
      <c r="I40" s="5" t="s">
        <v>429</v>
      </c>
      <c r="J40" s="5" t="s">
        <v>1192</v>
      </c>
      <c r="K40" s="5" t="s">
        <v>4466</v>
      </c>
      <c r="L40" s="5" t="s">
        <v>427</v>
      </c>
      <c r="M40" s="8">
        <v>4</v>
      </c>
      <c r="N40" s="8">
        <v>1200</v>
      </c>
      <c r="O40" s="5" t="s">
        <v>4467</v>
      </c>
      <c r="P40" s="5" t="s">
        <v>780</v>
      </c>
      <c r="Q40" s="5" t="s">
        <v>4468</v>
      </c>
    </row>
    <row r="41" spans="1:17">
      <c r="A41" s="5" t="s">
        <v>4502</v>
      </c>
      <c r="B41" s="5" t="s">
        <v>1297</v>
      </c>
      <c r="C41" s="5" t="s">
        <v>4463</v>
      </c>
      <c r="D41" s="5" t="s">
        <v>4501</v>
      </c>
      <c r="E41" s="5" t="s">
        <v>4464</v>
      </c>
      <c r="F41" s="5">
        <v>1</v>
      </c>
      <c r="G41" s="5">
        <v>2</v>
      </c>
      <c r="H41" s="5" t="s">
        <v>4465</v>
      </c>
      <c r="I41" s="5" t="s">
        <v>429</v>
      </c>
      <c r="J41" s="5" t="s">
        <v>1192</v>
      </c>
      <c r="K41" s="5" t="s">
        <v>4466</v>
      </c>
      <c r="L41" s="5" t="s">
        <v>427</v>
      </c>
      <c r="M41" s="8">
        <v>4</v>
      </c>
      <c r="N41" s="8">
        <v>1200</v>
      </c>
      <c r="O41" s="5" t="s">
        <v>4467</v>
      </c>
      <c r="P41" s="5" t="s">
        <v>780</v>
      </c>
      <c r="Q41" s="5" t="s">
        <v>4468</v>
      </c>
    </row>
    <row r="42" spans="1:17">
      <c r="A42" s="5" t="s">
        <v>4503</v>
      </c>
      <c r="B42" s="5" t="s">
        <v>1297</v>
      </c>
      <c r="C42" s="5" t="s">
        <v>4463</v>
      </c>
      <c r="D42" s="5" t="s">
        <v>4501</v>
      </c>
      <c r="E42" s="5" t="s">
        <v>4464</v>
      </c>
      <c r="F42" s="5">
        <v>2</v>
      </c>
      <c r="G42" s="5">
        <v>1</v>
      </c>
      <c r="H42" s="5" t="s">
        <v>4465</v>
      </c>
      <c r="I42" s="5" t="s">
        <v>429</v>
      </c>
      <c r="J42" s="5" t="s">
        <v>1192</v>
      </c>
      <c r="K42" s="5" t="s">
        <v>4466</v>
      </c>
      <c r="L42" s="5" t="s">
        <v>427</v>
      </c>
      <c r="M42" s="8">
        <v>4</v>
      </c>
      <c r="N42" s="8">
        <v>1200</v>
      </c>
      <c r="O42" s="5" t="s">
        <v>4467</v>
      </c>
      <c r="P42" s="5" t="s">
        <v>780</v>
      </c>
      <c r="Q42" s="5" t="s">
        <v>4468</v>
      </c>
    </row>
    <row r="43" spans="1:17">
      <c r="A43" s="5" t="s">
        <v>4504</v>
      </c>
      <c r="B43" s="5" t="s">
        <v>1297</v>
      </c>
      <c r="C43" s="5" t="s">
        <v>4463</v>
      </c>
      <c r="D43" s="5" t="s">
        <v>4501</v>
      </c>
      <c r="E43" s="5" t="s">
        <v>4464</v>
      </c>
      <c r="F43" s="5">
        <v>2</v>
      </c>
      <c r="G43" s="5">
        <v>2</v>
      </c>
      <c r="H43" s="5" t="s">
        <v>4465</v>
      </c>
      <c r="I43" s="5" t="s">
        <v>429</v>
      </c>
      <c r="J43" s="5" t="s">
        <v>1192</v>
      </c>
      <c r="K43" s="5" t="s">
        <v>4466</v>
      </c>
      <c r="L43" s="5" t="s">
        <v>427</v>
      </c>
      <c r="M43" s="8">
        <v>4</v>
      </c>
      <c r="N43" s="8">
        <v>1200</v>
      </c>
      <c r="O43" s="5" t="s">
        <v>4467</v>
      </c>
      <c r="P43" s="5" t="s">
        <v>780</v>
      </c>
      <c r="Q43" s="5" t="s">
        <v>4468</v>
      </c>
    </row>
    <row r="44" spans="1:17">
      <c r="A44" s="5" t="s">
        <v>4505</v>
      </c>
      <c r="B44" s="5" t="s">
        <v>1297</v>
      </c>
      <c r="C44" s="5" t="s">
        <v>4463</v>
      </c>
      <c r="D44" s="5" t="s">
        <v>4501</v>
      </c>
      <c r="E44" s="5" t="s">
        <v>4473</v>
      </c>
      <c r="F44" s="5">
        <v>1</v>
      </c>
      <c r="G44" s="5">
        <v>1</v>
      </c>
      <c r="H44" s="5" t="s">
        <v>4465</v>
      </c>
      <c r="I44" s="5" t="s">
        <v>429</v>
      </c>
      <c r="J44" s="5" t="s">
        <v>1192</v>
      </c>
      <c r="K44" s="5" t="s">
        <v>4466</v>
      </c>
      <c r="L44" s="5" t="s">
        <v>427</v>
      </c>
      <c r="M44" s="8">
        <v>4</v>
      </c>
      <c r="N44" s="8">
        <v>1200</v>
      </c>
      <c r="O44" s="5" t="s">
        <v>4467</v>
      </c>
      <c r="P44" s="5" t="s">
        <v>780</v>
      </c>
      <c r="Q44" s="5" t="s">
        <v>4468</v>
      </c>
    </row>
    <row r="45" spans="1:17">
      <c r="A45" s="5" t="s">
        <v>4506</v>
      </c>
      <c r="B45" s="5" t="s">
        <v>1297</v>
      </c>
      <c r="C45" s="5" t="s">
        <v>4463</v>
      </c>
      <c r="D45" s="5" t="s">
        <v>4501</v>
      </c>
      <c r="E45" s="5" t="s">
        <v>4473</v>
      </c>
      <c r="F45" s="5">
        <v>1</v>
      </c>
      <c r="G45" s="5">
        <v>2</v>
      </c>
      <c r="H45" s="5" t="s">
        <v>4465</v>
      </c>
      <c r="I45" s="5" t="s">
        <v>429</v>
      </c>
      <c r="J45" s="5" t="s">
        <v>1192</v>
      </c>
      <c r="K45" s="5" t="s">
        <v>4466</v>
      </c>
      <c r="L45" s="5" t="s">
        <v>427</v>
      </c>
      <c r="M45" s="8">
        <v>4</v>
      </c>
      <c r="N45" s="8">
        <v>1200</v>
      </c>
      <c r="O45" s="5" t="s">
        <v>4467</v>
      </c>
      <c r="P45" s="5" t="s">
        <v>780</v>
      </c>
      <c r="Q45" s="5" t="s">
        <v>4468</v>
      </c>
    </row>
    <row r="46" spans="1:17">
      <c r="A46" s="5" t="s">
        <v>4507</v>
      </c>
      <c r="B46" s="5" t="s">
        <v>1297</v>
      </c>
      <c r="C46" s="5" t="s">
        <v>4463</v>
      </c>
      <c r="D46" s="5" t="s">
        <v>4501</v>
      </c>
      <c r="E46" s="5" t="s">
        <v>4473</v>
      </c>
      <c r="F46" s="5">
        <v>2</v>
      </c>
      <c r="G46" s="5">
        <v>1</v>
      </c>
      <c r="H46" s="5" t="s">
        <v>4465</v>
      </c>
      <c r="I46" s="5" t="s">
        <v>429</v>
      </c>
      <c r="J46" s="5" t="s">
        <v>1192</v>
      </c>
      <c r="K46" s="5" t="s">
        <v>4466</v>
      </c>
      <c r="L46" s="5" t="s">
        <v>427</v>
      </c>
      <c r="M46" s="8">
        <v>4</v>
      </c>
      <c r="N46" s="8">
        <v>1200</v>
      </c>
      <c r="O46" s="5" t="s">
        <v>4467</v>
      </c>
      <c r="P46" s="5" t="s">
        <v>780</v>
      </c>
      <c r="Q46" s="5" t="s">
        <v>4468</v>
      </c>
    </row>
    <row r="47" spans="1:17">
      <c r="A47" s="5" t="s">
        <v>4508</v>
      </c>
      <c r="B47" s="5" t="s">
        <v>1297</v>
      </c>
      <c r="C47" s="5" t="s">
        <v>4463</v>
      </c>
      <c r="D47" s="5" t="s">
        <v>4501</v>
      </c>
      <c r="E47" s="5" t="s">
        <v>4473</v>
      </c>
      <c r="F47" s="5">
        <v>2</v>
      </c>
      <c r="G47" s="5">
        <v>2</v>
      </c>
      <c r="H47" s="5" t="s">
        <v>4465</v>
      </c>
      <c r="I47" s="5" t="s">
        <v>429</v>
      </c>
      <c r="J47" s="5" t="s">
        <v>1192</v>
      </c>
      <c r="K47" s="5" t="s">
        <v>4466</v>
      </c>
      <c r="L47" s="5" t="s">
        <v>427</v>
      </c>
      <c r="M47" s="8">
        <v>4</v>
      </c>
      <c r="N47" s="8">
        <v>1200</v>
      </c>
      <c r="O47" s="5" t="s">
        <v>4467</v>
      </c>
      <c r="P47" s="5" t="s">
        <v>780</v>
      </c>
      <c r="Q47" s="5" t="s">
        <v>4468</v>
      </c>
    </row>
    <row r="48" spans="1:17">
      <c r="A48" s="5" t="s">
        <v>4509</v>
      </c>
      <c r="B48" s="5" t="s">
        <v>1297</v>
      </c>
      <c r="C48" s="5" t="s">
        <v>4463</v>
      </c>
      <c r="D48" s="5" t="s">
        <v>4501</v>
      </c>
      <c r="E48" s="5" t="s">
        <v>4478</v>
      </c>
      <c r="F48" s="5">
        <v>1</v>
      </c>
      <c r="G48" s="5">
        <v>1</v>
      </c>
      <c r="H48" s="5" t="s">
        <v>4465</v>
      </c>
      <c r="I48" s="5" t="s">
        <v>429</v>
      </c>
      <c r="J48" s="5" t="s">
        <v>1192</v>
      </c>
      <c r="K48" s="5" t="s">
        <v>4466</v>
      </c>
      <c r="L48" s="5" t="s">
        <v>427</v>
      </c>
      <c r="M48" s="8">
        <v>4</v>
      </c>
      <c r="N48" s="8">
        <v>1200</v>
      </c>
      <c r="O48" s="5" t="s">
        <v>4467</v>
      </c>
      <c r="P48" s="5" t="s">
        <v>780</v>
      </c>
      <c r="Q48" s="5" t="s">
        <v>4468</v>
      </c>
    </row>
    <row r="49" spans="1:17">
      <c r="A49" s="5" t="s">
        <v>4510</v>
      </c>
      <c r="B49" s="5" t="s">
        <v>1297</v>
      </c>
      <c r="C49" s="5" t="s">
        <v>4463</v>
      </c>
      <c r="D49" s="5" t="s">
        <v>4501</v>
      </c>
      <c r="E49" s="5" t="s">
        <v>4478</v>
      </c>
      <c r="F49" s="5">
        <v>1</v>
      </c>
      <c r="G49" s="5">
        <v>2</v>
      </c>
      <c r="H49" s="5" t="s">
        <v>4465</v>
      </c>
      <c r="I49" s="5" t="s">
        <v>429</v>
      </c>
      <c r="J49" s="5" t="s">
        <v>1192</v>
      </c>
      <c r="K49" s="5" t="s">
        <v>4466</v>
      </c>
      <c r="L49" s="5" t="s">
        <v>427</v>
      </c>
      <c r="M49" s="8">
        <v>4</v>
      </c>
      <c r="N49" s="8">
        <v>1200</v>
      </c>
      <c r="O49" s="5" t="s">
        <v>4467</v>
      </c>
      <c r="P49" s="5" t="s">
        <v>780</v>
      </c>
      <c r="Q49" s="5" t="s">
        <v>4468</v>
      </c>
    </row>
    <row r="50" spans="1:17">
      <c r="A50" s="5" t="s">
        <v>4511</v>
      </c>
      <c r="B50" s="5" t="s">
        <v>1297</v>
      </c>
      <c r="C50" s="5" t="s">
        <v>4512</v>
      </c>
      <c r="D50" s="5" t="s">
        <v>428</v>
      </c>
      <c r="E50" s="5" t="s">
        <v>4464</v>
      </c>
      <c r="F50" s="5">
        <v>1</v>
      </c>
      <c r="G50" s="5">
        <v>1</v>
      </c>
      <c r="H50" s="5" t="s">
        <v>4465</v>
      </c>
      <c r="I50" s="5" t="s">
        <v>429</v>
      </c>
      <c r="J50" s="5" t="s">
        <v>285</v>
      </c>
      <c r="K50" s="5" t="s">
        <v>4513</v>
      </c>
      <c r="L50" s="5" t="s">
        <v>427</v>
      </c>
      <c r="M50" s="8">
        <v>50</v>
      </c>
      <c r="N50" s="8">
        <v>1200</v>
      </c>
      <c r="O50" s="5" t="s">
        <v>4514</v>
      </c>
      <c r="P50" s="5" t="s">
        <v>780</v>
      </c>
      <c r="Q50" s="5" t="s">
        <v>4515</v>
      </c>
    </row>
    <row r="51" spans="1:17">
      <c r="A51" s="5" t="s">
        <v>4516</v>
      </c>
      <c r="B51" s="5" t="s">
        <v>1297</v>
      </c>
      <c r="C51" s="5" t="s">
        <v>4512</v>
      </c>
      <c r="D51" s="5" t="s">
        <v>428</v>
      </c>
      <c r="E51" s="5" t="s">
        <v>4464</v>
      </c>
      <c r="F51" s="5">
        <v>2</v>
      </c>
      <c r="G51" s="5">
        <v>1</v>
      </c>
      <c r="H51" s="5" t="s">
        <v>4465</v>
      </c>
      <c r="I51" s="5" t="s">
        <v>429</v>
      </c>
      <c r="J51" s="5" t="s">
        <v>285</v>
      </c>
      <c r="K51" s="5" t="s">
        <v>4513</v>
      </c>
      <c r="L51" s="5" t="s">
        <v>427</v>
      </c>
      <c r="M51" s="8">
        <v>50</v>
      </c>
      <c r="N51" s="8">
        <v>1200</v>
      </c>
      <c r="O51" s="5" t="s">
        <v>4514</v>
      </c>
      <c r="P51" s="5" t="s">
        <v>780</v>
      </c>
      <c r="Q51" s="5" t="s">
        <v>4515</v>
      </c>
    </row>
    <row r="52" spans="1:17">
      <c r="A52" s="5" t="s">
        <v>4517</v>
      </c>
      <c r="B52" s="5" t="s">
        <v>1297</v>
      </c>
      <c r="C52" s="5" t="s">
        <v>4512</v>
      </c>
      <c r="D52" s="5" t="s">
        <v>428</v>
      </c>
      <c r="E52" s="5" t="s">
        <v>4464</v>
      </c>
      <c r="F52" s="5">
        <v>3</v>
      </c>
      <c r="G52" s="5">
        <v>1</v>
      </c>
      <c r="H52" s="5" t="s">
        <v>4465</v>
      </c>
      <c r="I52" s="5" t="s">
        <v>429</v>
      </c>
      <c r="J52" s="5" t="s">
        <v>285</v>
      </c>
      <c r="K52" s="5" t="s">
        <v>4513</v>
      </c>
      <c r="L52" s="5" t="s">
        <v>427</v>
      </c>
      <c r="M52" s="8">
        <v>50</v>
      </c>
      <c r="N52" s="8">
        <v>1200</v>
      </c>
      <c r="O52" s="5" t="s">
        <v>4514</v>
      </c>
      <c r="P52" s="5" t="s">
        <v>780</v>
      </c>
      <c r="Q52" s="5" t="s">
        <v>4515</v>
      </c>
    </row>
    <row r="53" spans="1:17">
      <c r="A53" s="5" t="s">
        <v>4518</v>
      </c>
      <c r="B53" s="5" t="s">
        <v>1297</v>
      </c>
      <c r="C53" s="5" t="s">
        <v>4512</v>
      </c>
      <c r="D53" s="5" t="s">
        <v>428</v>
      </c>
      <c r="E53" s="5" t="s">
        <v>4464</v>
      </c>
      <c r="F53" s="5">
        <v>4</v>
      </c>
      <c r="G53" s="5">
        <v>1</v>
      </c>
      <c r="H53" s="5" t="s">
        <v>4465</v>
      </c>
      <c r="I53" s="5" t="s">
        <v>429</v>
      </c>
      <c r="J53" s="5" t="s">
        <v>285</v>
      </c>
      <c r="K53" s="5" t="s">
        <v>4513</v>
      </c>
      <c r="L53" s="5" t="s">
        <v>427</v>
      </c>
      <c r="M53" s="8">
        <v>50</v>
      </c>
      <c r="N53" s="8">
        <v>1200</v>
      </c>
      <c r="O53" s="5" t="s">
        <v>4514</v>
      </c>
      <c r="P53" s="5" t="s">
        <v>780</v>
      </c>
      <c r="Q53" s="5" t="s">
        <v>4515</v>
      </c>
    </row>
    <row r="54" spans="1:17">
      <c r="A54" s="5" t="s">
        <v>4519</v>
      </c>
      <c r="B54" s="5" t="s">
        <v>1297</v>
      </c>
      <c r="C54" s="5" t="s">
        <v>4512</v>
      </c>
      <c r="D54" s="5" t="s">
        <v>428</v>
      </c>
      <c r="E54" s="5" t="s">
        <v>4464</v>
      </c>
      <c r="F54" s="5">
        <v>5</v>
      </c>
      <c r="G54" s="5">
        <v>1</v>
      </c>
      <c r="H54" s="5" t="s">
        <v>4465</v>
      </c>
      <c r="I54" s="5" t="s">
        <v>429</v>
      </c>
      <c r="J54" s="5" t="s">
        <v>285</v>
      </c>
      <c r="K54" s="5" t="s">
        <v>4513</v>
      </c>
      <c r="L54" s="5" t="s">
        <v>427</v>
      </c>
      <c r="M54" s="8">
        <v>50</v>
      </c>
      <c r="N54" s="8">
        <v>1200</v>
      </c>
      <c r="O54" s="5" t="s">
        <v>4514</v>
      </c>
      <c r="P54" s="5" t="s">
        <v>780</v>
      </c>
      <c r="Q54" s="5" t="s">
        <v>4515</v>
      </c>
    </row>
    <row r="55" spans="1:17">
      <c r="A55" s="5" t="s">
        <v>4520</v>
      </c>
      <c r="B55" s="5" t="s">
        <v>1297</v>
      </c>
      <c r="C55" s="5" t="s">
        <v>4512</v>
      </c>
      <c r="D55" s="5" t="s">
        <v>428</v>
      </c>
      <c r="E55" s="5" t="s">
        <v>4473</v>
      </c>
      <c r="F55" s="5">
        <v>1</v>
      </c>
      <c r="G55" s="5">
        <v>1</v>
      </c>
      <c r="H55" s="5" t="s">
        <v>4465</v>
      </c>
      <c r="I55" s="5" t="s">
        <v>429</v>
      </c>
      <c r="J55" s="5" t="s">
        <v>285</v>
      </c>
      <c r="K55" s="5" t="s">
        <v>4513</v>
      </c>
      <c r="L55" s="5" t="s">
        <v>427</v>
      </c>
      <c r="M55" s="8">
        <v>50</v>
      </c>
      <c r="N55" s="8">
        <v>1200</v>
      </c>
      <c r="O55" s="5" t="s">
        <v>4514</v>
      </c>
      <c r="P55" s="5" t="s">
        <v>780</v>
      </c>
      <c r="Q55" s="5" t="s">
        <v>4515</v>
      </c>
    </row>
    <row r="56" spans="1:17">
      <c r="A56" s="5" t="s">
        <v>4521</v>
      </c>
      <c r="B56" s="5" t="s">
        <v>1297</v>
      </c>
      <c r="C56" s="5" t="s">
        <v>4512</v>
      </c>
      <c r="D56" s="5" t="s">
        <v>428</v>
      </c>
      <c r="E56" s="5" t="s">
        <v>4473</v>
      </c>
      <c r="F56" s="5">
        <v>2</v>
      </c>
      <c r="G56" s="5">
        <v>1</v>
      </c>
      <c r="H56" s="5" t="s">
        <v>4465</v>
      </c>
      <c r="I56" s="5" t="s">
        <v>429</v>
      </c>
      <c r="J56" s="5" t="s">
        <v>285</v>
      </c>
      <c r="K56" s="5" t="s">
        <v>4513</v>
      </c>
      <c r="L56" s="5" t="s">
        <v>427</v>
      </c>
      <c r="M56" s="8">
        <v>50</v>
      </c>
      <c r="N56" s="8">
        <v>1200</v>
      </c>
      <c r="O56" s="5" t="s">
        <v>4514</v>
      </c>
      <c r="P56" s="5" t="s">
        <v>780</v>
      </c>
      <c r="Q56" s="5" t="s">
        <v>4515</v>
      </c>
    </row>
    <row r="57" spans="1:17">
      <c r="A57" s="5" t="s">
        <v>4522</v>
      </c>
      <c r="B57" s="5" t="s">
        <v>1297</v>
      </c>
      <c r="C57" s="5" t="s">
        <v>4512</v>
      </c>
      <c r="D57" s="5" t="s">
        <v>428</v>
      </c>
      <c r="E57" s="5" t="s">
        <v>4473</v>
      </c>
      <c r="F57" s="5">
        <v>3</v>
      </c>
      <c r="G57" s="5">
        <v>1</v>
      </c>
      <c r="H57" s="5" t="s">
        <v>4465</v>
      </c>
      <c r="I57" s="5" t="s">
        <v>429</v>
      </c>
      <c r="J57" s="5" t="s">
        <v>285</v>
      </c>
      <c r="K57" s="5" t="s">
        <v>4513</v>
      </c>
      <c r="L57" s="5" t="s">
        <v>427</v>
      </c>
      <c r="M57" s="8">
        <v>50</v>
      </c>
      <c r="N57" s="8">
        <v>1200</v>
      </c>
      <c r="O57" s="5" t="s">
        <v>4514</v>
      </c>
      <c r="P57" s="5" t="s">
        <v>780</v>
      </c>
      <c r="Q57" s="5" t="s">
        <v>4515</v>
      </c>
    </row>
    <row r="58" spans="1:17">
      <c r="A58" s="5" t="s">
        <v>4523</v>
      </c>
      <c r="B58" s="5" t="s">
        <v>1297</v>
      </c>
      <c r="C58" s="5" t="s">
        <v>4512</v>
      </c>
      <c r="D58" s="5" t="s">
        <v>428</v>
      </c>
      <c r="E58" s="5" t="s">
        <v>4473</v>
      </c>
      <c r="F58" s="5">
        <v>4</v>
      </c>
      <c r="G58" s="5">
        <v>1</v>
      </c>
      <c r="H58" s="5" t="s">
        <v>4465</v>
      </c>
      <c r="I58" s="5" t="s">
        <v>429</v>
      </c>
      <c r="J58" s="5" t="s">
        <v>285</v>
      </c>
      <c r="K58" s="5" t="s">
        <v>4513</v>
      </c>
      <c r="L58" s="5" t="s">
        <v>427</v>
      </c>
      <c r="M58" s="8">
        <v>50</v>
      </c>
      <c r="N58" s="8">
        <v>1200</v>
      </c>
      <c r="O58" s="5" t="s">
        <v>4514</v>
      </c>
      <c r="P58" s="5" t="s">
        <v>780</v>
      </c>
      <c r="Q58" s="5" t="s">
        <v>4515</v>
      </c>
    </row>
    <row r="59" spans="1:17">
      <c r="A59" s="5" t="s">
        <v>4524</v>
      </c>
      <c r="B59" s="5" t="s">
        <v>1297</v>
      </c>
      <c r="C59" s="5" t="s">
        <v>4512</v>
      </c>
      <c r="D59" s="5" t="s">
        <v>428</v>
      </c>
      <c r="E59" s="5" t="s">
        <v>4473</v>
      </c>
      <c r="F59" s="5">
        <v>5</v>
      </c>
      <c r="G59" s="5">
        <v>1</v>
      </c>
      <c r="H59" s="5" t="s">
        <v>4465</v>
      </c>
      <c r="I59" s="5" t="s">
        <v>429</v>
      </c>
      <c r="J59" s="5" t="s">
        <v>285</v>
      </c>
      <c r="K59" s="5" t="s">
        <v>4513</v>
      </c>
      <c r="L59" s="5" t="s">
        <v>427</v>
      </c>
      <c r="M59" s="8">
        <v>50</v>
      </c>
      <c r="N59" s="8">
        <v>1200</v>
      </c>
      <c r="O59" s="5" t="s">
        <v>4514</v>
      </c>
      <c r="P59" s="5" t="s">
        <v>780</v>
      </c>
      <c r="Q59" s="5" t="s">
        <v>4515</v>
      </c>
    </row>
    <row r="60" spans="1:17">
      <c r="A60" s="5" t="s">
        <v>4525</v>
      </c>
      <c r="B60" s="5" t="s">
        <v>1297</v>
      </c>
      <c r="C60" s="5" t="s">
        <v>4512</v>
      </c>
      <c r="D60" s="5" t="s">
        <v>437</v>
      </c>
      <c r="E60" s="5" t="s">
        <v>4464</v>
      </c>
      <c r="F60" s="5">
        <v>1</v>
      </c>
      <c r="G60" s="5">
        <v>1</v>
      </c>
      <c r="H60" s="5" t="s">
        <v>4465</v>
      </c>
      <c r="I60" s="5" t="s">
        <v>429</v>
      </c>
      <c r="J60" s="5" t="s">
        <v>285</v>
      </c>
      <c r="K60" s="5" t="s">
        <v>4513</v>
      </c>
      <c r="L60" s="5" t="s">
        <v>427</v>
      </c>
      <c r="M60" s="8">
        <v>50</v>
      </c>
      <c r="N60" s="8">
        <v>1200</v>
      </c>
      <c r="O60" s="5" t="s">
        <v>4514</v>
      </c>
      <c r="P60" s="5" t="s">
        <v>780</v>
      </c>
      <c r="Q60" s="5" t="s">
        <v>4515</v>
      </c>
    </row>
    <row r="61" spans="1:17">
      <c r="A61" s="5" t="s">
        <v>4526</v>
      </c>
      <c r="B61" s="5" t="s">
        <v>1297</v>
      </c>
      <c r="C61" s="5" t="s">
        <v>4512</v>
      </c>
      <c r="D61" s="5" t="s">
        <v>437</v>
      </c>
      <c r="E61" s="5" t="s">
        <v>4464</v>
      </c>
      <c r="F61" s="5">
        <v>2</v>
      </c>
      <c r="G61" s="5">
        <v>1</v>
      </c>
      <c r="H61" s="5" t="s">
        <v>4465</v>
      </c>
      <c r="I61" s="5" t="s">
        <v>429</v>
      </c>
      <c r="J61" s="5" t="s">
        <v>285</v>
      </c>
      <c r="K61" s="5" t="s">
        <v>4513</v>
      </c>
      <c r="L61" s="5" t="s">
        <v>427</v>
      </c>
      <c r="M61" s="8">
        <v>50</v>
      </c>
      <c r="N61" s="8">
        <v>1200</v>
      </c>
      <c r="O61" s="5" t="s">
        <v>4514</v>
      </c>
      <c r="P61" s="5" t="s">
        <v>780</v>
      </c>
      <c r="Q61" s="5" t="s">
        <v>4515</v>
      </c>
    </row>
    <row r="62" spans="1:17">
      <c r="A62" s="5" t="s">
        <v>4527</v>
      </c>
      <c r="B62" s="5" t="s">
        <v>1297</v>
      </c>
      <c r="C62" s="5" t="s">
        <v>4512</v>
      </c>
      <c r="D62" s="5" t="s">
        <v>437</v>
      </c>
      <c r="E62" s="5" t="s">
        <v>4464</v>
      </c>
      <c r="F62" s="5">
        <v>3</v>
      </c>
      <c r="G62" s="5">
        <v>1</v>
      </c>
      <c r="H62" s="5" t="s">
        <v>4465</v>
      </c>
      <c r="I62" s="5" t="s">
        <v>429</v>
      </c>
      <c r="J62" s="5" t="s">
        <v>285</v>
      </c>
      <c r="K62" s="5" t="s">
        <v>4513</v>
      </c>
      <c r="L62" s="5" t="s">
        <v>427</v>
      </c>
      <c r="M62" s="8">
        <v>50</v>
      </c>
      <c r="N62" s="8">
        <v>1200</v>
      </c>
      <c r="O62" s="5" t="s">
        <v>4514</v>
      </c>
      <c r="P62" s="5" t="s">
        <v>780</v>
      </c>
      <c r="Q62" s="5" t="s">
        <v>4515</v>
      </c>
    </row>
    <row r="63" spans="1:17">
      <c r="A63" s="5" t="s">
        <v>4528</v>
      </c>
      <c r="B63" s="5" t="s">
        <v>1297</v>
      </c>
      <c r="C63" s="5" t="s">
        <v>4512</v>
      </c>
      <c r="D63" s="5" t="s">
        <v>437</v>
      </c>
      <c r="E63" s="5" t="s">
        <v>4464</v>
      </c>
      <c r="F63" s="5">
        <v>4</v>
      </c>
      <c r="G63" s="5">
        <v>1</v>
      </c>
      <c r="H63" s="5" t="s">
        <v>4465</v>
      </c>
      <c r="I63" s="5" t="s">
        <v>429</v>
      </c>
      <c r="J63" s="5" t="s">
        <v>285</v>
      </c>
      <c r="K63" s="5" t="s">
        <v>4513</v>
      </c>
      <c r="L63" s="5" t="s">
        <v>427</v>
      </c>
      <c r="M63" s="8">
        <v>50</v>
      </c>
      <c r="N63" s="8">
        <v>1200</v>
      </c>
      <c r="O63" s="5" t="s">
        <v>4514</v>
      </c>
      <c r="P63" s="5" t="s">
        <v>780</v>
      </c>
      <c r="Q63" s="5" t="s">
        <v>4515</v>
      </c>
    </row>
    <row r="64" spans="1:17">
      <c r="A64" s="5" t="s">
        <v>4529</v>
      </c>
      <c r="B64" s="5" t="s">
        <v>1297</v>
      </c>
      <c r="C64" s="5" t="s">
        <v>4512</v>
      </c>
      <c r="D64" s="5" t="s">
        <v>437</v>
      </c>
      <c r="E64" s="5" t="s">
        <v>4464</v>
      </c>
      <c r="F64" s="5">
        <v>5</v>
      </c>
      <c r="G64" s="5">
        <v>1</v>
      </c>
      <c r="H64" s="5" t="s">
        <v>4465</v>
      </c>
      <c r="I64" s="5" t="s">
        <v>429</v>
      </c>
      <c r="J64" s="5" t="s">
        <v>285</v>
      </c>
      <c r="K64" s="5" t="s">
        <v>4513</v>
      </c>
      <c r="L64" s="5" t="s">
        <v>427</v>
      </c>
      <c r="M64" s="8">
        <v>50</v>
      </c>
      <c r="N64" s="8">
        <v>1200</v>
      </c>
      <c r="O64" s="5" t="s">
        <v>4514</v>
      </c>
      <c r="P64" s="5" t="s">
        <v>780</v>
      </c>
      <c r="Q64" s="5" t="s">
        <v>4515</v>
      </c>
    </row>
    <row r="65" spans="1:17">
      <c r="A65" s="5" t="s">
        <v>4530</v>
      </c>
      <c r="B65" s="5" t="s">
        <v>1297</v>
      </c>
      <c r="C65" s="5" t="s">
        <v>4512</v>
      </c>
      <c r="D65" s="5" t="s">
        <v>437</v>
      </c>
      <c r="E65" s="5" t="s">
        <v>4473</v>
      </c>
      <c r="F65" s="5">
        <v>1</v>
      </c>
      <c r="G65" s="5">
        <v>1</v>
      </c>
      <c r="H65" s="5" t="s">
        <v>4465</v>
      </c>
      <c r="I65" s="5" t="s">
        <v>429</v>
      </c>
      <c r="J65" s="5" t="s">
        <v>285</v>
      </c>
      <c r="K65" s="5" t="s">
        <v>4513</v>
      </c>
      <c r="L65" s="5" t="s">
        <v>427</v>
      </c>
      <c r="M65" s="8">
        <v>50</v>
      </c>
      <c r="N65" s="8">
        <v>1200</v>
      </c>
      <c r="O65" s="5" t="s">
        <v>4514</v>
      </c>
      <c r="P65" s="5" t="s">
        <v>780</v>
      </c>
      <c r="Q65" s="5" t="s">
        <v>4515</v>
      </c>
    </row>
    <row r="66" spans="1:17">
      <c r="A66" s="5" t="s">
        <v>4531</v>
      </c>
      <c r="B66" s="5" t="s">
        <v>1297</v>
      </c>
      <c r="C66" s="5" t="s">
        <v>4512</v>
      </c>
      <c r="D66" s="5" t="s">
        <v>437</v>
      </c>
      <c r="E66" s="5" t="s">
        <v>4473</v>
      </c>
      <c r="F66" s="5">
        <v>2</v>
      </c>
      <c r="G66" s="5">
        <v>1</v>
      </c>
      <c r="H66" s="5" t="s">
        <v>4465</v>
      </c>
      <c r="I66" s="5" t="s">
        <v>429</v>
      </c>
      <c r="J66" s="5" t="s">
        <v>285</v>
      </c>
      <c r="K66" s="5" t="s">
        <v>4513</v>
      </c>
      <c r="L66" s="5" t="s">
        <v>427</v>
      </c>
      <c r="M66" s="8">
        <v>50</v>
      </c>
      <c r="N66" s="8">
        <v>1200</v>
      </c>
      <c r="O66" s="5" t="s">
        <v>4514</v>
      </c>
      <c r="P66" s="5" t="s">
        <v>780</v>
      </c>
      <c r="Q66" s="5" t="s">
        <v>4515</v>
      </c>
    </row>
    <row r="67" spans="1:17">
      <c r="A67" s="5" t="s">
        <v>4532</v>
      </c>
      <c r="B67" s="5" t="s">
        <v>1297</v>
      </c>
      <c r="C67" s="5" t="s">
        <v>4512</v>
      </c>
      <c r="D67" s="5" t="s">
        <v>437</v>
      </c>
      <c r="E67" s="5" t="s">
        <v>4473</v>
      </c>
      <c r="F67" s="5">
        <v>3</v>
      </c>
      <c r="G67" s="5">
        <v>1</v>
      </c>
      <c r="H67" s="5" t="s">
        <v>4465</v>
      </c>
      <c r="I67" s="5" t="s">
        <v>429</v>
      </c>
      <c r="J67" s="5" t="s">
        <v>285</v>
      </c>
      <c r="K67" s="5" t="s">
        <v>4513</v>
      </c>
      <c r="L67" s="5" t="s">
        <v>427</v>
      </c>
      <c r="M67" s="8">
        <v>50</v>
      </c>
      <c r="N67" s="8">
        <v>1200</v>
      </c>
      <c r="O67" s="5" t="s">
        <v>4514</v>
      </c>
      <c r="P67" s="5" t="s">
        <v>780</v>
      </c>
      <c r="Q67" s="5" t="s">
        <v>4515</v>
      </c>
    </row>
    <row r="68" spans="1:17">
      <c r="A68" s="5" t="s">
        <v>4533</v>
      </c>
      <c r="B68" s="5" t="s">
        <v>1297</v>
      </c>
      <c r="C68" s="5" t="s">
        <v>4512</v>
      </c>
      <c r="D68" s="5" t="s">
        <v>437</v>
      </c>
      <c r="E68" s="5" t="s">
        <v>4473</v>
      </c>
      <c r="F68" s="5">
        <v>4</v>
      </c>
      <c r="G68" s="5">
        <v>1</v>
      </c>
      <c r="H68" s="5" t="s">
        <v>4465</v>
      </c>
      <c r="I68" s="5" t="s">
        <v>429</v>
      </c>
      <c r="J68" s="5" t="s">
        <v>285</v>
      </c>
      <c r="K68" s="5" t="s">
        <v>4513</v>
      </c>
      <c r="L68" s="5" t="s">
        <v>427</v>
      </c>
      <c r="M68" s="8">
        <v>50</v>
      </c>
      <c r="N68" s="8">
        <v>1200</v>
      </c>
      <c r="O68" s="5" t="s">
        <v>4514</v>
      </c>
      <c r="P68" s="5" t="s">
        <v>780</v>
      </c>
      <c r="Q68" s="5" t="s">
        <v>4515</v>
      </c>
    </row>
    <row r="69" spans="1:17">
      <c r="A69" s="5" t="s">
        <v>4534</v>
      </c>
      <c r="B69" s="5" t="s">
        <v>1297</v>
      </c>
      <c r="C69" s="5" t="s">
        <v>4512</v>
      </c>
      <c r="D69" s="5" t="s">
        <v>437</v>
      </c>
      <c r="E69" s="5" t="s">
        <v>4473</v>
      </c>
      <c r="F69" s="5">
        <v>5</v>
      </c>
      <c r="G69" s="5">
        <v>1</v>
      </c>
      <c r="H69" s="5" t="s">
        <v>4465</v>
      </c>
      <c r="I69" s="5" t="s">
        <v>429</v>
      </c>
      <c r="J69" s="5" t="s">
        <v>285</v>
      </c>
      <c r="K69" s="5" t="s">
        <v>4513</v>
      </c>
      <c r="L69" s="5" t="s">
        <v>427</v>
      </c>
      <c r="M69" s="8">
        <v>50</v>
      </c>
      <c r="N69" s="8">
        <v>1200</v>
      </c>
      <c r="O69" s="5" t="s">
        <v>4514</v>
      </c>
      <c r="P69" s="5" t="s">
        <v>780</v>
      </c>
      <c r="Q69" s="5" t="s">
        <v>4515</v>
      </c>
    </row>
    <row r="70" spans="1:17">
      <c r="A70" s="5" t="s">
        <v>4535</v>
      </c>
      <c r="B70" s="5" t="s">
        <v>1313</v>
      </c>
      <c r="C70" s="5" t="s">
        <v>4449</v>
      </c>
      <c r="D70" s="5" t="s">
        <v>4450</v>
      </c>
      <c r="E70" s="5" t="s">
        <v>4450</v>
      </c>
      <c r="F70" s="5" t="s">
        <v>4450</v>
      </c>
      <c r="G70" s="5" t="s">
        <v>4450</v>
      </c>
      <c r="H70" s="5" t="s">
        <v>4451</v>
      </c>
      <c r="I70" s="5" t="s">
        <v>1186</v>
      </c>
      <c r="J70" s="5" t="s">
        <v>2925</v>
      </c>
      <c r="K70" s="5" t="s">
        <v>4452</v>
      </c>
      <c r="L70" s="5" t="s">
        <v>427</v>
      </c>
      <c r="M70" s="8">
        <v>1</v>
      </c>
      <c r="N70" s="8">
        <v>30000</v>
      </c>
      <c r="O70" s="5" t="s">
        <v>4453</v>
      </c>
      <c r="P70" s="5" t="s">
        <v>780</v>
      </c>
      <c r="Q70" s="5" t="s">
        <v>4454</v>
      </c>
    </row>
    <row r="71" spans="1:17">
      <c r="A71" s="5" t="s">
        <v>4536</v>
      </c>
      <c r="B71" s="5" t="s">
        <v>1313</v>
      </c>
      <c r="C71" s="5" t="s">
        <v>4449</v>
      </c>
      <c r="D71" s="5" t="s">
        <v>4450</v>
      </c>
      <c r="E71" s="5" t="s">
        <v>4450</v>
      </c>
      <c r="F71" s="5" t="s">
        <v>4450</v>
      </c>
      <c r="G71" s="5" t="s">
        <v>4450</v>
      </c>
      <c r="H71" s="5" t="s">
        <v>4451</v>
      </c>
      <c r="I71" s="5" t="s">
        <v>1186</v>
      </c>
      <c r="J71" s="5" t="s">
        <v>2925</v>
      </c>
      <c r="K71" s="5" t="s">
        <v>4452</v>
      </c>
      <c r="L71" s="5" t="s">
        <v>427</v>
      </c>
      <c r="M71" s="8">
        <v>1</v>
      </c>
      <c r="N71" s="8">
        <v>30000</v>
      </c>
      <c r="O71" s="5" t="s">
        <v>4453</v>
      </c>
      <c r="P71" s="5" t="s">
        <v>780</v>
      </c>
      <c r="Q71" s="5" t="s">
        <v>4454</v>
      </c>
    </row>
    <row r="72" spans="1:17">
      <c r="A72" s="5" t="s">
        <v>4537</v>
      </c>
      <c r="B72" s="5" t="s">
        <v>1313</v>
      </c>
      <c r="C72" s="5" t="s">
        <v>4449</v>
      </c>
      <c r="D72" s="5" t="s">
        <v>4450</v>
      </c>
      <c r="E72" s="5" t="s">
        <v>4450</v>
      </c>
      <c r="F72" s="5" t="s">
        <v>4450</v>
      </c>
      <c r="G72" s="5" t="s">
        <v>4450</v>
      </c>
      <c r="H72" s="5" t="s">
        <v>4451</v>
      </c>
      <c r="I72" s="5" t="s">
        <v>1186</v>
      </c>
      <c r="J72" s="5" t="s">
        <v>2925</v>
      </c>
      <c r="K72" s="5" t="s">
        <v>4452</v>
      </c>
      <c r="L72" s="5" t="s">
        <v>427</v>
      </c>
      <c r="M72" s="8">
        <v>1</v>
      </c>
      <c r="N72" s="8">
        <v>30000</v>
      </c>
      <c r="O72" s="5" t="s">
        <v>4453</v>
      </c>
      <c r="P72" s="5" t="s">
        <v>780</v>
      </c>
      <c r="Q72" s="5" t="s">
        <v>4454</v>
      </c>
    </row>
    <row r="73" spans="1:17">
      <c r="A73" s="5" t="s">
        <v>4538</v>
      </c>
      <c r="B73" s="5" t="s">
        <v>1313</v>
      </c>
      <c r="C73" s="5" t="s">
        <v>4449</v>
      </c>
      <c r="D73" s="5" t="s">
        <v>4450</v>
      </c>
      <c r="E73" s="5" t="s">
        <v>4450</v>
      </c>
      <c r="F73" s="5" t="s">
        <v>4450</v>
      </c>
      <c r="G73" s="5" t="s">
        <v>4450</v>
      </c>
      <c r="H73" s="5" t="s">
        <v>4451</v>
      </c>
      <c r="I73" s="5" t="s">
        <v>1186</v>
      </c>
      <c r="J73" s="5" t="s">
        <v>2925</v>
      </c>
      <c r="K73" s="5" t="s">
        <v>4452</v>
      </c>
      <c r="L73" s="5" t="s">
        <v>427</v>
      </c>
      <c r="M73" s="8">
        <v>1</v>
      </c>
      <c r="N73" s="8">
        <v>30000</v>
      </c>
      <c r="O73" s="5" t="s">
        <v>4453</v>
      </c>
      <c r="P73" s="5" t="s">
        <v>780</v>
      </c>
      <c r="Q73" s="5" t="s">
        <v>4454</v>
      </c>
    </row>
    <row r="74" spans="1:17">
      <c r="A74" s="5" t="s">
        <v>4539</v>
      </c>
      <c r="B74" s="5" t="s">
        <v>1313</v>
      </c>
      <c r="C74" s="5" t="s">
        <v>4449</v>
      </c>
      <c r="D74" s="5" t="s">
        <v>4450</v>
      </c>
      <c r="E74" s="5" t="s">
        <v>4450</v>
      </c>
      <c r="F74" s="5" t="s">
        <v>4450</v>
      </c>
      <c r="G74" s="5" t="s">
        <v>4450</v>
      </c>
      <c r="H74" s="5" t="s">
        <v>4451</v>
      </c>
      <c r="I74" s="5" t="s">
        <v>1186</v>
      </c>
      <c r="J74" s="5" t="s">
        <v>2925</v>
      </c>
      <c r="K74" s="5" t="s">
        <v>4452</v>
      </c>
      <c r="L74" s="5" t="s">
        <v>427</v>
      </c>
      <c r="M74" s="8">
        <v>1</v>
      </c>
      <c r="N74" s="8">
        <v>30000</v>
      </c>
      <c r="O74" s="5" t="s">
        <v>4453</v>
      </c>
      <c r="P74" s="5" t="s">
        <v>780</v>
      </c>
      <c r="Q74" s="5" t="s">
        <v>4454</v>
      </c>
    </row>
    <row r="75" spans="1:17">
      <c r="A75" s="5" t="s">
        <v>4540</v>
      </c>
      <c r="B75" s="5" t="s">
        <v>1313</v>
      </c>
      <c r="C75" s="5" t="s">
        <v>4449</v>
      </c>
      <c r="D75" s="5" t="s">
        <v>4450</v>
      </c>
      <c r="E75" s="5" t="s">
        <v>4450</v>
      </c>
      <c r="F75" s="5" t="s">
        <v>4450</v>
      </c>
      <c r="G75" s="5" t="s">
        <v>4450</v>
      </c>
      <c r="H75" s="5" t="s">
        <v>4451</v>
      </c>
      <c r="I75" s="5" t="s">
        <v>1186</v>
      </c>
      <c r="J75" s="5" t="s">
        <v>2925</v>
      </c>
      <c r="K75" s="5" t="s">
        <v>4452</v>
      </c>
      <c r="L75" s="5" t="s">
        <v>427</v>
      </c>
      <c r="M75" s="8">
        <v>1</v>
      </c>
      <c r="N75" s="8">
        <v>30000</v>
      </c>
      <c r="O75" s="5" t="s">
        <v>4453</v>
      </c>
      <c r="P75" s="5" t="s">
        <v>780</v>
      </c>
      <c r="Q75" s="5" t="s">
        <v>4454</v>
      </c>
    </row>
    <row r="76" spans="1:17">
      <c r="A76" s="5" t="s">
        <v>4541</v>
      </c>
      <c r="B76" s="5" t="s">
        <v>1313</v>
      </c>
      <c r="C76" s="5" t="s">
        <v>4449</v>
      </c>
      <c r="D76" s="5" t="s">
        <v>4450</v>
      </c>
      <c r="E76" s="5" t="s">
        <v>4450</v>
      </c>
      <c r="F76" s="5" t="s">
        <v>4450</v>
      </c>
      <c r="G76" s="5" t="s">
        <v>4450</v>
      </c>
      <c r="H76" s="5" t="s">
        <v>4451</v>
      </c>
      <c r="I76" s="5" t="s">
        <v>1186</v>
      </c>
      <c r="J76" s="5" t="s">
        <v>2925</v>
      </c>
      <c r="K76" s="5" t="s">
        <v>4452</v>
      </c>
      <c r="L76" s="5" t="s">
        <v>427</v>
      </c>
      <c r="M76" s="8">
        <v>1</v>
      </c>
      <c r="N76" s="8">
        <v>30000</v>
      </c>
      <c r="O76" s="5" t="s">
        <v>4453</v>
      </c>
      <c r="P76" s="5" t="s">
        <v>780</v>
      </c>
      <c r="Q76" s="5" t="s">
        <v>4454</v>
      </c>
    </row>
    <row r="77" spans="1:17">
      <c r="A77" s="5" t="s">
        <v>4542</v>
      </c>
      <c r="B77" s="5" t="s">
        <v>1313</v>
      </c>
      <c r="C77" s="5" t="s">
        <v>4449</v>
      </c>
      <c r="D77" s="5" t="s">
        <v>4450</v>
      </c>
      <c r="E77" s="5" t="s">
        <v>4450</v>
      </c>
      <c r="F77" s="5" t="s">
        <v>4450</v>
      </c>
      <c r="G77" s="5" t="s">
        <v>4450</v>
      </c>
      <c r="H77" s="5" t="s">
        <v>4451</v>
      </c>
      <c r="I77" s="5" t="s">
        <v>1186</v>
      </c>
      <c r="J77" s="5" t="s">
        <v>2925</v>
      </c>
      <c r="K77" s="5" t="s">
        <v>4452</v>
      </c>
      <c r="L77" s="5" t="s">
        <v>427</v>
      </c>
      <c r="M77" s="8">
        <v>1</v>
      </c>
      <c r="N77" s="8">
        <v>30000</v>
      </c>
      <c r="O77" s="5" t="s">
        <v>4453</v>
      </c>
      <c r="P77" s="5" t="s">
        <v>780</v>
      </c>
      <c r="Q77" s="5" t="s">
        <v>4454</v>
      </c>
    </row>
    <row r="78" spans="1:17">
      <c r="A78" s="5" t="s">
        <v>4543</v>
      </c>
      <c r="B78" s="5" t="s">
        <v>1313</v>
      </c>
      <c r="C78" s="5" t="s">
        <v>4463</v>
      </c>
      <c r="D78" s="5" t="s">
        <v>428</v>
      </c>
      <c r="E78" s="5" t="s">
        <v>4464</v>
      </c>
      <c r="F78" s="5">
        <v>1</v>
      </c>
      <c r="G78" s="5">
        <v>1</v>
      </c>
      <c r="H78" s="5" t="s">
        <v>4465</v>
      </c>
      <c r="I78" s="5" t="s">
        <v>1186</v>
      </c>
      <c r="J78" s="5" t="s">
        <v>1192</v>
      </c>
      <c r="K78" s="5" t="s">
        <v>4466</v>
      </c>
      <c r="L78" s="5" t="s">
        <v>427</v>
      </c>
      <c r="M78" s="8">
        <v>4</v>
      </c>
      <c r="N78" s="8">
        <v>1200</v>
      </c>
      <c r="O78" s="5" t="s">
        <v>4467</v>
      </c>
      <c r="P78" s="5" t="s">
        <v>780</v>
      </c>
      <c r="Q78" s="5" t="s">
        <v>4468</v>
      </c>
    </row>
    <row r="79" spans="1:17">
      <c r="A79" s="5" t="s">
        <v>4544</v>
      </c>
      <c r="B79" s="5" t="s">
        <v>1313</v>
      </c>
      <c r="C79" s="5" t="s">
        <v>4463</v>
      </c>
      <c r="D79" s="5" t="s">
        <v>428</v>
      </c>
      <c r="E79" s="5" t="s">
        <v>4464</v>
      </c>
      <c r="F79" s="5">
        <v>1</v>
      </c>
      <c r="G79" s="5">
        <v>2</v>
      </c>
      <c r="H79" s="5" t="s">
        <v>4465</v>
      </c>
      <c r="I79" s="5" t="s">
        <v>1186</v>
      </c>
      <c r="J79" s="5" t="s">
        <v>1192</v>
      </c>
      <c r="K79" s="5" t="s">
        <v>4466</v>
      </c>
      <c r="L79" s="5" t="s">
        <v>427</v>
      </c>
      <c r="M79" s="8">
        <v>4</v>
      </c>
      <c r="N79" s="8">
        <v>1200</v>
      </c>
      <c r="O79" s="5" t="s">
        <v>4467</v>
      </c>
      <c r="P79" s="5" t="s">
        <v>780</v>
      </c>
      <c r="Q79" s="5" t="s">
        <v>4468</v>
      </c>
    </row>
    <row r="80" spans="1:17">
      <c r="A80" s="5" t="s">
        <v>4545</v>
      </c>
      <c r="B80" s="5" t="s">
        <v>1313</v>
      </c>
      <c r="C80" s="5" t="s">
        <v>4463</v>
      </c>
      <c r="D80" s="5" t="s">
        <v>428</v>
      </c>
      <c r="E80" s="5" t="s">
        <v>4464</v>
      </c>
      <c r="F80" s="5">
        <v>2</v>
      </c>
      <c r="G80" s="5">
        <v>1</v>
      </c>
      <c r="H80" s="5" t="s">
        <v>4465</v>
      </c>
      <c r="I80" s="5" t="s">
        <v>1186</v>
      </c>
      <c r="J80" s="5" t="s">
        <v>1192</v>
      </c>
      <c r="K80" s="5" t="s">
        <v>4466</v>
      </c>
      <c r="L80" s="5" t="s">
        <v>427</v>
      </c>
      <c r="M80" s="8">
        <v>4</v>
      </c>
      <c r="N80" s="8">
        <v>1200</v>
      </c>
      <c r="O80" s="5" t="s">
        <v>4467</v>
      </c>
      <c r="P80" s="5" t="s">
        <v>780</v>
      </c>
      <c r="Q80" s="5" t="s">
        <v>4468</v>
      </c>
    </row>
    <row r="81" spans="1:17">
      <c r="A81" s="5" t="s">
        <v>4546</v>
      </c>
      <c r="B81" s="5" t="s">
        <v>1313</v>
      </c>
      <c r="C81" s="5" t="s">
        <v>4463</v>
      </c>
      <c r="D81" s="5" t="s">
        <v>428</v>
      </c>
      <c r="E81" s="5" t="s">
        <v>4464</v>
      </c>
      <c r="F81" s="5">
        <v>2</v>
      </c>
      <c r="G81" s="5">
        <v>2</v>
      </c>
      <c r="H81" s="5" t="s">
        <v>4465</v>
      </c>
      <c r="I81" s="5" t="s">
        <v>1186</v>
      </c>
      <c r="J81" s="5" t="s">
        <v>1192</v>
      </c>
      <c r="K81" s="5" t="s">
        <v>4466</v>
      </c>
      <c r="L81" s="5" t="s">
        <v>427</v>
      </c>
      <c r="M81" s="8">
        <v>4</v>
      </c>
      <c r="N81" s="8">
        <v>1200</v>
      </c>
      <c r="O81" s="5" t="s">
        <v>4467</v>
      </c>
      <c r="P81" s="5" t="s">
        <v>780</v>
      </c>
      <c r="Q81" s="5" t="s">
        <v>4468</v>
      </c>
    </row>
    <row r="82" spans="1:17">
      <c r="A82" s="5" t="s">
        <v>4547</v>
      </c>
      <c r="B82" s="5" t="s">
        <v>1313</v>
      </c>
      <c r="C82" s="5" t="s">
        <v>4463</v>
      </c>
      <c r="D82" s="5" t="s">
        <v>428</v>
      </c>
      <c r="E82" s="5" t="s">
        <v>4473</v>
      </c>
      <c r="F82" s="5">
        <v>1</v>
      </c>
      <c r="G82" s="5">
        <v>1</v>
      </c>
      <c r="H82" s="5" t="s">
        <v>4465</v>
      </c>
      <c r="I82" s="5" t="s">
        <v>1186</v>
      </c>
      <c r="J82" s="5" t="s">
        <v>1192</v>
      </c>
      <c r="K82" s="5" t="s">
        <v>4466</v>
      </c>
      <c r="L82" s="5" t="s">
        <v>427</v>
      </c>
      <c r="M82" s="8">
        <v>4</v>
      </c>
      <c r="N82" s="8">
        <v>1200</v>
      </c>
      <c r="O82" s="5" t="s">
        <v>4467</v>
      </c>
      <c r="P82" s="5" t="s">
        <v>780</v>
      </c>
      <c r="Q82" s="5" t="s">
        <v>4468</v>
      </c>
    </row>
    <row r="83" spans="1:17">
      <c r="A83" s="5" t="s">
        <v>4548</v>
      </c>
      <c r="B83" s="5" t="s">
        <v>1313</v>
      </c>
      <c r="C83" s="5" t="s">
        <v>4463</v>
      </c>
      <c r="D83" s="5" t="s">
        <v>428</v>
      </c>
      <c r="E83" s="5" t="s">
        <v>4473</v>
      </c>
      <c r="F83" s="5">
        <v>1</v>
      </c>
      <c r="G83" s="5">
        <v>2</v>
      </c>
      <c r="H83" s="5" t="s">
        <v>4465</v>
      </c>
      <c r="I83" s="5" t="s">
        <v>1186</v>
      </c>
      <c r="J83" s="5" t="s">
        <v>1192</v>
      </c>
      <c r="K83" s="5" t="s">
        <v>4466</v>
      </c>
      <c r="L83" s="5" t="s">
        <v>427</v>
      </c>
      <c r="M83" s="8">
        <v>4</v>
      </c>
      <c r="N83" s="8">
        <v>1200</v>
      </c>
      <c r="O83" s="5" t="s">
        <v>4467</v>
      </c>
      <c r="P83" s="5" t="s">
        <v>780</v>
      </c>
      <c r="Q83" s="5" t="s">
        <v>4468</v>
      </c>
    </row>
    <row r="84" spans="1:17">
      <c r="A84" s="5" t="s">
        <v>4549</v>
      </c>
      <c r="B84" s="5" t="s">
        <v>1313</v>
      </c>
      <c r="C84" s="5" t="s">
        <v>4463</v>
      </c>
      <c r="D84" s="5" t="s">
        <v>428</v>
      </c>
      <c r="E84" s="5" t="s">
        <v>4473</v>
      </c>
      <c r="F84" s="5">
        <v>2</v>
      </c>
      <c r="G84" s="5">
        <v>1</v>
      </c>
      <c r="H84" s="5" t="s">
        <v>4465</v>
      </c>
      <c r="I84" s="5" t="s">
        <v>1186</v>
      </c>
      <c r="J84" s="5" t="s">
        <v>1192</v>
      </c>
      <c r="K84" s="5" t="s">
        <v>4466</v>
      </c>
      <c r="L84" s="5" t="s">
        <v>427</v>
      </c>
      <c r="M84" s="8">
        <v>4</v>
      </c>
      <c r="N84" s="8">
        <v>1200</v>
      </c>
      <c r="O84" s="5" t="s">
        <v>4467</v>
      </c>
      <c r="P84" s="5" t="s">
        <v>780</v>
      </c>
      <c r="Q84" s="5" t="s">
        <v>4468</v>
      </c>
    </row>
    <row r="85" spans="1:17">
      <c r="A85" s="5" t="s">
        <v>4550</v>
      </c>
      <c r="B85" s="5" t="s">
        <v>1313</v>
      </c>
      <c r="C85" s="5" t="s">
        <v>4463</v>
      </c>
      <c r="D85" s="5" t="s">
        <v>428</v>
      </c>
      <c r="E85" s="5" t="s">
        <v>4473</v>
      </c>
      <c r="F85" s="5">
        <v>2</v>
      </c>
      <c r="G85" s="5">
        <v>2</v>
      </c>
      <c r="H85" s="5" t="s">
        <v>4465</v>
      </c>
      <c r="I85" s="5" t="s">
        <v>1186</v>
      </c>
      <c r="J85" s="5" t="s">
        <v>1192</v>
      </c>
      <c r="K85" s="5" t="s">
        <v>4466</v>
      </c>
      <c r="L85" s="5" t="s">
        <v>427</v>
      </c>
      <c r="M85" s="8">
        <v>4</v>
      </c>
      <c r="N85" s="8">
        <v>1200</v>
      </c>
      <c r="O85" s="5" t="s">
        <v>4467</v>
      </c>
      <c r="P85" s="5" t="s">
        <v>780</v>
      </c>
      <c r="Q85" s="5" t="s">
        <v>4468</v>
      </c>
    </row>
    <row r="86" spans="1:17">
      <c r="A86" s="5" t="s">
        <v>4551</v>
      </c>
      <c r="B86" s="5" t="s">
        <v>1313</v>
      </c>
      <c r="C86" s="5" t="s">
        <v>4463</v>
      </c>
      <c r="D86" s="5" t="s">
        <v>428</v>
      </c>
      <c r="E86" s="5" t="s">
        <v>4478</v>
      </c>
      <c r="F86" s="5">
        <v>1</v>
      </c>
      <c r="G86" s="5">
        <v>1</v>
      </c>
      <c r="H86" s="5" t="s">
        <v>4465</v>
      </c>
      <c r="I86" s="5" t="s">
        <v>1186</v>
      </c>
      <c r="J86" s="5" t="s">
        <v>1192</v>
      </c>
      <c r="K86" s="5" t="s">
        <v>4466</v>
      </c>
      <c r="L86" s="5" t="s">
        <v>427</v>
      </c>
      <c r="M86" s="8">
        <v>4</v>
      </c>
      <c r="N86" s="8">
        <v>1200</v>
      </c>
      <c r="O86" s="5" t="s">
        <v>4467</v>
      </c>
      <c r="P86" s="5" t="s">
        <v>780</v>
      </c>
      <c r="Q86" s="5" t="s">
        <v>4468</v>
      </c>
    </row>
    <row r="87" spans="1:17">
      <c r="A87" s="5" t="s">
        <v>4552</v>
      </c>
      <c r="B87" s="5" t="s">
        <v>1313</v>
      </c>
      <c r="C87" s="5" t="s">
        <v>4463</v>
      </c>
      <c r="D87" s="5" t="s">
        <v>428</v>
      </c>
      <c r="E87" s="5" t="s">
        <v>4478</v>
      </c>
      <c r="F87" s="5">
        <v>1</v>
      </c>
      <c r="G87" s="5">
        <v>2</v>
      </c>
      <c r="H87" s="5" t="s">
        <v>4465</v>
      </c>
      <c r="I87" s="5" t="s">
        <v>1186</v>
      </c>
      <c r="J87" s="5" t="s">
        <v>1192</v>
      </c>
      <c r="K87" s="5" t="s">
        <v>4466</v>
      </c>
      <c r="L87" s="5" t="s">
        <v>427</v>
      </c>
      <c r="M87" s="8">
        <v>4</v>
      </c>
      <c r="N87" s="8">
        <v>1200</v>
      </c>
      <c r="O87" s="5" t="s">
        <v>4467</v>
      </c>
      <c r="P87" s="5" t="s">
        <v>780</v>
      </c>
      <c r="Q87" s="5" t="s">
        <v>4468</v>
      </c>
    </row>
    <row r="88" spans="1:17">
      <c r="A88" s="5" t="s">
        <v>4553</v>
      </c>
      <c r="B88" s="5" t="s">
        <v>1313</v>
      </c>
      <c r="C88" s="5" t="s">
        <v>4463</v>
      </c>
      <c r="D88" s="5" t="s">
        <v>437</v>
      </c>
      <c r="E88" s="5" t="s">
        <v>4464</v>
      </c>
      <c r="F88" s="5">
        <v>1</v>
      </c>
      <c r="G88" s="5">
        <v>1</v>
      </c>
      <c r="H88" s="5" t="s">
        <v>4465</v>
      </c>
      <c r="I88" s="5" t="s">
        <v>1186</v>
      </c>
      <c r="J88" s="5" t="s">
        <v>1192</v>
      </c>
      <c r="K88" s="5" t="s">
        <v>4466</v>
      </c>
      <c r="L88" s="5" t="s">
        <v>427</v>
      </c>
      <c r="M88" s="8">
        <v>4</v>
      </c>
      <c r="N88" s="8">
        <v>1200</v>
      </c>
      <c r="O88" s="5" t="s">
        <v>4467</v>
      </c>
      <c r="P88" s="5" t="s">
        <v>780</v>
      </c>
      <c r="Q88" s="5" t="s">
        <v>4468</v>
      </c>
    </row>
    <row r="89" spans="1:17">
      <c r="A89" s="5" t="s">
        <v>4554</v>
      </c>
      <c r="B89" s="5" t="s">
        <v>1313</v>
      </c>
      <c r="C89" s="5" t="s">
        <v>4463</v>
      </c>
      <c r="D89" s="5" t="s">
        <v>437</v>
      </c>
      <c r="E89" s="5" t="s">
        <v>4464</v>
      </c>
      <c r="F89" s="5">
        <v>1</v>
      </c>
      <c r="G89" s="5">
        <v>2</v>
      </c>
      <c r="H89" s="5" t="s">
        <v>4465</v>
      </c>
      <c r="I89" s="5" t="s">
        <v>1186</v>
      </c>
      <c r="J89" s="5" t="s">
        <v>1192</v>
      </c>
      <c r="K89" s="5" t="s">
        <v>4466</v>
      </c>
      <c r="L89" s="5" t="s">
        <v>427</v>
      </c>
      <c r="M89" s="8">
        <v>4</v>
      </c>
      <c r="N89" s="8">
        <v>1200</v>
      </c>
      <c r="O89" s="5" t="s">
        <v>4467</v>
      </c>
      <c r="P89" s="5" t="s">
        <v>780</v>
      </c>
      <c r="Q89" s="5" t="s">
        <v>4468</v>
      </c>
    </row>
    <row r="90" spans="1:17">
      <c r="A90" s="5" t="s">
        <v>4555</v>
      </c>
      <c r="B90" s="5" t="s">
        <v>1313</v>
      </c>
      <c r="C90" s="5" t="s">
        <v>4463</v>
      </c>
      <c r="D90" s="5" t="s">
        <v>437</v>
      </c>
      <c r="E90" s="5" t="s">
        <v>4464</v>
      </c>
      <c r="F90" s="5">
        <v>2</v>
      </c>
      <c r="G90" s="5">
        <v>1</v>
      </c>
      <c r="H90" s="5" t="s">
        <v>4465</v>
      </c>
      <c r="I90" s="5" t="s">
        <v>1186</v>
      </c>
      <c r="J90" s="5" t="s">
        <v>1192</v>
      </c>
      <c r="K90" s="5" t="s">
        <v>4466</v>
      </c>
      <c r="L90" s="5" t="s">
        <v>427</v>
      </c>
      <c r="M90" s="8">
        <v>4</v>
      </c>
      <c r="N90" s="8">
        <v>1200</v>
      </c>
      <c r="O90" s="5" t="s">
        <v>4467</v>
      </c>
      <c r="P90" s="5" t="s">
        <v>780</v>
      </c>
      <c r="Q90" s="5" t="s">
        <v>4468</v>
      </c>
    </row>
    <row r="91" spans="1:17">
      <c r="A91" s="5" t="s">
        <v>4556</v>
      </c>
      <c r="B91" s="5" t="s">
        <v>1313</v>
      </c>
      <c r="C91" s="5" t="s">
        <v>4463</v>
      </c>
      <c r="D91" s="5" t="s">
        <v>437</v>
      </c>
      <c r="E91" s="5" t="s">
        <v>4464</v>
      </c>
      <c r="F91" s="5">
        <v>2</v>
      </c>
      <c r="G91" s="5">
        <v>2</v>
      </c>
      <c r="H91" s="5" t="s">
        <v>4465</v>
      </c>
      <c r="I91" s="5" t="s">
        <v>1186</v>
      </c>
      <c r="J91" s="5" t="s">
        <v>1192</v>
      </c>
      <c r="K91" s="5" t="s">
        <v>4466</v>
      </c>
      <c r="L91" s="5" t="s">
        <v>427</v>
      </c>
      <c r="M91" s="8">
        <v>4</v>
      </c>
      <c r="N91" s="8">
        <v>1200</v>
      </c>
      <c r="O91" s="5" t="s">
        <v>4467</v>
      </c>
      <c r="P91" s="5" t="s">
        <v>780</v>
      </c>
      <c r="Q91" s="5" t="s">
        <v>4468</v>
      </c>
    </row>
    <row r="92" spans="1:17">
      <c r="A92" s="5" t="s">
        <v>4557</v>
      </c>
      <c r="B92" s="5" t="s">
        <v>1313</v>
      </c>
      <c r="C92" s="5" t="s">
        <v>4463</v>
      </c>
      <c r="D92" s="5" t="s">
        <v>437</v>
      </c>
      <c r="E92" s="5" t="s">
        <v>4473</v>
      </c>
      <c r="F92" s="5">
        <v>1</v>
      </c>
      <c r="G92" s="5">
        <v>1</v>
      </c>
      <c r="H92" s="5" t="s">
        <v>4465</v>
      </c>
      <c r="I92" s="5" t="s">
        <v>1186</v>
      </c>
      <c r="J92" s="5" t="s">
        <v>1192</v>
      </c>
      <c r="K92" s="5" t="s">
        <v>4466</v>
      </c>
      <c r="L92" s="5" t="s">
        <v>427</v>
      </c>
      <c r="M92" s="8">
        <v>4</v>
      </c>
      <c r="N92" s="8">
        <v>1200</v>
      </c>
      <c r="O92" s="5" t="s">
        <v>4467</v>
      </c>
      <c r="P92" s="5" t="s">
        <v>780</v>
      </c>
      <c r="Q92" s="5" t="s">
        <v>4468</v>
      </c>
    </row>
    <row r="93" spans="1:17">
      <c r="A93" s="5" t="s">
        <v>4558</v>
      </c>
      <c r="B93" s="5" t="s">
        <v>1313</v>
      </c>
      <c r="C93" s="5" t="s">
        <v>4463</v>
      </c>
      <c r="D93" s="5" t="s">
        <v>437</v>
      </c>
      <c r="E93" s="5" t="s">
        <v>4473</v>
      </c>
      <c r="F93" s="5">
        <v>1</v>
      </c>
      <c r="G93" s="5">
        <v>2</v>
      </c>
      <c r="H93" s="5" t="s">
        <v>4465</v>
      </c>
      <c r="I93" s="5" t="s">
        <v>1186</v>
      </c>
      <c r="J93" s="5" t="s">
        <v>1192</v>
      </c>
      <c r="K93" s="5" t="s">
        <v>4466</v>
      </c>
      <c r="L93" s="5" t="s">
        <v>427</v>
      </c>
      <c r="M93" s="8">
        <v>4</v>
      </c>
      <c r="N93" s="8">
        <v>1200</v>
      </c>
      <c r="O93" s="5" t="s">
        <v>4467</v>
      </c>
      <c r="P93" s="5" t="s">
        <v>780</v>
      </c>
      <c r="Q93" s="5" t="s">
        <v>4468</v>
      </c>
    </row>
    <row r="94" spans="1:17">
      <c r="A94" s="5" t="s">
        <v>4559</v>
      </c>
      <c r="B94" s="5" t="s">
        <v>1313</v>
      </c>
      <c r="C94" s="5" t="s">
        <v>4463</v>
      </c>
      <c r="D94" s="5" t="s">
        <v>437</v>
      </c>
      <c r="E94" s="5" t="s">
        <v>4473</v>
      </c>
      <c r="F94" s="5">
        <v>2</v>
      </c>
      <c r="G94" s="5">
        <v>1</v>
      </c>
      <c r="H94" s="5" t="s">
        <v>4465</v>
      </c>
      <c r="I94" s="5" t="s">
        <v>1186</v>
      </c>
      <c r="J94" s="5" t="s">
        <v>1192</v>
      </c>
      <c r="K94" s="5" t="s">
        <v>4466</v>
      </c>
      <c r="L94" s="5" t="s">
        <v>427</v>
      </c>
      <c r="M94" s="8">
        <v>4</v>
      </c>
      <c r="N94" s="8">
        <v>1200</v>
      </c>
      <c r="O94" s="5" t="s">
        <v>4467</v>
      </c>
      <c r="P94" s="5" t="s">
        <v>780</v>
      </c>
      <c r="Q94" s="5" t="s">
        <v>4468</v>
      </c>
    </row>
    <row r="95" spans="1:17">
      <c r="A95" s="5" t="s">
        <v>4560</v>
      </c>
      <c r="B95" s="5" t="s">
        <v>1313</v>
      </c>
      <c r="C95" s="5" t="s">
        <v>4463</v>
      </c>
      <c r="D95" s="5" t="s">
        <v>437</v>
      </c>
      <c r="E95" s="5" t="s">
        <v>4473</v>
      </c>
      <c r="F95" s="5">
        <v>2</v>
      </c>
      <c r="G95" s="5">
        <v>2</v>
      </c>
      <c r="H95" s="5" t="s">
        <v>4465</v>
      </c>
      <c r="I95" s="5" t="s">
        <v>1186</v>
      </c>
      <c r="J95" s="5" t="s">
        <v>1192</v>
      </c>
      <c r="K95" s="5" t="s">
        <v>4466</v>
      </c>
      <c r="L95" s="5" t="s">
        <v>427</v>
      </c>
      <c r="M95" s="8">
        <v>4</v>
      </c>
      <c r="N95" s="8">
        <v>1200</v>
      </c>
      <c r="O95" s="5" t="s">
        <v>4467</v>
      </c>
      <c r="P95" s="5" t="s">
        <v>780</v>
      </c>
      <c r="Q95" s="5" t="s">
        <v>4468</v>
      </c>
    </row>
    <row r="96" spans="1:17">
      <c r="A96" s="5" t="s">
        <v>4561</v>
      </c>
      <c r="B96" s="5" t="s">
        <v>1313</v>
      </c>
      <c r="C96" s="5" t="s">
        <v>4463</v>
      </c>
      <c r="D96" s="5" t="s">
        <v>437</v>
      </c>
      <c r="E96" s="5" t="s">
        <v>4478</v>
      </c>
      <c r="F96" s="5">
        <v>1</v>
      </c>
      <c r="G96" s="5">
        <v>1</v>
      </c>
      <c r="H96" s="5" t="s">
        <v>4465</v>
      </c>
      <c r="I96" s="5" t="s">
        <v>1186</v>
      </c>
      <c r="J96" s="5" t="s">
        <v>1192</v>
      </c>
      <c r="K96" s="5" t="s">
        <v>4466</v>
      </c>
      <c r="L96" s="5" t="s">
        <v>427</v>
      </c>
      <c r="M96" s="8">
        <v>4</v>
      </c>
      <c r="N96" s="8">
        <v>1200</v>
      </c>
      <c r="O96" s="5" t="s">
        <v>4467</v>
      </c>
      <c r="P96" s="5" t="s">
        <v>780</v>
      </c>
      <c r="Q96" s="5" t="s">
        <v>4468</v>
      </c>
    </row>
    <row r="97" spans="1:17">
      <c r="A97" s="5" t="s">
        <v>4562</v>
      </c>
      <c r="B97" s="5" t="s">
        <v>1313</v>
      </c>
      <c r="C97" s="5" t="s">
        <v>4463</v>
      </c>
      <c r="D97" s="5" t="s">
        <v>437</v>
      </c>
      <c r="E97" s="5" t="s">
        <v>4478</v>
      </c>
      <c r="F97" s="5">
        <v>1</v>
      </c>
      <c r="G97" s="5">
        <v>2</v>
      </c>
      <c r="H97" s="5" t="s">
        <v>4465</v>
      </c>
      <c r="I97" s="5" t="s">
        <v>1186</v>
      </c>
      <c r="J97" s="5" t="s">
        <v>1192</v>
      </c>
      <c r="K97" s="5" t="s">
        <v>4466</v>
      </c>
      <c r="L97" s="5" t="s">
        <v>427</v>
      </c>
      <c r="M97" s="8">
        <v>4</v>
      </c>
      <c r="N97" s="8">
        <v>1200</v>
      </c>
      <c r="O97" s="5" t="s">
        <v>4467</v>
      </c>
      <c r="P97" s="5" t="s">
        <v>780</v>
      </c>
      <c r="Q97" s="5" t="s">
        <v>4468</v>
      </c>
    </row>
    <row r="98" spans="1:17">
      <c r="A98" s="5" t="s">
        <v>4563</v>
      </c>
      <c r="B98" s="5" t="s">
        <v>1313</v>
      </c>
      <c r="C98" s="5" t="s">
        <v>4463</v>
      </c>
      <c r="D98" s="5" t="s">
        <v>493</v>
      </c>
      <c r="E98" s="5" t="s">
        <v>4464</v>
      </c>
      <c r="F98" s="5">
        <v>1</v>
      </c>
      <c r="G98" s="5">
        <v>1</v>
      </c>
      <c r="H98" s="5" t="s">
        <v>4465</v>
      </c>
      <c r="I98" s="5" t="s">
        <v>1186</v>
      </c>
      <c r="J98" s="5" t="s">
        <v>1192</v>
      </c>
      <c r="K98" s="5" t="s">
        <v>4466</v>
      </c>
      <c r="L98" s="5" t="s">
        <v>427</v>
      </c>
      <c r="M98" s="8">
        <v>4</v>
      </c>
      <c r="N98" s="8">
        <v>1200</v>
      </c>
      <c r="O98" s="5" t="s">
        <v>4467</v>
      </c>
      <c r="P98" s="5" t="s">
        <v>780</v>
      </c>
      <c r="Q98" s="5" t="s">
        <v>4468</v>
      </c>
    </row>
    <row r="99" spans="1:17">
      <c r="A99" s="5" t="s">
        <v>4564</v>
      </c>
      <c r="B99" s="5" t="s">
        <v>1313</v>
      </c>
      <c r="C99" s="5" t="s">
        <v>4463</v>
      </c>
      <c r="D99" s="5" t="s">
        <v>493</v>
      </c>
      <c r="E99" s="5" t="s">
        <v>4464</v>
      </c>
      <c r="F99" s="5">
        <v>1</v>
      </c>
      <c r="G99" s="5">
        <v>2</v>
      </c>
      <c r="H99" s="5" t="s">
        <v>4465</v>
      </c>
      <c r="I99" s="5" t="s">
        <v>1186</v>
      </c>
      <c r="J99" s="5" t="s">
        <v>1192</v>
      </c>
      <c r="K99" s="5" t="s">
        <v>4466</v>
      </c>
      <c r="L99" s="5" t="s">
        <v>427</v>
      </c>
      <c r="M99" s="8">
        <v>4</v>
      </c>
      <c r="N99" s="8">
        <v>1200</v>
      </c>
      <c r="O99" s="5" t="s">
        <v>4467</v>
      </c>
      <c r="P99" s="5" t="s">
        <v>780</v>
      </c>
      <c r="Q99" s="5" t="s">
        <v>4468</v>
      </c>
    </row>
    <row r="100" spans="1:17">
      <c r="A100" s="5" t="s">
        <v>4565</v>
      </c>
      <c r="B100" s="5" t="s">
        <v>1313</v>
      </c>
      <c r="C100" s="5" t="s">
        <v>4463</v>
      </c>
      <c r="D100" s="5" t="s">
        <v>493</v>
      </c>
      <c r="E100" s="5" t="s">
        <v>4464</v>
      </c>
      <c r="F100" s="5">
        <v>2</v>
      </c>
      <c r="G100" s="5">
        <v>1</v>
      </c>
      <c r="H100" s="5" t="s">
        <v>4465</v>
      </c>
      <c r="I100" s="5" t="s">
        <v>1186</v>
      </c>
      <c r="J100" s="5" t="s">
        <v>1192</v>
      </c>
      <c r="K100" s="5" t="s">
        <v>4466</v>
      </c>
      <c r="L100" s="5" t="s">
        <v>427</v>
      </c>
      <c r="M100" s="8">
        <v>4</v>
      </c>
      <c r="N100" s="8">
        <v>1200</v>
      </c>
      <c r="O100" s="5" t="s">
        <v>4467</v>
      </c>
      <c r="P100" s="5" t="s">
        <v>780</v>
      </c>
      <c r="Q100" s="5" t="s">
        <v>4468</v>
      </c>
    </row>
    <row r="101" spans="1:17">
      <c r="A101" s="5" t="s">
        <v>4566</v>
      </c>
      <c r="B101" s="5" t="s">
        <v>1313</v>
      </c>
      <c r="C101" s="5" t="s">
        <v>4463</v>
      </c>
      <c r="D101" s="5" t="s">
        <v>493</v>
      </c>
      <c r="E101" s="5" t="s">
        <v>4464</v>
      </c>
      <c r="F101" s="5">
        <v>2</v>
      </c>
      <c r="G101" s="5">
        <v>2</v>
      </c>
      <c r="H101" s="5" t="s">
        <v>4465</v>
      </c>
      <c r="I101" s="5" t="s">
        <v>1186</v>
      </c>
      <c r="J101" s="5" t="s">
        <v>1192</v>
      </c>
      <c r="K101" s="5" t="s">
        <v>4466</v>
      </c>
      <c r="L101" s="5" t="s">
        <v>427</v>
      </c>
      <c r="M101" s="8">
        <v>4</v>
      </c>
      <c r="N101" s="8">
        <v>1200</v>
      </c>
      <c r="O101" s="5" t="s">
        <v>4467</v>
      </c>
      <c r="P101" s="5" t="s">
        <v>780</v>
      </c>
      <c r="Q101" s="5" t="s">
        <v>4468</v>
      </c>
    </row>
    <row r="102" spans="1:17">
      <c r="A102" s="5" t="s">
        <v>4567</v>
      </c>
      <c r="B102" s="5" t="s">
        <v>1313</v>
      </c>
      <c r="C102" s="5" t="s">
        <v>4463</v>
      </c>
      <c r="D102" s="5" t="s">
        <v>493</v>
      </c>
      <c r="E102" s="5" t="s">
        <v>4473</v>
      </c>
      <c r="F102" s="5">
        <v>1</v>
      </c>
      <c r="G102" s="5">
        <v>1</v>
      </c>
      <c r="H102" s="5" t="s">
        <v>4465</v>
      </c>
      <c r="I102" s="5" t="s">
        <v>1186</v>
      </c>
      <c r="J102" s="5" t="s">
        <v>1192</v>
      </c>
      <c r="K102" s="5" t="s">
        <v>4466</v>
      </c>
      <c r="L102" s="5" t="s">
        <v>427</v>
      </c>
      <c r="M102" s="8">
        <v>4</v>
      </c>
      <c r="N102" s="8">
        <v>1200</v>
      </c>
      <c r="O102" s="5" t="s">
        <v>4467</v>
      </c>
      <c r="P102" s="5" t="s">
        <v>780</v>
      </c>
      <c r="Q102" s="5" t="s">
        <v>4468</v>
      </c>
    </row>
    <row r="103" spans="1:17">
      <c r="A103" s="5" t="s">
        <v>4568</v>
      </c>
      <c r="B103" s="5" t="s">
        <v>1313</v>
      </c>
      <c r="C103" s="5" t="s">
        <v>4463</v>
      </c>
      <c r="D103" s="5" t="s">
        <v>493</v>
      </c>
      <c r="E103" s="5" t="s">
        <v>4473</v>
      </c>
      <c r="F103" s="5">
        <v>1</v>
      </c>
      <c r="G103" s="5">
        <v>2</v>
      </c>
      <c r="H103" s="5" t="s">
        <v>4465</v>
      </c>
      <c r="I103" s="5" t="s">
        <v>1186</v>
      </c>
      <c r="J103" s="5" t="s">
        <v>1192</v>
      </c>
      <c r="K103" s="5" t="s">
        <v>4466</v>
      </c>
      <c r="L103" s="5" t="s">
        <v>427</v>
      </c>
      <c r="M103" s="8">
        <v>4</v>
      </c>
      <c r="N103" s="8">
        <v>1200</v>
      </c>
      <c r="O103" s="5" t="s">
        <v>4467</v>
      </c>
      <c r="P103" s="5" t="s">
        <v>780</v>
      </c>
      <c r="Q103" s="5" t="s">
        <v>4468</v>
      </c>
    </row>
    <row r="104" spans="1:17">
      <c r="A104" s="5" t="s">
        <v>4569</v>
      </c>
      <c r="B104" s="5" t="s">
        <v>1313</v>
      </c>
      <c r="C104" s="5" t="s">
        <v>4463</v>
      </c>
      <c r="D104" s="5" t="s">
        <v>493</v>
      </c>
      <c r="E104" s="5" t="s">
        <v>4473</v>
      </c>
      <c r="F104" s="5">
        <v>2</v>
      </c>
      <c r="G104" s="5">
        <v>1</v>
      </c>
      <c r="H104" s="5" t="s">
        <v>4465</v>
      </c>
      <c r="I104" s="5" t="s">
        <v>1186</v>
      </c>
      <c r="J104" s="5" t="s">
        <v>1192</v>
      </c>
      <c r="K104" s="5" t="s">
        <v>4466</v>
      </c>
      <c r="L104" s="5" t="s">
        <v>427</v>
      </c>
      <c r="M104" s="8">
        <v>4</v>
      </c>
      <c r="N104" s="8">
        <v>1200</v>
      </c>
      <c r="O104" s="5" t="s">
        <v>4467</v>
      </c>
      <c r="P104" s="5" t="s">
        <v>780</v>
      </c>
      <c r="Q104" s="5" t="s">
        <v>4468</v>
      </c>
    </row>
    <row r="105" spans="1:17">
      <c r="A105" s="5" t="s">
        <v>4570</v>
      </c>
      <c r="B105" s="5" t="s">
        <v>1313</v>
      </c>
      <c r="C105" s="5" t="s">
        <v>4463</v>
      </c>
      <c r="D105" s="5" t="s">
        <v>493</v>
      </c>
      <c r="E105" s="5" t="s">
        <v>4473</v>
      </c>
      <c r="F105" s="5">
        <v>2</v>
      </c>
      <c r="G105" s="5">
        <v>2</v>
      </c>
      <c r="H105" s="5" t="s">
        <v>4465</v>
      </c>
      <c r="I105" s="5" t="s">
        <v>1186</v>
      </c>
      <c r="J105" s="5" t="s">
        <v>1192</v>
      </c>
      <c r="K105" s="5" t="s">
        <v>4466</v>
      </c>
      <c r="L105" s="5" t="s">
        <v>427</v>
      </c>
      <c r="M105" s="8">
        <v>4</v>
      </c>
      <c r="N105" s="8">
        <v>1200</v>
      </c>
      <c r="O105" s="5" t="s">
        <v>4467</v>
      </c>
      <c r="P105" s="5" t="s">
        <v>780</v>
      </c>
      <c r="Q105" s="5" t="s">
        <v>4468</v>
      </c>
    </row>
    <row r="106" spans="1:17">
      <c r="A106" s="5" t="s">
        <v>4571</v>
      </c>
      <c r="B106" s="5" t="s">
        <v>1313</v>
      </c>
      <c r="C106" s="5" t="s">
        <v>4463</v>
      </c>
      <c r="D106" s="5" t="s">
        <v>493</v>
      </c>
      <c r="E106" s="5" t="s">
        <v>4478</v>
      </c>
      <c r="F106" s="5">
        <v>1</v>
      </c>
      <c r="G106" s="5">
        <v>1</v>
      </c>
      <c r="H106" s="5" t="s">
        <v>4465</v>
      </c>
      <c r="I106" s="5" t="s">
        <v>1186</v>
      </c>
      <c r="J106" s="5" t="s">
        <v>1192</v>
      </c>
      <c r="K106" s="5" t="s">
        <v>4466</v>
      </c>
      <c r="L106" s="5" t="s">
        <v>427</v>
      </c>
      <c r="M106" s="8">
        <v>4</v>
      </c>
      <c r="N106" s="8">
        <v>1200</v>
      </c>
      <c r="O106" s="5" t="s">
        <v>4467</v>
      </c>
      <c r="P106" s="5" t="s">
        <v>780</v>
      </c>
      <c r="Q106" s="5" t="s">
        <v>4468</v>
      </c>
    </row>
    <row r="107" spans="1:17">
      <c r="A107" s="5" t="s">
        <v>4572</v>
      </c>
      <c r="B107" s="5" t="s">
        <v>1313</v>
      </c>
      <c r="C107" s="5" t="s">
        <v>4463</v>
      </c>
      <c r="D107" s="5" t="s">
        <v>493</v>
      </c>
      <c r="E107" s="5" t="s">
        <v>4478</v>
      </c>
      <c r="F107" s="5">
        <v>1</v>
      </c>
      <c r="G107" s="5">
        <v>2</v>
      </c>
      <c r="H107" s="5" t="s">
        <v>4465</v>
      </c>
      <c r="I107" s="5" t="s">
        <v>1186</v>
      </c>
      <c r="J107" s="5" t="s">
        <v>1192</v>
      </c>
      <c r="K107" s="5" t="s">
        <v>4466</v>
      </c>
      <c r="L107" s="5" t="s">
        <v>427</v>
      </c>
      <c r="M107" s="8">
        <v>4</v>
      </c>
      <c r="N107" s="8">
        <v>1200</v>
      </c>
      <c r="O107" s="5" t="s">
        <v>4467</v>
      </c>
      <c r="P107" s="5" t="s">
        <v>780</v>
      </c>
      <c r="Q107" s="5" t="s">
        <v>4468</v>
      </c>
    </row>
    <row r="108" spans="1:17">
      <c r="A108" s="5" t="s">
        <v>4573</v>
      </c>
      <c r="B108" s="5" t="s">
        <v>1313</v>
      </c>
      <c r="C108" s="5" t="s">
        <v>4463</v>
      </c>
      <c r="D108" s="5" t="s">
        <v>4501</v>
      </c>
      <c r="E108" s="5" t="s">
        <v>4464</v>
      </c>
      <c r="F108" s="5">
        <v>1</v>
      </c>
      <c r="G108" s="5">
        <v>1</v>
      </c>
      <c r="H108" s="5" t="s">
        <v>4465</v>
      </c>
      <c r="I108" s="5" t="s">
        <v>1186</v>
      </c>
      <c r="J108" s="5" t="s">
        <v>1192</v>
      </c>
      <c r="K108" s="5" t="s">
        <v>4466</v>
      </c>
      <c r="L108" s="5" t="s">
        <v>427</v>
      </c>
      <c r="M108" s="8">
        <v>4</v>
      </c>
      <c r="N108" s="8">
        <v>1200</v>
      </c>
      <c r="O108" s="5" t="s">
        <v>4467</v>
      </c>
      <c r="P108" s="5" t="s">
        <v>780</v>
      </c>
      <c r="Q108" s="5" t="s">
        <v>4468</v>
      </c>
    </row>
    <row r="109" spans="1:17">
      <c r="A109" s="5" t="s">
        <v>4574</v>
      </c>
      <c r="B109" s="5" t="s">
        <v>1313</v>
      </c>
      <c r="C109" s="5" t="s">
        <v>4463</v>
      </c>
      <c r="D109" s="5" t="s">
        <v>4501</v>
      </c>
      <c r="E109" s="5" t="s">
        <v>4464</v>
      </c>
      <c r="F109" s="5">
        <v>1</v>
      </c>
      <c r="G109" s="5">
        <v>2</v>
      </c>
      <c r="H109" s="5" t="s">
        <v>4465</v>
      </c>
      <c r="I109" s="5" t="s">
        <v>1186</v>
      </c>
      <c r="J109" s="5" t="s">
        <v>1192</v>
      </c>
      <c r="K109" s="5" t="s">
        <v>4466</v>
      </c>
      <c r="L109" s="5" t="s">
        <v>427</v>
      </c>
      <c r="M109" s="8">
        <v>4</v>
      </c>
      <c r="N109" s="8">
        <v>1200</v>
      </c>
      <c r="O109" s="5" t="s">
        <v>4467</v>
      </c>
      <c r="P109" s="5" t="s">
        <v>780</v>
      </c>
      <c r="Q109" s="5" t="s">
        <v>4468</v>
      </c>
    </row>
    <row r="110" spans="1:17">
      <c r="A110" s="5" t="s">
        <v>4575</v>
      </c>
      <c r="B110" s="5" t="s">
        <v>1313</v>
      </c>
      <c r="C110" s="5" t="s">
        <v>4463</v>
      </c>
      <c r="D110" s="5" t="s">
        <v>4501</v>
      </c>
      <c r="E110" s="5" t="s">
        <v>4464</v>
      </c>
      <c r="F110" s="5">
        <v>2</v>
      </c>
      <c r="G110" s="5">
        <v>1</v>
      </c>
      <c r="H110" s="5" t="s">
        <v>4465</v>
      </c>
      <c r="I110" s="5" t="s">
        <v>1186</v>
      </c>
      <c r="J110" s="5" t="s">
        <v>1192</v>
      </c>
      <c r="K110" s="5" t="s">
        <v>4466</v>
      </c>
      <c r="L110" s="5" t="s">
        <v>427</v>
      </c>
      <c r="M110" s="8">
        <v>4</v>
      </c>
      <c r="N110" s="8">
        <v>1200</v>
      </c>
      <c r="O110" s="5" t="s">
        <v>4467</v>
      </c>
      <c r="P110" s="5" t="s">
        <v>780</v>
      </c>
      <c r="Q110" s="5" t="s">
        <v>4468</v>
      </c>
    </row>
    <row r="111" spans="1:17">
      <c r="A111" s="5" t="s">
        <v>4576</v>
      </c>
      <c r="B111" s="5" t="s">
        <v>1313</v>
      </c>
      <c r="C111" s="5" t="s">
        <v>4463</v>
      </c>
      <c r="D111" s="5" t="s">
        <v>4501</v>
      </c>
      <c r="E111" s="5" t="s">
        <v>4464</v>
      </c>
      <c r="F111" s="5">
        <v>2</v>
      </c>
      <c r="G111" s="5">
        <v>2</v>
      </c>
      <c r="H111" s="5" t="s">
        <v>4465</v>
      </c>
      <c r="I111" s="5" t="s">
        <v>1186</v>
      </c>
      <c r="J111" s="5" t="s">
        <v>1192</v>
      </c>
      <c r="K111" s="5" t="s">
        <v>4466</v>
      </c>
      <c r="L111" s="5" t="s">
        <v>427</v>
      </c>
      <c r="M111" s="8">
        <v>4</v>
      </c>
      <c r="N111" s="8">
        <v>1200</v>
      </c>
      <c r="O111" s="5" t="s">
        <v>4467</v>
      </c>
      <c r="P111" s="5" t="s">
        <v>780</v>
      </c>
      <c r="Q111" s="5" t="s">
        <v>4468</v>
      </c>
    </row>
    <row r="112" spans="1:17">
      <c r="A112" s="5" t="s">
        <v>4577</v>
      </c>
      <c r="B112" s="5" t="s">
        <v>1313</v>
      </c>
      <c r="C112" s="5" t="s">
        <v>4463</v>
      </c>
      <c r="D112" s="5" t="s">
        <v>4501</v>
      </c>
      <c r="E112" s="5" t="s">
        <v>4473</v>
      </c>
      <c r="F112" s="5">
        <v>1</v>
      </c>
      <c r="G112" s="5">
        <v>1</v>
      </c>
      <c r="H112" s="5" t="s">
        <v>4465</v>
      </c>
      <c r="I112" s="5" t="s">
        <v>1186</v>
      </c>
      <c r="J112" s="5" t="s">
        <v>1192</v>
      </c>
      <c r="K112" s="5" t="s">
        <v>4466</v>
      </c>
      <c r="L112" s="5" t="s">
        <v>427</v>
      </c>
      <c r="M112" s="8">
        <v>4</v>
      </c>
      <c r="N112" s="8">
        <v>1200</v>
      </c>
      <c r="O112" s="5" t="s">
        <v>4467</v>
      </c>
      <c r="P112" s="5" t="s">
        <v>780</v>
      </c>
      <c r="Q112" s="5" t="s">
        <v>4468</v>
      </c>
    </row>
    <row r="113" spans="1:17">
      <c r="A113" s="5" t="s">
        <v>4578</v>
      </c>
      <c r="B113" s="5" t="s">
        <v>1313</v>
      </c>
      <c r="C113" s="5" t="s">
        <v>4463</v>
      </c>
      <c r="D113" s="5" t="s">
        <v>4501</v>
      </c>
      <c r="E113" s="5" t="s">
        <v>4473</v>
      </c>
      <c r="F113" s="5">
        <v>1</v>
      </c>
      <c r="G113" s="5">
        <v>2</v>
      </c>
      <c r="H113" s="5" t="s">
        <v>4465</v>
      </c>
      <c r="I113" s="5" t="s">
        <v>1186</v>
      </c>
      <c r="J113" s="5" t="s">
        <v>1192</v>
      </c>
      <c r="K113" s="5" t="s">
        <v>4466</v>
      </c>
      <c r="L113" s="5" t="s">
        <v>427</v>
      </c>
      <c r="M113" s="8">
        <v>4</v>
      </c>
      <c r="N113" s="8">
        <v>1200</v>
      </c>
      <c r="O113" s="5" t="s">
        <v>4467</v>
      </c>
      <c r="P113" s="5" t="s">
        <v>780</v>
      </c>
      <c r="Q113" s="5" t="s">
        <v>4468</v>
      </c>
    </row>
    <row r="114" spans="1:17">
      <c r="A114" s="5" t="s">
        <v>4579</v>
      </c>
      <c r="B114" s="5" t="s">
        <v>1313</v>
      </c>
      <c r="C114" s="5" t="s">
        <v>4463</v>
      </c>
      <c r="D114" s="5" t="s">
        <v>4501</v>
      </c>
      <c r="E114" s="5" t="s">
        <v>4473</v>
      </c>
      <c r="F114" s="5">
        <v>2</v>
      </c>
      <c r="G114" s="5">
        <v>1</v>
      </c>
      <c r="H114" s="5" t="s">
        <v>4465</v>
      </c>
      <c r="I114" s="5" t="s">
        <v>1186</v>
      </c>
      <c r="J114" s="5" t="s">
        <v>1192</v>
      </c>
      <c r="K114" s="5" t="s">
        <v>4466</v>
      </c>
      <c r="L114" s="5" t="s">
        <v>427</v>
      </c>
      <c r="M114" s="8">
        <v>4</v>
      </c>
      <c r="N114" s="8">
        <v>1200</v>
      </c>
      <c r="O114" s="5" t="s">
        <v>4467</v>
      </c>
      <c r="P114" s="5" t="s">
        <v>780</v>
      </c>
      <c r="Q114" s="5" t="s">
        <v>4468</v>
      </c>
    </row>
    <row r="115" spans="1:17">
      <c r="A115" s="5" t="s">
        <v>4580</v>
      </c>
      <c r="B115" s="5" t="s">
        <v>1313</v>
      </c>
      <c r="C115" s="5" t="s">
        <v>4463</v>
      </c>
      <c r="D115" s="5" t="s">
        <v>4501</v>
      </c>
      <c r="E115" s="5" t="s">
        <v>4473</v>
      </c>
      <c r="F115" s="5">
        <v>2</v>
      </c>
      <c r="G115" s="5">
        <v>2</v>
      </c>
      <c r="H115" s="5" t="s">
        <v>4465</v>
      </c>
      <c r="I115" s="5" t="s">
        <v>1186</v>
      </c>
      <c r="J115" s="5" t="s">
        <v>1192</v>
      </c>
      <c r="K115" s="5" t="s">
        <v>4466</v>
      </c>
      <c r="L115" s="5" t="s">
        <v>427</v>
      </c>
      <c r="M115" s="8">
        <v>4</v>
      </c>
      <c r="N115" s="8">
        <v>1200</v>
      </c>
      <c r="O115" s="5" t="s">
        <v>4467</v>
      </c>
      <c r="P115" s="5" t="s">
        <v>780</v>
      </c>
      <c r="Q115" s="5" t="s">
        <v>4468</v>
      </c>
    </row>
    <row r="116" spans="1:17">
      <c r="A116" s="5" t="s">
        <v>4581</v>
      </c>
      <c r="B116" s="5" t="s">
        <v>1313</v>
      </c>
      <c r="C116" s="5" t="s">
        <v>4463</v>
      </c>
      <c r="D116" s="5" t="s">
        <v>4501</v>
      </c>
      <c r="E116" s="5" t="s">
        <v>4478</v>
      </c>
      <c r="F116" s="5">
        <v>1</v>
      </c>
      <c r="G116" s="5">
        <v>1</v>
      </c>
      <c r="H116" s="5" t="s">
        <v>4465</v>
      </c>
      <c r="I116" s="5" t="s">
        <v>1186</v>
      </c>
      <c r="J116" s="5" t="s">
        <v>1192</v>
      </c>
      <c r="K116" s="5" t="s">
        <v>4466</v>
      </c>
      <c r="L116" s="5" t="s">
        <v>427</v>
      </c>
      <c r="M116" s="8">
        <v>4</v>
      </c>
      <c r="N116" s="8">
        <v>1200</v>
      </c>
      <c r="O116" s="5" t="s">
        <v>4467</v>
      </c>
      <c r="P116" s="5" t="s">
        <v>780</v>
      </c>
      <c r="Q116" s="5" t="s">
        <v>4468</v>
      </c>
    </row>
    <row r="117" spans="1:17">
      <c r="A117" s="5" t="s">
        <v>4582</v>
      </c>
      <c r="B117" s="5" t="s">
        <v>1313</v>
      </c>
      <c r="C117" s="5" t="s">
        <v>4463</v>
      </c>
      <c r="D117" s="5" t="s">
        <v>4501</v>
      </c>
      <c r="E117" s="5" t="s">
        <v>4478</v>
      </c>
      <c r="F117" s="5">
        <v>1</v>
      </c>
      <c r="G117" s="5">
        <v>2</v>
      </c>
      <c r="H117" s="5" t="s">
        <v>4465</v>
      </c>
      <c r="I117" s="5" t="s">
        <v>1186</v>
      </c>
      <c r="J117" s="5" t="s">
        <v>1192</v>
      </c>
      <c r="K117" s="5" t="s">
        <v>4466</v>
      </c>
      <c r="L117" s="5" t="s">
        <v>427</v>
      </c>
      <c r="M117" s="8">
        <v>4</v>
      </c>
      <c r="N117" s="8">
        <v>1200</v>
      </c>
      <c r="O117" s="5" t="s">
        <v>4467</v>
      </c>
      <c r="P117" s="5" t="s">
        <v>780</v>
      </c>
      <c r="Q117" s="5" t="s">
        <v>4468</v>
      </c>
    </row>
    <row r="118" spans="1:17">
      <c r="A118" s="5" t="s">
        <v>4583</v>
      </c>
      <c r="B118" s="5" t="s">
        <v>1313</v>
      </c>
      <c r="C118" s="5" t="s">
        <v>4512</v>
      </c>
      <c r="D118" s="5" t="s">
        <v>428</v>
      </c>
      <c r="E118" s="5" t="s">
        <v>4464</v>
      </c>
      <c r="F118" s="5">
        <v>1</v>
      </c>
      <c r="G118" s="5">
        <v>1</v>
      </c>
      <c r="H118" s="5" t="s">
        <v>4465</v>
      </c>
      <c r="I118" s="5" t="s">
        <v>1186</v>
      </c>
      <c r="J118" s="5" t="s">
        <v>285</v>
      </c>
      <c r="K118" s="5" t="s">
        <v>4513</v>
      </c>
      <c r="L118" s="5" t="s">
        <v>427</v>
      </c>
      <c r="M118" s="8">
        <v>50</v>
      </c>
      <c r="N118" s="8">
        <v>1200</v>
      </c>
      <c r="O118" s="5" t="s">
        <v>4514</v>
      </c>
      <c r="P118" s="5" t="s">
        <v>780</v>
      </c>
      <c r="Q118" s="5" t="s">
        <v>4515</v>
      </c>
    </row>
    <row r="119" spans="1:17">
      <c r="A119" s="5" t="s">
        <v>4584</v>
      </c>
      <c r="B119" s="5" t="s">
        <v>1313</v>
      </c>
      <c r="C119" s="5" t="s">
        <v>4512</v>
      </c>
      <c r="D119" s="5" t="s">
        <v>428</v>
      </c>
      <c r="E119" s="5" t="s">
        <v>4464</v>
      </c>
      <c r="F119" s="5">
        <v>2</v>
      </c>
      <c r="G119" s="5">
        <v>1</v>
      </c>
      <c r="H119" s="5" t="s">
        <v>4465</v>
      </c>
      <c r="I119" s="5" t="s">
        <v>1186</v>
      </c>
      <c r="J119" s="5" t="s">
        <v>285</v>
      </c>
      <c r="K119" s="5" t="s">
        <v>4513</v>
      </c>
      <c r="L119" s="5" t="s">
        <v>427</v>
      </c>
      <c r="M119" s="8">
        <v>50</v>
      </c>
      <c r="N119" s="8">
        <v>1200</v>
      </c>
      <c r="O119" s="5" t="s">
        <v>4514</v>
      </c>
      <c r="P119" s="5" t="s">
        <v>780</v>
      </c>
      <c r="Q119" s="5" t="s">
        <v>4515</v>
      </c>
    </row>
    <row r="120" spans="1:17">
      <c r="A120" s="5" t="s">
        <v>4585</v>
      </c>
      <c r="B120" s="5" t="s">
        <v>1313</v>
      </c>
      <c r="C120" s="5" t="s">
        <v>4512</v>
      </c>
      <c r="D120" s="5" t="s">
        <v>428</v>
      </c>
      <c r="E120" s="5" t="s">
        <v>4464</v>
      </c>
      <c r="F120" s="5">
        <v>3</v>
      </c>
      <c r="G120" s="5">
        <v>1</v>
      </c>
      <c r="H120" s="5" t="s">
        <v>4465</v>
      </c>
      <c r="I120" s="5" t="s">
        <v>1186</v>
      </c>
      <c r="J120" s="5" t="s">
        <v>285</v>
      </c>
      <c r="K120" s="5" t="s">
        <v>4513</v>
      </c>
      <c r="L120" s="5" t="s">
        <v>427</v>
      </c>
      <c r="M120" s="8">
        <v>50</v>
      </c>
      <c r="N120" s="8">
        <v>1200</v>
      </c>
      <c r="O120" s="5" t="s">
        <v>4514</v>
      </c>
      <c r="P120" s="5" t="s">
        <v>780</v>
      </c>
      <c r="Q120" s="5" t="s">
        <v>4515</v>
      </c>
    </row>
    <row r="121" spans="1:17">
      <c r="A121" s="5" t="s">
        <v>4586</v>
      </c>
      <c r="B121" s="5" t="s">
        <v>1313</v>
      </c>
      <c r="C121" s="5" t="s">
        <v>4512</v>
      </c>
      <c r="D121" s="5" t="s">
        <v>428</v>
      </c>
      <c r="E121" s="5" t="s">
        <v>4464</v>
      </c>
      <c r="F121" s="5">
        <v>4</v>
      </c>
      <c r="G121" s="5">
        <v>1</v>
      </c>
      <c r="H121" s="5" t="s">
        <v>4465</v>
      </c>
      <c r="I121" s="5" t="s">
        <v>1186</v>
      </c>
      <c r="J121" s="5" t="s">
        <v>285</v>
      </c>
      <c r="K121" s="5" t="s">
        <v>4513</v>
      </c>
      <c r="L121" s="5" t="s">
        <v>427</v>
      </c>
      <c r="M121" s="8">
        <v>50</v>
      </c>
      <c r="N121" s="8">
        <v>1200</v>
      </c>
      <c r="O121" s="5" t="s">
        <v>4514</v>
      </c>
      <c r="P121" s="5" t="s">
        <v>780</v>
      </c>
      <c r="Q121" s="5" t="s">
        <v>4515</v>
      </c>
    </row>
    <row r="122" spans="1:17">
      <c r="A122" s="5" t="s">
        <v>4587</v>
      </c>
      <c r="B122" s="5" t="s">
        <v>1313</v>
      </c>
      <c r="C122" s="5" t="s">
        <v>4512</v>
      </c>
      <c r="D122" s="5" t="s">
        <v>428</v>
      </c>
      <c r="E122" s="5" t="s">
        <v>4464</v>
      </c>
      <c r="F122" s="5">
        <v>5</v>
      </c>
      <c r="G122" s="5">
        <v>1</v>
      </c>
      <c r="H122" s="5" t="s">
        <v>4465</v>
      </c>
      <c r="I122" s="5" t="s">
        <v>1186</v>
      </c>
      <c r="J122" s="5" t="s">
        <v>285</v>
      </c>
      <c r="K122" s="5" t="s">
        <v>4513</v>
      </c>
      <c r="L122" s="5" t="s">
        <v>427</v>
      </c>
      <c r="M122" s="8">
        <v>50</v>
      </c>
      <c r="N122" s="8">
        <v>1200</v>
      </c>
      <c r="O122" s="5" t="s">
        <v>4514</v>
      </c>
      <c r="P122" s="5" t="s">
        <v>780</v>
      </c>
      <c r="Q122" s="5" t="s">
        <v>4515</v>
      </c>
    </row>
    <row r="123" spans="1:17">
      <c r="A123" s="5" t="s">
        <v>4588</v>
      </c>
      <c r="B123" s="5" t="s">
        <v>1313</v>
      </c>
      <c r="C123" s="5" t="s">
        <v>4512</v>
      </c>
      <c r="D123" s="5" t="s">
        <v>428</v>
      </c>
      <c r="E123" s="5" t="s">
        <v>4473</v>
      </c>
      <c r="F123" s="5">
        <v>1</v>
      </c>
      <c r="G123" s="5">
        <v>1</v>
      </c>
      <c r="H123" s="5" t="s">
        <v>4465</v>
      </c>
      <c r="I123" s="5" t="s">
        <v>1186</v>
      </c>
      <c r="J123" s="5" t="s">
        <v>285</v>
      </c>
      <c r="K123" s="5" t="s">
        <v>4513</v>
      </c>
      <c r="L123" s="5" t="s">
        <v>427</v>
      </c>
      <c r="M123" s="8">
        <v>50</v>
      </c>
      <c r="N123" s="8">
        <v>1200</v>
      </c>
      <c r="O123" s="5" t="s">
        <v>4514</v>
      </c>
      <c r="P123" s="5" t="s">
        <v>780</v>
      </c>
      <c r="Q123" s="5" t="s">
        <v>4515</v>
      </c>
    </row>
    <row r="124" spans="1:17">
      <c r="A124" s="5" t="s">
        <v>4589</v>
      </c>
      <c r="B124" s="5" t="s">
        <v>1313</v>
      </c>
      <c r="C124" s="5" t="s">
        <v>4512</v>
      </c>
      <c r="D124" s="5" t="s">
        <v>428</v>
      </c>
      <c r="E124" s="5" t="s">
        <v>4473</v>
      </c>
      <c r="F124" s="5">
        <v>2</v>
      </c>
      <c r="G124" s="5">
        <v>1</v>
      </c>
      <c r="H124" s="5" t="s">
        <v>4465</v>
      </c>
      <c r="I124" s="5" t="s">
        <v>1186</v>
      </c>
      <c r="J124" s="5" t="s">
        <v>285</v>
      </c>
      <c r="K124" s="5" t="s">
        <v>4513</v>
      </c>
      <c r="L124" s="5" t="s">
        <v>427</v>
      </c>
      <c r="M124" s="8">
        <v>50</v>
      </c>
      <c r="N124" s="8">
        <v>1200</v>
      </c>
      <c r="O124" s="5" t="s">
        <v>4514</v>
      </c>
      <c r="P124" s="5" t="s">
        <v>780</v>
      </c>
      <c r="Q124" s="5" t="s">
        <v>4515</v>
      </c>
    </row>
    <row r="125" spans="1:17">
      <c r="A125" s="5" t="s">
        <v>4590</v>
      </c>
      <c r="B125" s="5" t="s">
        <v>1313</v>
      </c>
      <c r="C125" s="5" t="s">
        <v>4512</v>
      </c>
      <c r="D125" s="5" t="s">
        <v>428</v>
      </c>
      <c r="E125" s="5" t="s">
        <v>4473</v>
      </c>
      <c r="F125" s="5">
        <v>3</v>
      </c>
      <c r="G125" s="5">
        <v>1</v>
      </c>
      <c r="H125" s="5" t="s">
        <v>4465</v>
      </c>
      <c r="I125" s="5" t="s">
        <v>1186</v>
      </c>
      <c r="J125" s="5" t="s">
        <v>285</v>
      </c>
      <c r="K125" s="5" t="s">
        <v>4513</v>
      </c>
      <c r="L125" s="5" t="s">
        <v>427</v>
      </c>
      <c r="M125" s="8">
        <v>50</v>
      </c>
      <c r="N125" s="8">
        <v>1200</v>
      </c>
      <c r="O125" s="5" t="s">
        <v>4514</v>
      </c>
      <c r="P125" s="5" t="s">
        <v>780</v>
      </c>
      <c r="Q125" s="5" t="s">
        <v>4515</v>
      </c>
    </row>
    <row r="126" spans="1:17">
      <c r="A126" s="5" t="s">
        <v>4591</v>
      </c>
      <c r="B126" s="5" t="s">
        <v>1313</v>
      </c>
      <c r="C126" s="5" t="s">
        <v>4512</v>
      </c>
      <c r="D126" s="5" t="s">
        <v>428</v>
      </c>
      <c r="E126" s="5" t="s">
        <v>4473</v>
      </c>
      <c r="F126" s="5">
        <v>4</v>
      </c>
      <c r="G126" s="5">
        <v>1</v>
      </c>
      <c r="H126" s="5" t="s">
        <v>4465</v>
      </c>
      <c r="I126" s="5" t="s">
        <v>1186</v>
      </c>
      <c r="J126" s="5" t="s">
        <v>285</v>
      </c>
      <c r="K126" s="5" t="s">
        <v>4513</v>
      </c>
      <c r="L126" s="5" t="s">
        <v>427</v>
      </c>
      <c r="M126" s="8">
        <v>50</v>
      </c>
      <c r="N126" s="8">
        <v>1200</v>
      </c>
      <c r="O126" s="5" t="s">
        <v>4514</v>
      </c>
      <c r="P126" s="5" t="s">
        <v>780</v>
      </c>
      <c r="Q126" s="5" t="s">
        <v>4515</v>
      </c>
    </row>
    <row r="127" spans="1:17">
      <c r="A127" s="5" t="s">
        <v>4592</v>
      </c>
      <c r="B127" s="5" t="s">
        <v>1313</v>
      </c>
      <c r="C127" s="5" t="s">
        <v>4512</v>
      </c>
      <c r="D127" s="5" t="s">
        <v>428</v>
      </c>
      <c r="E127" s="5" t="s">
        <v>4473</v>
      </c>
      <c r="F127" s="5">
        <v>5</v>
      </c>
      <c r="G127" s="5">
        <v>1</v>
      </c>
      <c r="H127" s="5" t="s">
        <v>4465</v>
      </c>
      <c r="I127" s="5" t="s">
        <v>1186</v>
      </c>
      <c r="J127" s="5" t="s">
        <v>285</v>
      </c>
      <c r="K127" s="5" t="s">
        <v>4513</v>
      </c>
      <c r="L127" s="5" t="s">
        <v>427</v>
      </c>
      <c r="M127" s="8">
        <v>50</v>
      </c>
      <c r="N127" s="8">
        <v>1200</v>
      </c>
      <c r="O127" s="5" t="s">
        <v>4514</v>
      </c>
      <c r="P127" s="5" t="s">
        <v>780</v>
      </c>
      <c r="Q127" s="5" t="s">
        <v>4515</v>
      </c>
    </row>
    <row r="128" spans="1:17">
      <c r="A128" s="5" t="s">
        <v>4593</v>
      </c>
      <c r="B128" s="5" t="s">
        <v>1313</v>
      </c>
      <c r="C128" s="5" t="s">
        <v>4512</v>
      </c>
      <c r="D128" s="5" t="s">
        <v>437</v>
      </c>
      <c r="E128" s="5" t="s">
        <v>4464</v>
      </c>
      <c r="F128" s="5">
        <v>1</v>
      </c>
      <c r="G128" s="5">
        <v>1</v>
      </c>
      <c r="H128" s="5" t="s">
        <v>4465</v>
      </c>
      <c r="I128" s="5" t="s">
        <v>1186</v>
      </c>
      <c r="J128" s="5" t="s">
        <v>285</v>
      </c>
      <c r="K128" s="5" t="s">
        <v>4513</v>
      </c>
      <c r="L128" s="5" t="s">
        <v>427</v>
      </c>
      <c r="M128" s="8">
        <v>50</v>
      </c>
      <c r="N128" s="8">
        <v>1200</v>
      </c>
      <c r="O128" s="5" t="s">
        <v>4514</v>
      </c>
      <c r="P128" s="5" t="s">
        <v>780</v>
      </c>
      <c r="Q128" s="5" t="s">
        <v>4515</v>
      </c>
    </row>
    <row r="129" spans="1:17">
      <c r="A129" s="5" t="s">
        <v>4594</v>
      </c>
      <c r="B129" s="5" t="s">
        <v>1313</v>
      </c>
      <c r="C129" s="5" t="s">
        <v>4512</v>
      </c>
      <c r="D129" s="5" t="s">
        <v>437</v>
      </c>
      <c r="E129" s="5" t="s">
        <v>4464</v>
      </c>
      <c r="F129" s="5">
        <v>2</v>
      </c>
      <c r="G129" s="5">
        <v>1</v>
      </c>
      <c r="H129" s="5" t="s">
        <v>4465</v>
      </c>
      <c r="I129" s="5" t="s">
        <v>1186</v>
      </c>
      <c r="J129" s="5" t="s">
        <v>285</v>
      </c>
      <c r="K129" s="5" t="s">
        <v>4513</v>
      </c>
      <c r="L129" s="5" t="s">
        <v>427</v>
      </c>
      <c r="M129" s="8">
        <v>50</v>
      </c>
      <c r="N129" s="8">
        <v>1200</v>
      </c>
      <c r="O129" s="5" t="s">
        <v>4514</v>
      </c>
      <c r="P129" s="5" t="s">
        <v>780</v>
      </c>
      <c r="Q129" s="5" t="s">
        <v>4515</v>
      </c>
    </row>
    <row r="130" spans="1:17">
      <c r="A130" s="5" t="s">
        <v>4595</v>
      </c>
      <c r="B130" s="5" t="s">
        <v>1313</v>
      </c>
      <c r="C130" s="5" t="s">
        <v>4512</v>
      </c>
      <c r="D130" s="5" t="s">
        <v>437</v>
      </c>
      <c r="E130" s="5" t="s">
        <v>4464</v>
      </c>
      <c r="F130" s="5">
        <v>3</v>
      </c>
      <c r="G130" s="5">
        <v>1</v>
      </c>
      <c r="H130" s="5" t="s">
        <v>4465</v>
      </c>
      <c r="I130" s="5" t="s">
        <v>1186</v>
      </c>
      <c r="J130" s="5" t="s">
        <v>285</v>
      </c>
      <c r="K130" s="5" t="s">
        <v>4513</v>
      </c>
      <c r="L130" s="5" t="s">
        <v>427</v>
      </c>
      <c r="M130" s="8">
        <v>50</v>
      </c>
      <c r="N130" s="8">
        <v>1200</v>
      </c>
      <c r="O130" s="5" t="s">
        <v>4514</v>
      </c>
      <c r="P130" s="5" t="s">
        <v>780</v>
      </c>
      <c r="Q130" s="5" t="s">
        <v>4515</v>
      </c>
    </row>
    <row r="131" spans="1:17">
      <c r="A131" s="5" t="s">
        <v>4596</v>
      </c>
      <c r="B131" s="5" t="s">
        <v>1313</v>
      </c>
      <c r="C131" s="5" t="s">
        <v>4512</v>
      </c>
      <c r="D131" s="5" t="s">
        <v>437</v>
      </c>
      <c r="E131" s="5" t="s">
        <v>4464</v>
      </c>
      <c r="F131" s="5">
        <v>4</v>
      </c>
      <c r="G131" s="5">
        <v>1</v>
      </c>
      <c r="H131" s="5" t="s">
        <v>4465</v>
      </c>
      <c r="I131" s="5" t="s">
        <v>1186</v>
      </c>
      <c r="J131" s="5" t="s">
        <v>285</v>
      </c>
      <c r="K131" s="5" t="s">
        <v>4513</v>
      </c>
      <c r="L131" s="5" t="s">
        <v>427</v>
      </c>
      <c r="M131" s="8">
        <v>50</v>
      </c>
      <c r="N131" s="8">
        <v>1200</v>
      </c>
      <c r="O131" s="5" t="s">
        <v>4514</v>
      </c>
      <c r="P131" s="5" t="s">
        <v>780</v>
      </c>
      <c r="Q131" s="5" t="s">
        <v>4515</v>
      </c>
    </row>
    <row r="132" spans="1:17">
      <c r="A132" s="5" t="s">
        <v>4597</v>
      </c>
      <c r="B132" s="5" t="s">
        <v>1313</v>
      </c>
      <c r="C132" s="5" t="s">
        <v>4512</v>
      </c>
      <c r="D132" s="5" t="s">
        <v>437</v>
      </c>
      <c r="E132" s="5" t="s">
        <v>4464</v>
      </c>
      <c r="F132" s="5">
        <v>5</v>
      </c>
      <c r="G132" s="5">
        <v>1</v>
      </c>
      <c r="H132" s="5" t="s">
        <v>4465</v>
      </c>
      <c r="I132" s="5" t="s">
        <v>1186</v>
      </c>
      <c r="J132" s="5" t="s">
        <v>285</v>
      </c>
      <c r="K132" s="5" t="s">
        <v>4513</v>
      </c>
      <c r="L132" s="5" t="s">
        <v>427</v>
      </c>
      <c r="M132" s="8">
        <v>50</v>
      </c>
      <c r="N132" s="8">
        <v>1200</v>
      </c>
      <c r="O132" s="5" t="s">
        <v>4514</v>
      </c>
      <c r="P132" s="5" t="s">
        <v>780</v>
      </c>
      <c r="Q132" s="5" t="s">
        <v>4515</v>
      </c>
    </row>
    <row r="133" spans="1:17">
      <c r="A133" s="5" t="s">
        <v>4598</v>
      </c>
      <c r="B133" s="5" t="s">
        <v>1313</v>
      </c>
      <c r="C133" s="5" t="s">
        <v>4512</v>
      </c>
      <c r="D133" s="5" t="s">
        <v>437</v>
      </c>
      <c r="E133" s="5" t="s">
        <v>4473</v>
      </c>
      <c r="F133" s="5">
        <v>1</v>
      </c>
      <c r="G133" s="5">
        <v>1</v>
      </c>
      <c r="H133" s="5" t="s">
        <v>4465</v>
      </c>
      <c r="I133" s="5" t="s">
        <v>1186</v>
      </c>
      <c r="J133" s="5" t="s">
        <v>285</v>
      </c>
      <c r="K133" s="5" t="s">
        <v>4513</v>
      </c>
      <c r="L133" s="5" t="s">
        <v>427</v>
      </c>
      <c r="M133" s="8">
        <v>50</v>
      </c>
      <c r="N133" s="8">
        <v>1200</v>
      </c>
      <c r="O133" s="5" t="s">
        <v>4514</v>
      </c>
      <c r="P133" s="5" t="s">
        <v>780</v>
      </c>
      <c r="Q133" s="5" t="s">
        <v>4515</v>
      </c>
    </row>
    <row r="134" spans="1:17">
      <c r="A134" s="5" t="s">
        <v>4599</v>
      </c>
      <c r="B134" s="5" t="s">
        <v>1313</v>
      </c>
      <c r="C134" s="5" t="s">
        <v>4512</v>
      </c>
      <c r="D134" s="5" t="s">
        <v>437</v>
      </c>
      <c r="E134" s="5" t="s">
        <v>4473</v>
      </c>
      <c r="F134" s="5">
        <v>2</v>
      </c>
      <c r="G134" s="5">
        <v>1</v>
      </c>
      <c r="H134" s="5" t="s">
        <v>4465</v>
      </c>
      <c r="I134" s="5" t="s">
        <v>1186</v>
      </c>
      <c r="J134" s="5" t="s">
        <v>285</v>
      </c>
      <c r="K134" s="5" t="s">
        <v>4513</v>
      </c>
      <c r="L134" s="5" t="s">
        <v>427</v>
      </c>
      <c r="M134" s="8">
        <v>50</v>
      </c>
      <c r="N134" s="8">
        <v>1200</v>
      </c>
      <c r="O134" s="5" t="s">
        <v>4514</v>
      </c>
      <c r="P134" s="5" t="s">
        <v>780</v>
      </c>
      <c r="Q134" s="5" t="s">
        <v>4515</v>
      </c>
    </row>
    <row r="135" spans="1:17">
      <c r="A135" s="5" t="s">
        <v>4600</v>
      </c>
      <c r="B135" s="5" t="s">
        <v>1313</v>
      </c>
      <c r="C135" s="5" t="s">
        <v>4512</v>
      </c>
      <c r="D135" s="5" t="s">
        <v>437</v>
      </c>
      <c r="E135" s="5" t="s">
        <v>4473</v>
      </c>
      <c r="F135" s="5">
        <v>3</v>
      </c>
      <c r="G135" s="5">
        <v>1</v>
      </c>
      <c r="H135" s="5" t="s">
        <v>4465</v>
      </c>
      <c r="I135" s="5" t="s">
        <v>1186</v>
      </c>
      <c r="J135" s="5" t="s">
        <v>285</v>
      </c>
      <c r="K135" s="5" t="s">
        <v>4513</v>
      </c>
      <c r="L135" s="5" t="s">
        <v>427</v>
      </c>
      <c r="M135" s="8">
        <v>50</v>
      </c>
      <c r="N135" s="8">
        <v>1200</v>
      </c>
      <c r="O135" s="5" t="s">
        <v>4514</v>
      </c>
      <c r="P135" s="5" t="s">
        <v>780</v>
      </c>
      <c r="Q135" s="5" t="s">
        <v>4515</v>
      </c>
    </row>
    <row r="136" spans="1:17">
      <c r="A136" s="5" t="s">
        <v>4601</v>
      </c>
      <c r="B136" s="5" t="s">
        <v>1313</v>
      </c>
      <c r="C136" s="5" t="s">
        <v>4512</v>
      </c>
      <c r="D136" s="5" t="s">
        <v>437</v>
      </c>
      <c r="E136" s="5" t="s">
        <v>4473</v>
      </c>
      <c r="F136" s="5">
        <v>4</v>
      </c>
      <c r="G136" s="5">
        <v>1</v>
      </c>
      <c r="H136" s="5" t="s">
        <v>4465</v>
      </c>
      <c r="I136" s="5" t="s">
        <v>1186</v>
      </c>
      <c r="J136" s="5" t="s">
        <v>285</v>
      </c>
      <c r="K136" s="5" t="s">
        <v>4513</v>
      </c>
      <c r="L136" s="5" t="s">
        <v>427</v>
      </c>
      <c r="M136" s="8">
        <v>50</v>
      </c>
      <c r="N136" s="8">
        <v>1200</v>
      </c>
      <c r="O136" s="5" t="s">
        <v>4514</v>
      </c>
      <c r="P136" s="5" t="s">
        <v>780</v>
      </c>
      <c r="Q136" s="5" t="s">
        <v>4515</v>
      </c>
    </row>
    <row r="137" spans="1:17">
      <c r="A137" s="5" t="s">
        <v>4602</v>
      </c>
      <c r="B137" s="5" t="s">
        <v>1313</v>
      </c>
      <c r="C137" s="5" t="s">
        <v>4512</v>
      </c>
      <c r="D137" s="5" t="s">
        <v>437</v>
      </c>
      <c r="E137" s="5" t="s">
        <v>4473</v>
      </c>
      <c r="F137" s="5">
        <v>5</v>
      </c>
      <c r="G137" s="5">
        <v>1</v>
      </c>
      <c r="H137" s="5" t="s">
        <v>4465</v>
      </c>
      <c r="I137" s="5" t="s">
        <v>1186</v>
      </c>
      <c r="J137" s="5" t="s">
        <v>285</v>
      </c>
      <c r="K137" s="5" t="s">
        <v>4513</v>
      </c>
      <c r="L137" s="5" t="s">
        <v>427</v>
      </c>
      <c r="M137" s="8">
        <v>50</v>
      </c>
      <c r="N137" s="8">
        <v>1200</v>
      </c>
      <c r="O137" s="5" t="s">
        <v>4514</v>
      </c>
      <c r="P137" s="5" t="s">
        <v>780</v>
      </c>
      <c r="Q137" s="5" t="s">
        <v>4515</v>
      </c>
    </row>
    <row r="138" spans="1:17">
      <c r="A138" s="5" t="s">
        <v>4603</v>
      </c>
      <c r="B138" s="5" t="s">
        <v>1328</v>
      </c>
      <c r="C138" s="5" t="s">
        <v>4449</v>
      </c>
      <c r="D138" s="5" t="s">
        <v>4450</v>
      </c>
      <c r="E138" s="5" t="s">
        <v>4450</v>
      </c>
      <c r="F138" s="5" t="s">
        <v>4450</v>
      </c>
      <c r="G138" s="5" t="s">
        <v>4450</v>
      </c>
      <c r="H138" s="5" t="s">
        <v>4451</v>
      </c>
      <c r="I138" s="5" t="s">
        <v>216</v>
      </c>
      <c r="J138" s="5" t="s">
        <v>2925</v>
      </c>
      <c r="K138" s="5" t="s">
        <v>4452</v>
      </c>
      <c r="L138" s="5" t="s">
        <v>427</v>
      </c>
      <c r="M138" s="8">
        <v>1</v>
      </c>
      <c r="N138" s="8">
        <v>30000</v>
      </c>
      <c r="O138" s="5" t="s">
        <v>4453</v>
      </c>
      <c r="P138" s="5" t="s">
        <v>780</v>
      </c>
      <c r="Q138" s="5" t="s">
        <v>4454</v>
      </c>
    </row>
    <row r="139" spans="1:17">
      <c r="A139" s="5" t="s">
        <v>4604</v>
      </c>
      <c r="B139" s="5" t="s">
        <v>1328</v>
      </c>
      <c r="C139" s="5" t="s">
        <v>4449</v>
      </c>
      <c r="D139" s="5" t="s">
        <v>4450</v>
      </c>
      <c r="E139" s="5" t="s">
        <v>4450</v>
      </c>
      <c r="F139" s="5" t="s">
        <v>4450</v>
      </c>
      <c r="G139" s="5" t="s">
        <v>4450</v>
      </c>
      <c r="H139" s="5" t="s">
        <v>4451</v>
      </c>
      <c r="I139" s="5" t="s">
        <v>216</v>
      </c>
      <c r="J139" s="5" t="s">
        <v>2925</v>
      </c>
      <c r="K139" s="5" t="s">
        <v>4452</v>
      </c>
      <c r="L139" s="5" t="s">
        <v>427</v>
      </c>
      <c r="M139" s="8">
        <v>1</v>
      </c>
      <c r="N139" s="8">
        <v>30000</v>
      </c>
      <c r="O139" s="5" t="s">
        <v>4453</v>
      </c>
      <c r="P139" s="5" t="s">
        <v>780</v>
      </c>
      <c r="Q139" s="5" t="s">
        <v>4454</v>
      </c>
    </row>
    <row r="140" spans="1:17">
      <c r="A140" s="5" t="s">
        <v>4605</v>
      </c>
      <c r="B140" s="5" t="s">
        <v>1328</v>
      </c>
      <c r="C140" s="5" t="s">
        <v>4449</v>
      </c>
      <c r="D140" s="5" t="s">
        <v>4450</v>
      </c>
      <c r="E140" s="5" t="s">
        <v>4450</v>
      </c>
      <c r="F140" s="5" t="s">
        <v>4450</v>
      </c>
      <c r="G140" s="5" t="s">
        <v>4450</v>
      </c>
      <c r="H140" s="5" t="s">
        <v>4451</v>
      </c>
      <c r="I140" s="5" t="s">
        <v>216</v>
      </c>
      <c r="J140" s="5" t="s">
        <v>2925</v>
      </c>
      <c r="K140" s="5" t="s">
        <v>4452</v>
      </c>
      <c r="L140" s="5" t="s">
        <v>427</v>
      </c>
      <c r="M140" s="8">
        <v>1</v>
      </c>
      <c r="N140" s="8">
        <v>30000</v>
      </c>
      <c r="O140" s="5" t="s">
        <v>4453</v>
      </c>
      <c r="P140" s="5" t="s">
        <v>780</v>
      </c>
      <c r="Q140" s="5" t="s">
        <v>4454</v>
      </c>
    </row>
    <row r="141" spans="1:17">
      <c r="A141" s="5" t="s">
        <v>4606</v>
      </c>
      <c r="B141" s="5" t="s">
        <v>1328</v>
      </c>
      <c r="C141" s="5" t="s">
        <v>4449</v>
      </c>
      <c r="D141" s="5" t="s">
        <v>4450</v>
      </c>
      <c r="E141" s="5" t="s">
        <v>4450</v>
      </c>
      <c r="F141" s="5" t="s">
        <v>4450</v>
      </c>
      <c r="G141" s="5" t="s">
        <v>4450</v>
      </c>
      <c r="H141" s="5" t="s">
        <v>4451</v>
      </c>
      <c r="I141" s="5" t="s">
        <v>216</v>
      </c>
      <c r="J141" s="5" t="s">
        <v>2925</v>
      </c>
      <c r="K141" s="5" t="s">
        <v>4452</v>
      </c>
      <c r="L141" s="5" t="s">
        <v>427</v>
      </c>
      <c r="M141" s="8">
        <v>1</v>
      </c>
      <c r="N141" s="8">
        <v>30000</v>
      </c>
      <c r="O141" s="5" t="s">
        <v>4453</v>
      </c>
      <c r="P141" s="5" t="s">
        <v>780</v>
      </c>
      <c r="Q141" s="5" t="s">
        <v>4454</v>
      </c>
    </row>
    <row r="142" spans="1:17">
      <c r="A142" s="5" t="s">
        <v>4607</v>
      </c>
      <c r="B142" s="5" t="s">
        <v>1328</v>
      </c>
      <c r="C142" s="5" t="s">
        <v>4449</v>
      </c>
      <c r="D142" s="5" t="s">
        <v>4450</v>
      </c>
      <c r="E142" s="5" t="s">
        <v>4450</v>
      </c>
      <c r="F142" s="5" t="s">
        <v>4450</v>
      </c>
      <c r="G142" s="5" t="s">
        <v>4450</v>
      </c>
      <c r="H142" s="5" t="s">
        <v>4451</v>
      </c>
      <c r="I142" s="5" t="s">
        <v>216</v>
      </c>
      <c r="J142" s="5" t="s">
        <v>2925</v>
      </c>
      <c r="K142" s="5" t="s">
        <v>4452</v>
      </c>
      <c r="L142" s="5" t="s">
        <v>427</v>
      </c>
      <c r="M142" s="8">
        <v>1</v>
      </c>
      <c r="N142" s="8">
        <v>30000</v>
      </c>
      <c r="O142" s="5" t="s">
        <v>4453</v>
      </c>
      <c r="P142" s="5" t="s">
        <v>780</v>
      </c>
      <c r="Q142" s="5" t="s">
        <v>4454</v>
      </c>
    </row>
    <row r="143" spans="1:17">
      <c r="A143" s="5" t="s">
        <v>4608</v>
      </c>
      <c r="B143" s="5" t="s">
        <v>1328</v>
      </c>
      <c r="C143" s="5" t="s">
        <v>4449</v>
      </c>
      <c r="D143" s="5" t="s">
        <v>4450</v>
      </c>
      <c r="E143" s="5" t="s">
        <v>4450</v>
      </c>
      <c r="F143" s="5" t="s">
        <v>4450</v>
      </c>
      <c r="G143" s="5" t="s">
        <v>4450</v>
      </c>
      <c r="H143" s="5" t="s">
        <v>4451</v>
      </c>
      <c r="I143" s="5" t="s">
        <v>216</v>
      </c>
      <c r="J143" s="5" t="s">
        <v>2925</v>
      </c>
      <c r="K143" s="5" t="s">
        <v>4452</v>
      </c>
      <c r="L143" s="5" t="s">
        <v>427</v>
      </c>
      <c r="M143" s="8">
        <v>1</v>
      </c>
      <c r="N143" s="8">
        <v>30000</v>
      </c>
      <c r="O143" s="5" t="s">
        <v>4453</v>
      </c>
      <c r="P143" s="5" t="s">
        <v>780</v>
      </c>
      <c r="Q143" s="5" t="s">
        <v>4454</v>
      </c>
    </row>
    <row r="144" spans="1:17">
      <c r="A144" s="5" t="s">
        <v>4609</v>
      </c>
      <c r="B144" s="5" t="s">
        <v>1328</v>
      </c>
      <c r="C144" s="5" t="s">
        <v>4449</v>
      </c>
      <c r="D144" s="5" t="s">
        <v>4450</v>
      </c>
      <c r="E144" s="5" t="s">
        <v>4450</v>
      </c>
      <c r="F144" s="5" t="s">
        <v>4450</v>
      </c>
      <c r="G144" s="5" t="s">
        <v>4450</v>
      </c>
      <c r="H144" s="5" t="s">
        <v>4451</v>
      </c>
      <c r="I144" s="5" t="s">
        <v>216</v>
      </c>
      <c r="J144" s="5" t="s">
        <v>2925</v>
      </c>
      <c r="K144" s="5" t="s">
        <v>4452</v>
      </c>
      <c r="L144" s="5" t="s">
        <v>427</v>
      </c>
      <c r="M144" s="8">
        <v>1</v>
      </c>
      <c r="N144" s="8">
        <v>30000</v>
      </c>
      <c r="O144" s="5" t="s">
        <v>4453</v>
      </c>
      <c r="P144" s="5" t="s">
        <v>780</v>
      </c>
      <c r="Q144" s="5" t="s">
        <v>4454</v>
      </c>
    </row>
    <row r="145" spans="1:17">
      <c r="A145" s="5" t="s">
        <v>4610</v>
      </c>
      <c r="B145" s="5" t="s">
        <v>1328</v>
      </c>
      <c r="C145" s="5" t="s">
        <v>4449</v>
      </c>
      <c r="D145" s="5" t="s">
        <v>4450</v>
      </c>
      <c r="E145" s="5" t="s">
        <v>4450</v>
      </c>
      <c r="F145" s="5" t="s">
        <v>4450</v>
      </c>
      <c r="G145" s="5" t="s">
        <v>4450</v>
      </c>
      <c r="H145" s="5" t="s">
        <v>4451</v>
      </c>
      <c r="I145" s="5" t="s">
        <v>216</v>
      </c>
      <c r="J145" s="5" t="s">
        <v>2925</v>
      </c>
      <c r="K145" s="5" t="s">
        <v>4452</v>
      </c>
      <c r="L145" s="5" t="s">
        <v>427</v>
      </c>
      <c r="M145" s="8">
        <v>1</v>
      </c>
      <c r="N145" s="8">
        <v>30000</v>
      </c>
      <c r="O145" s="5" t="s">
        <v>4453</v>
      </c>
      <c r="P145" s="5" t="s">
        <v>780</v>
      </c>
      <c r="Q145" s="5" t="s">
        <v>4454</v>
      </c>
    </row>
    <row r="146" spans="1:17">
      <c r="A146" s="5" t="s">
        <v>4611</v>
      </c>
      <c r="B146" s="5" t="s">
        <v>1328</v>
      </c>
      <c r="C146" s="5" t="s">
        <v>4463</v>
      </c>
      <c r="D146" s="5" t="s">
        <v>428</v>
      </c>
      <c r="E146" s="5" t="s">
        <v>4464</v>
      </c>
      <c r="F146" s="5">
        <v>1</v>
      </c>
      <c r="G146" s="5">
        <v>1</v>
      </c>
      <c r="H146" s="5" t="s">
        <v>4465</v>
      </c>
      <c r="I146" s="5" t="s">
        <v>216</v>
      </c>
      <c r="J146" s="5" t="s">
        <v>1192</v>
      </c>
      <c r="K146" s="5" t="s">
        <v>4466</v>
      </c>
      <c r="L146" s="5" t="s">
        <v>427</v>
      </c>
      <c r="M146" s="8">
        <v>4</v>
      </c>
      <c r="N146" s="8">
        <v>1200</v>
      </c>
      <c r="O146" s="5" t="s">
        <v>4467</v>
      </c>
      <c r="P146" s="5" t="s">
        <v>780</v>
      </c>
      <c r="Q146" s="5" t="s">
        <v>4468</v>
      </c>
    </row>
    <row r="147" spans="1:17">
      <c r="A147" s="5" t="s">
        <v>4612</v>
      </c>
      <c r="B147" s="5" t="s">
        <v>1328</v>
      </c>
      <c r="C147" s="5" t="s">
        <v>4463</v>
      </c>
      <c r="D147" s="5" t="s">
        <v>428</v>
      </c>
      <c r="E147" s="5" t="s">
        <v>4464</v>
      </c>
      <c r="F147" s="5">
        <v>1</v>
      </c>
      <c r="G147" s="5">
        <v>2</v>
      </c>
      <c r="H147" s="5" t="s">
        <v>4465</v>
      </c>
      <c r="I147" s="5" t="s">
        <v>216</v>
      </c>
      <c r="J147" s="5" t="s">
        <v>1192</v>
      </c>
      <c r="K147" s="5" t="s">
        <v>4466</v>
      </c>
      <c r="L147" s="5" t="s">
        <v>427</v>
      </c>
      <c r="M147" s="8">
        <v>4</v>
      </c>
      <c r="N147" s="8">
        <v>1200</v>
      </c>
      <c r="O147" s="5" t="s">
        <v>4467</v>
      </c>
      <c r="P147" s="5" t="s">
        <v>780</v>
      </c>
      <c r="Q147" s="5" t="s">
        <v>4468</v>
      </c>
    </row>
    <row r="148" spans="1:17">
      <c r="A148" s="5" t="s">
        <v>4613</v>
      </c>
      <c r="B148" s="5" t="s">
        <v>1328</v>
      </c>
      <c r="C148" s="5" t="s">
        <v>4463</v>
      </c>
      <c r="D148" s="5" t="s">
        <v>428</v>
      </c>
      <c r="E148" s="5" t="s">
        <v>4464</v>
      </c>
      <c r="F148" s="5">
        <v>2</v>
      </c>
      <c r="G148" s="5">
        <v>1</v>
      </c>
      <c r="H148" s="5" t="s">
        <v>4465</v>
      </c>
      <c r="I148" s="5" t="s">
        <v>216</v>
      </c>
      <c r="J148" s="5" t="s">
        <v>1192</v>
      </c>
      <c r="K148" s="5" t="s">
        <v>4466</v>
      </c>
      <c r="L148" s="5" t="s">
        <v>427</v>
      </c>
      <c r="M148" s="8">
        <v>4</v>
      </c>
      <c r="N148" s="8">
        <v>1200</v>
      </c>
      <c r="O148" s="5" t="s">
        <v>4467</v>
      </c>
      <c r="P148" s="5" t="s">
        <v>780</v>
      </c>
      <c r="Q148" s="5" t="s">
        <v>4468</v>
      </c>
    </row>
    <row r="149" spans="1:17">
      <c r="A149" s="5" t="s">
        <v>4614</v>
      </c>
      <c r="B149" s="5" t="s">
        <v>1328</v>
      </c>
      <c r="C149" s="5" t="s">
        <v>4463</v>
      </c>
      <c r="D149" s="5" t="s">
        <v>428</v>
      </c>
      <c r="E149" s="5" t="s">
        <v>4464</v>
      </c>
      <c r="F149" s="5">
        <v>2</v>
      </c>
      <c r="G149" s="5">
        <v>2</v>
      </c>
      <c r="H149" s="5" t="s">
        <v>4465</v>
      </c>
      <c r="I149" s="5" t="s">
        <v>216</v>
      </c>
      <c r="J149" s="5" t="s">
        <v>1192</v>
      </c>
      <c r="K149" s="5" t="s">
        <v>4466</v>
      </c>
      <c r="L149" s="5" t="s">
        <v>427</v>
      </c>
      <c r="M149" s="8">
        <v>4</v>
      </c>
      <c r="N149" s="8">
        <v>1200</v>
      </c>
      <c r="O149" s="5" t="s">
        <v>4467</v>
      </c>
      <c r="P149" s="5" t="s">
        <v>780</v>
      </c>
      <c r="Q149" s="5" t="s">
        <v>4468</v>
      </c>
    </row>
    <row r="150" spans="1:17">
      <c r="A150" s="5" t="s">
        <v>4615</v>
      </c>
      <c r="B150" s="5" t="s">
        <v>1328</v>
      </c>
      <c r="C150" s="5" t="s">
        <v>4463</v>
      </c>
      <c r="D150" s="5" t="s">
        <v>428</v>
      </c>
      <c r="E150" s="5" t="s">
        <v>4473</v>
      </c>
      <c r="F150" s="5">
        <v>1</v>
      </c>
      <c r="G150" s="5">
        <v>1</v>
      </c>
      <c r="H150" s="5" t="s">
        <v>4465</v>
      </c>
      <c r="I150" s="5" t="s">
        <v>216</v>
      </c>
      <c r="J150" s="5" t="s">
        <v>1192</v>
      </c>
      <c r="K150" s="5" t="s">
        <v>4466</v>
      </c>
      <c r="L150" s="5" t="s">
        <v>427</v>
      </c>
      <c r="M150" s="8">
        <v>4</v>
      </c>
      <c r="N150" s="8">
        <v>1200</v>
      </c>
      <c r="O150" s="5" t="s">
        <v>4467</v>
      </c>
      <c r="P150" s="5" t="s">
        <v>780</v>
      </c>
      <c r="Q150" s="5" t="s">
        <v>4468</v>
      </c>
    </row>
    <row r="151" spans="1:17">
      <c r="A151" s="5" t="s">
        <v>4616</v>
      </c>
      <c r="B151" s="5" t="s">
        <v>1328</v>
      </c>
      <c r="C151" s="5" t="s">
        <v>4463</v>
      </c>
      <c r="D151" s="5" t="s">
        <v>428</v>
      </c>
      <c r="E151" s="5" t="s">
        <v>4473</v>
      </c>
      <c r="F151" s="5">
        <v>1</v>
      </c>
      <c r="G151" s="5">
        <v>2</v>
      </c>
      <c r="H151" s="5" t="s">
        <v>4465</v>
      </c>
      <c r="I151" s="5" t="s">
        <v>216</v>
      </c>
      <c r="J151" s="5" t="s">
        <v>1192</v>
      </c>
      <c r="K151" s="5" t="s">
        <v>4466</v>
      </c>
      <c r="L151" s="5" t="s">
        <v>427</v>
      </c>
      <c r="M151" s="8">
        <v>4</v>
      </c>
      <c r="N151" s="8">
        <v>1200</v>
      </c>
      <c r="O151" s="5" t="s">
        <v>4467</v>
      </c>
      <c r="P151" s="5" t="s">
        <v>780</v>
      </c>
      <c r="Q151" s="5" t="s">
        <v>4468</v>
      </c>
    </row>
    <row r="152" spans="1:17">
      <c r="A152" s="5" t="s">
        <v>4617</v>
      </c>
      <c r="B152" s="5" t="s">
        <v>1328</v>
      </c>
      <c r="C152" s="5" t="s">
        <v>4463</v>
      </c>
      <c r="D152" s="5" t="s">
        <v>428</v>
      </c>
      <c r="E152" s="5" t="s">
        <v>4473</v>
      </c>
      <c r="F152" s="5">
        <v>2</v>
      </c>
      <c r="G152" s="5">
        <v>1</v>
      </c>
      <c r="H152" s="5" t="s">
        <v>4465</v>
      </c>
      <c r="I152" s="5" t="s">
        <v>216</v>
      </c>
      <c r="J152" s="5" t="s">
        <v>1192</v>
      </c>
      <c r="K152" s="5" t="s">
        <v>4466</v>
      </c>
      <c r="L152" s="5" t="s">
        <v>427</v>
      </c>
      <c r="M152" s="8">
        <v>4</v>
      </c>
      <c r="N152" s="8">
        <v>1200</v>
      </c>
      <c r="O152" s="5" t="s">
        <v>4467</v>
      </c>
      <c r="P152" s="5" t="s">
        <v>780</v>
      </c>
      <c r="Q152" s="5" t="s">
        <v>4468</v>
      </c>
    </row>
    <row r="153" spans="1:17">
      <c r="A153" s="5" t="s">
        <v>4618</v>
      </c>
      <c r="B153" s="5" t="s">
        <v>1328</v>
      </c>
      <c r="C153" s="5" t="s">
        <v>4463</v>
      </c>
      <c r="D153" s="5" t="s">
        <v>428</v>
      </c>
      <c r="E153" s="5" t="s">
        <v>4473</v>
      </c>
      <c r="F153" s="5">
        <v>2</v>
      </c>
      <c r="G153" s="5">
        <v>2</v>
      </c>
      <c r="H153" s="5" t="s">
        <v>4465</v>
      </c>
      <c r="I153" s="5" t="s">
        <v>216</v>
      </c>
      <c r="J153" s="5" t="s">
        <v>1192</v>
      </c>
      <c r="K153" s="5" t="s">
        <v>4466</v>
      </c>
      <c r="L153" s="5" t="s">
        <v>427</v>
      </c>
      <c r="M153" s="8">
        <v>4</v>
      </c>
      <c r="N153" s="8">
        <v>1200</v>
      </c>
      <c r="O153" s="5" t="s">
        <v>4467</v>
      </c>
      <c r="P153" s="5" t="s">
        <v>780</v>
      </c>
      <c r="Q153" s="5" t="s">
        <v>4468</v>
      </c>
    </row>
    <row r="154" spans="1:17">
      <c r="A154" s="5" t="s">
        <v>4619</v>
      </c>
      <c r="B154" s="5" t="s">
        <v>1328</v>
      </c>
      <c r="C154" s="5" t="s">
        <v>4463</v>
      </c>
      <c r="D154" s="5" t="s">
        <v>428</v>
      </c>
      <c r="E154" s="5" t="s">
        <v>4478</v>
      </c>
      <c r="F154" s="5">
        <v>1</v>
      </c>
      <c r="G154" s="5">
        <v>1</v>
      </c>
      <c r="H154" s="5" t="s">
        <v>4465</v>
      </c>
      <c r="I154" s="5" t="s">
        <v>216</v>
      </c>
      <c r="J154" s="5" t="s">
        <v>1192</v>
      </c>
      <c r="K154" s="5" t="s">
        <v>4466</v>
      </c>
      <c r="L154" s="5" t="s">
        <v>427</v>
      </c>
      <c r="M154" s="8">
        <v>4</v>
      </c>
      <c r="N154" s="8">
        <v>1200</v>
      </c>
      <c r="O154" s="5" t="s">
        <v>4467</v>
      </c>
      <c r="P154" s="5" t="s">
        <v>780</v>
      </c>
      <c r="Q154" s="5" t="s">
        <v>4468</v>
      </c>
    </row>
    <row r="155" spans="1:17">
      <c r="A155" s="5" t="s">
        <v>4620</v>
      </c>
      <c r="B155" s="5" t="s">
        <v>1328</v>
      </c>
      <c r="C155" s="5" t="s">
        <v>4463</v>
      </c>
      <c r="D155" s="5" t="s">
        <v>428</v>
      </c>
      <c r="E155" s="5" t="s">
        <v>4478</v>
      </c>
      <c r="F155" s="5">
        <v>1</v>
      </c>
      <c r="G155" s="5">
        <v>2</v>
      </c>
      <c r="H155" s="5" t="s">
        <v>4465</v>
      </c>
      <c r="I155" s="5" t="s">
        <v>216</v>
      </c>
      <c r="J155" s="5" t="s">
        <v>1192</v>
      </c>
      <c r="K155" s="5" t="s">
        <v>4466</v>
      </c>
      <c r="L155" s="5" t="s">
        <v>427</v>
      </c>
      <c r="M155" s="8">
        <v>4</v>
      </c>
      <c r="N155" s="8">
        <v>1200</v>
      </c>
      <c r="O155" s="5" t="s">
        <v>4467</v>
      </c>
      <c r="P155" s="5" t="s">
        <v>780</v>
      </c>
      <c r="Q155" s="5" t="s">
        <v>4468</v>
      </c>
    </row>
    <row r="156" spans="1:17">
      <c r="A156" s="5" t="s">
        <v>4621</v>
      </c>
      <c r="B156" s="5" t="s">
        <v>1328</v>
      </c>
      <c r="C156" s="5" t="s">
        <v>4463</v>
      </c>
      <c r="D156" s="5" t="s">
        <v>437</v>
      </c>
      <c r="E156" s="5" t="s">
        <v>4464</v>
      </c>
      <c r="F156" s="5">
        <v>1</v>
      </c>
      <c r="G156" s="5">
        <v>1</v>
      </c>
      <c r="H156" s="5" t="s">
        <v>4465</v>
      </c>
      <c r="I156" s="5" t="s">
        <v>216</v>
      </c>
      <c r="J156" s="5" t="s">
        <v>1192</v>
      </c>
      <c r="K156" s="5" t="s">
        <v>4466</v>
      </c>
      <c r="L156" s="5" t="s">
        <v>427</v>
      </c>
      <c r="M156" s="8">
        <v>4</v>
      </c>
      <c r="N156" s="8">
        <v>1200</v>
      </c>
      <c r="O156" s="5" t="s">
        <v>4467</v>
      </c>
      <c r="P156" s="5" t="s">
        <v>780</v>
      </c>
      <c r="Q156" s="5" t="s">
        <v>4468</v>
      </c>
    </row>
    <row r="157" spans="1:17">
      <c r="A157" s="5" t="s">
        <v>4622</v>
      </c>
      <c r="B157" s="5" t="s">
        <v>1328</v>
      </c>
      <c r="C157" s="5" t="s">
        <v>4463</v>
      </c>
      <c r="D157" s="5" t="s">
        <v>437</v>
      </c>
      <c r="E157" s="5" t="s">
        <v>4464</v>
      </c>
      <c r="F157" s="5">
        <v>1</v>
      </c>
      <c r="G157" s="5">
        <v>2</v>
      </c>
      <c r="H157" s="5" t="s">
        <v>4465</v>
      </c>
      <c r="I157" s="5" t="s">
        <v>216</v>
      </c>
      <c r="J157" s="5" t="s">
        <v>1192</v>
      </c>
      <c r="K157" s="5" t="s">
        <v>4466</v>
      </c>
      <c r="L157" s="5" t="s">
        <v>427</v>
      </c>
      <c r="M157" s="8">
        <v>4</v>
      </c>
      <c r="N157" s="8">
        <v>1200</v>
      </c>
      <c r="O157" s="5" t="s">
        <v>4467</v>
      </c>
      <c r="P157" s="5" t="s">
        <v>780</v>
      </c>
      <c r="Q157" s="5" t="s">
        <v>4468</v>
      </c>
    </row>
    <row r="158" spans="1:17">
      <c r="A158" s="5" t="s">
        <v>4623</v>
      </c>
      <c r="B158" s="5" t="s">
        <v>1328</v>
      </c>
      <c r="C158" s="5" t="s">
        <v>4463</v>
      </c>
      <c r="D158" s="5" t="s">
        <v>437</v>
      </c>
      <c r="E158" s="5" t="s">
        <v>4464</v>
      </c>
      <c r="F158" s="5">
        <v>2</v>
      </c>
      <c r="G158" s="5">
        <v>1</v>
      </c>
      <c r="H158" s="5" t="s">
        <v>4465</v>
      </c>
      <c r="I158" s="5" t="s">
        <v>216</v>
      </c>
      <c r="J158" s="5" t="s">
        <v>1192</v>
      </c>
      <c r="K158" s="5" t="s">
        <v>4466</v>
      </c>
      <c r="L158" s="5" t="s">
        <v>427</v>
      </c>
      <c r="M158" s="8">
        <v>4</v>
      </c>
      <c r="N158" s="8">
        <v>1200</v>
      </c>
      <c r="O158" s="5" t="s">
        <v>4467</v>
      </c>
      <c r="P158" s="5" t="s">
        <v>780</v>
      </c>
      <c r="Q158" s="5" t="s">
        <v>4468</v>
      </c>
    </row>
    <row r="159" spans="1:17">
      <c r="A159" s="5" t="s">
        <v>4624</v>
      </c>
      <c r="B159" s="5" t="s">
        <v>1328</v>
      </c>
      <c r="C159" s="5" t="s">
        <v>4463</v>
      </c>
      <c r="D159" s="5" t="s">
        <v>437</v>
      </c>
      <c r="E159" s="5" t="s">
        <v>4464</v>
      </c>
      <c r="F159" s="5">
        <v>2</v>
      </c>
      <c r="G159" s="5">
        <v>2</v>
      </c>
      <c r="H159" s="5" t="s">
        <v>4465</v>
      </c>
      <c r="I159" s="5" t="s">
        <v>216</v>
      </c>
      <c r="J159" s="5" t="s">
        <v>1192</v>
      </c>
      <c r="K159" s="5" t="s">
        <v>4466</v>
      </c>
      <c r="L159" s="5" t="s">
        <v>427</v>
      </c>
      <c r="M159" s="8">
        <v>4</v>
      </c>
      <c r="N159" s="8">
        <v>1200</v>
      </c>
      <c r="O159" s="5" t="s">
        <v>4467</v>
      </c>
      <c r="P159" s="5" t="s">
        <v>780</v>
      </c>
      <c r="Q159" s="5" t="s">
        <v>4468</v>
      </c>
    </row>
    <row r="160" spans="1:17">
      <c r="A160" s="5" t="s">
        <v>4625</v>
      </c>
      <c r="B160" s="5" t="s">
        <v>1328</v>
      </c>
      <c r="C160" s="5" t="s">
        <v>4463</v>
      </c>
      <c r="D160" s="5" t="s">
        <v>437</v>
      </c>
      <c r="E160" s="5" t="s">
        <v>4473</v>
      </c>
      <c r="F160" s="5">
        <v>1</v>
      </c>
      <c r="G160" s="5">
        <v>1</v>
      </c>
      <c r="H160" s="5" t="s">
        <v>4465</v>
      </c>
      <c r="I160" s="5" t="s">
        <v>216</v>
      </c>
      <c r="J160" s="5" t="s">
        <v>1192</v>
      </c>
      <c r="K160" s="5" t="s">
        <v>4466</v>
      </c>
      <c r="L160" s="5" t="s">
        <v>427</v>
      </c>
      <c r="M160" s="8">
        <v>4</v>
      </c>
      <c r="N160" s="8">
        <v>1200</v>
      </c>
      <c r="O160" s="5" t="s">
        <v>4467</v>
      </c>
      <c r="P160" s="5" t="s">
        <v>780</v>
      </c>
      <c r="Q160" s="5" t="s">
        <v>4468</v>
      </c>
    </row>
    <row r="161" spans="1:17">
      <c r="A161" s="5" t="s">
        <v>4626</v>
      </c>
      <c r="B161" s="5" t="s">
        <v>1328</v>
      </c>
      <c r="C161" s="5" t="s">
        <v>4463</v>
      </c>
      <c r="D161" s="5" t="s">
        <v>437</v>
      </c>
      <c r="E161" s="5" t="s">
        <v>4473</v>
      </c>
      <c r="F161" s="5">
        <v>1</v>
      </c>
      <c r="G161" s="5">
        <v>2</v>
      </c>
      <c r="H161" s="5" t="s">
        <v>4465</v>
      </c>
      <c r="I161" s="5" t="s">
        <v>216</v>
      </c>
      <c r="J161" s="5" t="s">
        <v>1192</v>
      </c>
      <c r="K161" s="5" t="s">
        <v>4466</v>
      </c>
      <c r="L161" s="5" t="s">
        <v>427</v>
      </c>
      <c r="M161" s="8">
        <v>4</v>
      </c>
      <c r="N161" s="8">
        <v>1200</v>
      </c>
      <c r="O161" s="5" t="s">
        <v>4467</v>
      </c>
      <c r="P161" s="5" t="s">
        <v>780</v>
      </c>
      <c r="Q161" s="5" t="s">
        <v>4468</v>
      </c>
    </row>
    <row r="162" spans="1:17">
      <c r="A162" s="5" t="s">
        <v>4627</v>
      </c>
      <c r="B162" s="5" t="s">
        <v>1328</v>
      </c>
      <c r="C162" s="5" t="s">
        <v>4463</v>
      </c>
      <c r="D162" s="5" t="s">
        <v>437</v>
      </c>
      <c r="E162" s="5" t="s">
        <v>4473</v>
      </c>
      <c r="F162" s="5">
        <v>2</v>
      </c>
      <c r="G162" s="5">
        <v>1</v>
      </c>
      <c r="H162" s="5" t="s">
        <v>4465</v>
      </c>
      <c r="I162" s="5" t="s">
        <v>216</v>
      </c>
      <c r="J162" s="5" t="s">
        <v>1192</v>
      </c>
      <c r="K162" s="5" t="s">
        <v>4466</v>
      </c>
      <c r="L162" s="5" t="s">
        <v>427</v>
      </c>
      <c r="M162" s="8">
        <v>4</v>
      </c>
      <c r="N162" s="8">
        <v>1200</v>
      </c>
      <c r="O162" s="5" t="s">
        <v>4467</v>
      </c>
      <c r="P162" s="5" t="s">
        <v>780</v>
      </c>
      <c r="Q162" s="5" t="s">
        <v>4468</v>
      </c>
    </row>
    <row r="163" spans="1:17">
      <c r="A163" s="5" t="s">
        <v>4628</v>
      </c>
      <c r="B163" s="5" t="s">
        <v>1328</v>
      </c>
      <c r="C163" s="5" t="s">
        <v>4463</v>
      </c>
      <c r="D163" s="5" t="s">
        <v>437</v>
      </c>
      <c r="E163" s="5" t="s">
        <v>4473</v>
      </c>
      <c r="F163" s="5">
        <v>2</v>
      </c>
      <c r="G163" s="5">
        <v>2</v>
      </c>
      <c r="H163" s="5" t="s">
        <v>4465</v>
      </c>
      <c r="I163" s="5" t="s">
        <v>216</v>
      </c>
      <c r="J163" s="5" t="s">
        <v>1192</v>
      </c>
      <c r="K163" s="5" t="s">
        <v>4466</v>
      </c>
      <c r="L163" s="5" t="s">
        <v>427</v>
      </c>
      <c r="M163" s="8">
        <v>4</v>
      </c>
      <c r="N163" s="8">
        <v>1200</v>
      </c>
      <c r="O163" s="5" t="s">
        <v>4467</v>
      </c>
      <c r="P163" s="5" t="s">
        <v>780</v>
      </c>
      <c r="Q163" s="5" t="s">
        <v>4468</v>
      </c>
    </row>
    <row r="164" spans="1:17">
      <c r="A164" s="5" t="s">
        <v>4629</v>
      </c>
      <c r="B164" s="5" t="s">
        <v>1328</v>
      </c>
      <c r="C164" s="5" t="s">
        <v>4463</v>
      </c>
      <c r="D164" s="5" t="s">
        <v>437</v>
      </c>
      <c r="E164" s="5" t="s">
        <v>4478</v>
      </c>
      <c r="F164" s="5">
        <v>1</v>
      </c>
      <c r="G164" s="5">
        <v>1</v>
      </c>
      <c r="H164" s="5" t="s">
        <v>4465</v>
      </c>
      <c r="I164" s="5" t="s">
        <v>216</v>
      </c>
      <c r="J164" s="5" t="s">
        <v>1192</v>
      </c>
      <c r="K164" s="5" t="s">
        <v>4466</v>
      </c>
      <c r="L164" s="5" t="s">
        <v>427</v>
      </c>
      <c r="M164" s="8">
        <v>4</v>
      </c>
      <c r="N164" s="8">
        <v>1200</v>
      </c>
      <c r="O164" s="5" t="s">
        <v>4467</v>
      </c>
      <c r="P164" s="5" t="s">
        <v>780</v>
      </c>
      <c r="Q164" s="5" t="s">
        <v>4468</v>
      </c>
    </row>
    <row r="165" spans="1:17">
      <c r="A165" s="5" t="s">
        <v>4630</v>
      </c>
      <c r="B165" s="5" t="s">
        <v>1328</v>
      </c>
      <c r="C165" s="5" t="s">
        <v>4463</v>
      </c>
      <c r="D165" s="5" t="s">
        <v>437</v>
      </c>
      <c r="E165" s="5" t="s">
        <v>4478</v>
      </c>
      <c r="F165" s="5">
        <v>1</v>
      </c>
      <c r="G165" s="5">
        <v>2</v>
      </c>
      <c r="H165" s="5" t="s">
        <v>4465</v>
      </c>
      <c r="I165" s="5" t="s">
        <v>216</v>
      </c>
      <c r="J165" s="5" t="s">
        <v>1192</v>
      </c>
      <c r="K165" s="5" t="s">
        <v>4466</v>
      </c>
      <c r="L165" s="5" t="s">
        <v>427</v>
      </c>
      <c r="M165" s="8">
        <v>4</v>
      </c>
      <c r="N165" s="8">
        <v>1200</v>
      </c>
      <c r="O165" s="5" t="s">
        <v>4467</v>
      </c>
      <c r="P165" s="5" t="s">
        <v>780</v>
      </c>
      <c r="Q165" s="5" t="s">
        <v>4468</v>
      </c>
    </row>
    <row r="166" spans="1:17">
      <c r="A166" s="5" t="s">
        <v>4631</v>
      </c>
      <c r="B166" s="5" t="s">
        <v>1328</v>
      </c>
      <c r="C166" s="5" t="s">
        <v>4463</v>
      </c>
      <c r="D166" s="5" t="s">
        <v>493</v>
      </c>
      <c r="E166" s="5" t="s">
        <v>4464</v>
      </c>
      <c r="F166" s="5">
        <v>1</v>
      </c>
      <c r="G166" s="5">
        <v>1</v>
      </c>
      <c r="H166" s="5" t="s">
        <v>4465</v>
      </c>
      <c r="I166" s="5" t="s">
        <v>216</v>
      </c>
      <c r="J166" s="5" t="s">
        <v>1192</v>
      </c>
      <c r="K166" s="5" t="s">
        <v>4466</v>
      </c>
      <c r="L166" s="5" t="s">
        <v>427</v>
      </c>
      <c r="M166" s="8">
        <v>4</v>
      </c>
      <c r="N166" s="8">
        <v>1200</v>
      </c>
      <c r="O166" s="5" t="s">
        <v>4467</v>
      </c>
      <c r="P166" s="5" t="s">
        <v>780</v>
      </c>
      <c r="Q166" s="5" t="s">
        <v>4468</v>
      </c>
    </row>
    <row r="167" spans="1:17">
      <c r="A167" s="5" t="s">
        <v>4632</v>
      </c>
      <c r="B167" s="5" t="s">
        <v>1328</v>
      </c>
      <c r="C167" s="5" t="s">
        <v>4463</v>
      </c>
      <c r="D167" s="5" t="s">
        <v>493</v>
      </c>
      <c r="E167" s="5" t="s">
        <v>4464</v>
      </c>
      <c r="F167" s="5">
        <v>1</v>
      </c>
      <c r="G167" s="5">
        <v>2</v>
      </c>
      <c r="H167" s="5" t="s">
        <v>4465</v>
      </c>
      <c r="I167" s="5" t="s">
        <v>216</v>
      </c>
      <c r="J167" s="5" t="s">
        <v>1192</v>
      </c>
      <c r="K167" s="5" t="s">
        <v>4466</v>
      </c>
      <c r="L167" s="5" t="s">
        <v>427</v>
      </c>
      <c r="M167" s="8">
        <v>4</v>
      </c>
      <c r="N167" s="8">
        <v>1200</v>
      </c>
      <c r="O167" s="5" t="s">
        <v>4467</v>
      </c>
      <c r="P167" s="5" t="s">
        <v>780</v>
      </c>
      <c r="Q167" s="5" t="s">
        <v>4468</v>
      </c>
    </row>
    <row r="168" spans="1:17">
      <c r="A168" s="5" t="s">
        <v>4633</v>
      </c>
      <c r="B168" s="5" t="s">
        <v>1328</v>
      </c>
      <c r="C168" s="5" t="s">
        <v>4463</v>
      </c>
      <c r="D168" s="5" t="s">
        <v>493</v>
      </c>
      <c r="E168" s="5" t="s">
        <v>4464</v>
      </c>
      <c r="F168" s="5">
        <v>2</v>
      </c>
      <c r="G168" s="5">
        <v>1</v>
      </c>
      <c r="H168" s="5" t="s">
        <v>4465</v>
      </c>
      <c r="I168" s="5" t="s">
        <v>216</v>
      </c>
      <c r="J168" s="5" t="s">
        <v>1192</v>
      </c>
      <c r="K168" s="5" t="s">
        <v>4466</v>
      </c>
      <c r="L168" s="5" t="s">
        <v>427</v>
      </c>
      <c r="M168" s="8">
        <v>4</v>
      </c>
      <c r="N168" s="8">
        <v>1200</v>
      </c>
      <c r="O168" s="5" t="s">
        <v>4467</v>
      </c>
      <c r="P168" s="5" t="s">
        <v>780</v>
      </c>
      <c r="Q168" s="5" t="s">
        <v>4468</v>
      </c>
    </row>
    <row r="169" spans="1:17">
      <c r="A169" s="5" t="s">
        <v>4634</v>
      </c>
      <c r="B169" s="5" t="s">
        <v>1328</v>
      </c>
      <c r="C169" s="5" t="s">
        <v>4463</v>
      </c>
      <c r="D169" s="5" t="s">
        <v>493</v>
      </c>
      <c r="E169" s="5" t="s">
        <v>4464</v>
      </c>
      <c r="F169" s="5">
        <v>2</v>
      </c>
      <c r="G169" s="5">
        <v>2</v>
      </c>
      <c r="H169" s="5" t="s">
        <v>4465</v>
      </c>
      <c r="I169" s="5" t="s">
        <v>216</v>
      </c>
      <c r="J169" s="5" t="s">
        <v>1192</v>
      </c>
      <c r="K169" s="5" t="s">
        <v>4466</v>
      </c>
      <c r="L169" s="5" t="s">
        <v>427</v>
      </c>
      <c r="M169" s="8">
        <v>4</v>
      </c>
      <c r="N169" s="8">
        <v>1200</v>
      </c>
      <c r="O169" s="5" t="s">
        <v>4467</v>
      </c>
      <c r="P169" s="5" t="s">
        <v>780</v>
      </c>
      <c r="Q169" s="5" t="s">
        <v>4468</v>
      </c>
    </row>
    <row r="170" spans="1:17">
      <c r="A170" s="5" t="s">
        <v>4635</v>
      </c>
      <c r="B170" s="5" t="s">
        <v>1328</v>
      </c>
      <c r="C170" s="5" t="s">
        <v>4463</v>
      </c>
      <c r="D170" s="5" t="s">
        <v>493</v>
      </c>
      <c r="E170" s="5" t="s">
        <v>4473</v>
      </c>
      <c r="F170" s="5">
        <v>1</v>
      </c>
      <c r="G170" s="5">
        <v>1</v>
      </c>
      <c r="H170" s="5" t="s">
        <v>4465</v>
      </c>
      <c r="I170" s="5" t="s">
        <v>216</v>
      </c>
      <c r="J170" s="5" t="s">
        <v>1192</v>
      </c>
      <c r="K170" s="5" t="s">
        <v>4466</v>
      </c>
      <c r="L170" s="5" t="s">
        <v>427</v>
      </c>
      <c r="M170" s="8">
        <v>4</v>
      </c>
      <c r="N170" s="8">
        <v>1200</v>
      </c>
      <c r="O170" s="5" t="s">
        <v>4467</v>
      </c>
      <c r="P170" s="5" t="s">
        <v>780</v>
      </c>
      <c r="Q170" s="5" t="s">
        <v>4468</v>
      </c>
    </row>
    <row r="171" spans="1:17">
      <c r="A171" s="5" t="s">
        <v>4636</v>
      </c>
      <c r="B171" s="5" t="s">
        <v>1328</v>
      </c>
      <c r="C171" s="5" t="s">
        <v>4463</v>
      </c>
      <c r="D171" s="5" t="s">
        <v>493</v>
      </c>
      <c r="E171" s="5" t="s">
        <v>4473</v>
      </c>
      <c r="F171" s="5">
        <v>1</v>
      </c>
      <c r="G171" s="5">
        <v>2</v>
      </c>
      <c r="H171" s="5" t="s">
        <v>4465</v>
      </c>
      <c r="I171" s="5" t="s">
        <v>216</v>
      </c>
      <c r="J171" s="5" t="s">
        <v>1192</v>
      </c>
      <c r="K171" s="5" t="s">
        <v>4466</v>
      </c>
      <c r="L171" s="5" t="s">
        <v>427</v>
      </c>
      <c r="M171" s="8">
        <v>4</v>
      </c>
      <c r="N171" s="8">
        <v>1200</v>
      </c>
      <c r="O171" s="5" t="s">
        <v>4467</v>
      </c>
      <c r="P171" s="5" t="s">
        <v>780</v>
      </c>
      <c r="Q171" s="5" t="s">
        <v>4468</v>
      </c>
    </row>
    <row r="172" spans="1:17">
      <c r="A172" s="5" t="s">
        <v>4637</v>
      </c>
      <c r="B172" s="5" t="s">
        <v>1328</v>
      </c>
      <c r="C172" s="5" t="s">
        <v>4463</v>
      </c>
      <c r="D172" s="5" t="s">
        <v>493</v>
      </c>
      <c r="E172" s="5" t="s">
        <v>4473</v>
      </c>
      <c r="F172" s="5">
        <v>2</v>
      </c>
      <c r="G172" s="5">
        <v>1</v>
      </c>
      <c r="H172" s="5" t="s">
        <v>4465</v>
      </c>
      <c r="I172" s="5" t="s">
        <v>216</v>
      </c>
      <c r="J172" s="5" t="s">
        <v>1192</v>
      </c>
      <c r="K172" s="5" t="s">
        <v>4466</v>
      </c>
      <c r="L172" s="5" t="s">
        <v>427</v>
      </c>
      <c r="M172" s="8">
        <v>4</v>
      </c>
      <c r="N172" s="8">
        <v>1200</v>
      </c>
      <c r="O172" s="5" t="s">
        <v>4467</v>
      </c>
      <c r="P172" s="5" t="s">
        <v>780</v>
      </c>
      <c r="Q172" s="5" t="s">
        <v>4468</v>
      </c>
    </row>
    <row r="173" spans="1:17">
      <c r="A173" s="5" t="s">
        <v>4638</v>
      </c>
      <c r="B173" s="5" t="s">
        <v>1328</v>
      </c>
      <c r="C173" s="5" t="s">
        <v>4463</v>
      </c>
      <c r="D173" s="5" t="s">
        <v>493</v>
      </c>
      <c r="E173" s="5" t="s">
        <v>4473</v>
      </c>
      <c r="F173" s="5">
        <v>2</v>
      </c>
      <c r="G173" s="5">
        <v>2</v>
      </c>
      <c r="H173" s="5" t="s">
        <v>4465</v>
      </c>
      <c r="I173" s="5" t="s">
        <v>216</v>
      </c>
      <c r="J173" s="5" t="s">
        <v>1192</v>
      </c>
      <c r="K173" s="5" t="s">
        <v>4466</v>
      </c>
      <c r="L173" s="5" t="s">
        <v>427</v>
      </c>
      <c r="M173" s="8">
        <v>4</v>
      </c>
      <c r="N173" s="8">
        <v>1200</v>
      </c>
      <c r="O173" s="5" t="s">
        <v>4467</v>
      </c>
      <c r="P173" s="5" t="s">
        <v>780</v>
      </c>
      <c r="Q173" s="5" t="s">
        <v>4468</v>
      </c>
    </row>
    <row r="174" spans="1:17">
      <c r="A174" s="5" t="s">
        <v>4639</v>
      </c>
      <c r="B174" s="5" t="s">
        <v>1328</v>
      </c>
      <c r="C174" s="5" t="s">
        <v>4463</v>
      </c>
      <c r="D174" s="5" t="s">
        <v>493</v>
      </c>
      <c r="E174" s="5" t="s">
        <v>4478</v>
      </c>
      <c r="F174" s="5">
        <v>1</v>
      </c>
      <c r="G174" s="5">
        <v>1</v>
      </c>
      <c r="H174" s="5" t="s">
        <v>4465</v>
      </c>
      <c r="I174" s="5" t="s">
        <v>216</v>
      </c>
      <c r="J174" s="5" t="s">
        <v>1192</v>
      </c>
      <c r="K174" s="5" t="s">
        <v>4466</v>
      </c>
      <c r="L174" s="5" t="s">
        <v>427</v>
      </c>
      <c r="M174" s="8">
        <v>4</v>
      </c>
      <c r="N174" s="8">
        <v>1200</v>
      </c>
      <c r="O174" s="5" t="s">
        <v>4467</v>
      </c>
      <c r="P174" s="5" t="s">
        <v>780</v>
      </c>
      <c r="Q174" s="5" t="s">
        <v>4468</v>
      </c>
    </row>
    <row r="175" spans="1:17">
      <c r="A175" s="5" t="s">
        <v>4640</v>
      </c>
      <c r="B175" s="5" t="s">
        <v>1328</v>
      </c>
      <c r="C175" s="5" t="s">
        <v>4463</v>
      </c>
      <c r="D175" s="5" t="s">
        <v>493</v>
      </c>
      <c r="E175" s="5" t="s">
        <v>4478</v>
      </c>
      <c r="F175" s="5">
        <v>1</v>
      </c>
      <c r="G175" s="5">
        <v>2</v>
      </c>
      <c r="H175" s="5" t="s">
        <v>4465</v>
      </c>
      <c r="I175" s="5" t="s">
        <v>216</v>
      </c>
      <c r="J175" s="5" t="s">
        <v>1192</v>
      </c>
      <c r="K175" s="5" t="s">
        <v>4466</v>
      </c>
      <c r="L175" s="5" t="s">
        <v>427</v>
      </c>
      <c r="M175" s="8">
        <v>4</v>
      </c>
      <c r="N175" s="8">
        <v>1200</v>
      </c>
      <c r="O175" s="5" t="s">
        <v>4467</v>
      </c>
      <c r="P175" s="5" t="s">
        <v>780</v>
      </c>
      <c r="Q175" s="5" t="s">
        <v>4468</v>
      </c>
    </row>
    <row r="176" spans="1:17">
      <c r="A176" s="5" t="s">
        <v>4641</v>
      </c>
      <c r="B176" s="5" t="s">
        <v>1328</v>
      </c>
      <c r="C176" s="5" t="s">
        <v>4463</v>
      </c>
      <c r="D176" s="5" t="s">
        <v>4501</v>
      </c>
      <c r="E176" s="5" t="s">
        <v>4464</v>
      </c>
      <c r="F176" s="5">
        <v>1</v>
      </c>
      <c r="G176" s="5">
        <v>1</v>
      </c>
      <c r="H176" s="5" t="s">
        <v>4465</v>
      </c>
      <c r="I176" s="5" t="s">
        <v>216</v>
      </c>
      <c r="J176" s="5" t="s">
        <v>1192</v>
      </c>
      <c r="K176" s="5" t="s">
        <v>4466</v>
      </c>
      <c r="L176" s="5" t="s">
        <v>427</v>
      </c>
      <c r="M176" s="8">
        <v>4</v>
      </c>
      <c r="N176" s="8">
        <v>1200</v>
      </c>
      <c r="O176" s="5" t="s">
        <v>4467</v>
      </c>
      <c r="P176" s="5" t="s">
        <v>780</v>
      </c>
      <c r="Q176" s="5" t="s">
        <v>4468</v>
      </c>
    </row>
    <row r="177" spans="1:17">
      <c r="A177" s="5" t="s">
        <v>4642</v>
      </c>
      <c r="B177" s="5" t="s">
        <v>1328</v>
      </c>
      <c r="C177" s="5" t="s">
        <v>4463</v>
      </c>
      <c r="D177" s="5" t="s">
        <v>4501</v>
      </c>
      <c r="E177" s="5" t="s">
        <v>4464</v>
      </c>
      <c r="F177" s="5">
        <v>1</v>
      </c>
      <c r="G177" s="5">
        <v>2</v>
      </c>
      <c r="H177" s="5" t="s">
        <v>4465</v>
      </c>
      <c r="I177" s="5" t="s">
        <v>216</v>
      </c>
      <c r="J177" s="5" t="s">
        <v>1192</v>
      </c>
      <c r="K177" s="5" t="s">
        <v>4466</v>
      </c>
      <c r="L177" s="5" t="s">
        <v>427</v>
      </c>
      <c r="M177" s="8">
        <v>4</v>
      </c>
      <c r="N177" s="8">
        <v>1200</v>
      </c>
      <c r="O177" s="5" t="s">
        <v>4467</v>
      </c>
      <c r="P177" s="5" t="s">
        <v>780</v>
      </c>
      <c r="Q177" s="5" t="s">
        <v>4468</v>
      </c>
    </row>
    <row r="178" spans="1:17">
      <c r="A178" s="5" t="s">
        <v>4643</v>
      </c>
      <c r="B178" s="5" t="s">
        <v>1328</v>
      </c>
      <c r="C178" s="5" t="s">
        <v>4463</v>
      </c>
      <c r="D178" s="5" t="s">
        <v>4501</v>
      </c>
      <c r="E178" s="5" t="s">
        <v>4464</v>
      </c>
      <c r="F178" s="5">
        <v>2</v>
      </c>
      <c r="G178" s="5">
        <v>1</v>
      </c>
      <c r="H178" s="5" t="s">
        <v>4465</v>
      </c>
      <c r="I178" s="5" t="s">
        <v>216</v>
      </c>
      <c r="J178" s="5" t="s">
        <v>1192</v>
      </c>
      <c r="K178" s="5" t="s">
        <v>4466</v>
      </c>
      <c r="L178" s="5" t="s">
        <v>427</v>
      </c>
      <c r="M178" s="8">
        <v>4</v>
      </c>
      <c r="N178" s="8">
        <v>1200</v>
      </c>
      <c r="O178" s="5" t="s">
        <v>4467</v>
      </c>
      <c r="P178" s="5" t="s">
        <v>780</v>
      </c>
      <c r="Q178" s="5" t="s">
        <v>4468</v>
      </c>
    </row>
    <row r="179" spans="1:17">
      <c r="A179" s="5" t="s">
        <v>4644</v>
      </c>
      <c r="B179" s="5" t="s">
        <v>1328</v>
      </c>
      <c r="C179" s="5" t="s">
        <v>4463</v>
      </c>
      <c r="D179" s="5" t="s">
        <v>4501</v>
      </c>
      <c r="E179" s="5" t="s">
        <v>4464</v>
      </c>
      <c r="F179" s="5">
        <v>2</v>
      </c>
      <c r="G179" s="5">
        <v>2</v>
      </c>
      <c r="H179" s="5" t="s">
        <v>4465</v>
      </c>
      <c r="I179" s="5" t="s">
        <v>216</v>
      </c>
      <c r="J179" s="5" t="s">
        <v>1192</v>
      </c>
      <c r="K179" s="5" t="s">
        <v>4466</v>
      </c>
      <c r="L179" s="5" t="s">
        <v>427</v>
      </c>
      <c r="M179" s="8">
        <v>4</v>
      </c>
      <c r="N179" s="8">
        <v>1200</v>
      </c>
      <c r="O179" s="5" t="s">
        <v>4467</v>
      </c>
      <c r="P179" s="5" t="s">
        <v>780</v>
      </c>
      <c r="Q179" s="5" t="s">
        <v>4468</v>
      </c>
    </row>
    <row r="180" spans="1:17">
      <c r="A180" s="5" t="s">
        <v>4645</v>
      </c>
      <c r="B180" s="5" t="s">
        <v>1328</v>
      </c>
      <c r="C180" s="5" t="s">
        <v>4463</v>
      </c>
      <c r="D180" s="5" t="s">
        <v>4501</v>
      </c>
      <c r="E180" s="5" t="s">
        <v>4473</v>
      </c>
      <c r="F180" s="5">
        <v>1</v>
      </c>
      <c r="G180" s="5">
        <v>1</v>
      </c>
      <c r="H180" s="5" t="s">
        <v>4465</v>
      </c>
      <c r="I180" s="5" t="s">
        <v>216</v>
      </c>
      <c r="J180" s="5" t="s">
        <v>1192</v>
      </c>
      <c r="K180" s="5" t="s">
        <v>4466</v>
      </c>
      <c r="L180" s="5" t="s">
        <v>427</v>
      </c>
      <c r="M180" s="8">
        <v>4</v>
      </c>
      <c r="N180" s="8">
        <v>1200</v>
      </c>
      <c r="O180" s="5" t="s">
        <v>4467</v>
      </c>
      <c r="P180" s="5" t="s">
        <v>780</v>
      </c>
      <c r="Q180" s="5" t="s">
        <v>4468</v>
      </c>
    </row>
    <row r="181" spans="1:17">
      <c r="A181" s="5" t="s">
        <v>4646</v>
      </c>
      <c r="B181" s="5" t="s">
        <v>1328</v>
      </c>
      <c r="C181" s="5" t="s">
        <v>4463</v>
      </c>
      <c r="D181" s="5" t="s">
        <v>4501</v>
      </c>
      <c r="E181" s="5" t="s">
        <v>4473</v>
      </c>
      <c r="F181" s="5">
        <v>1</v>
      </c>
      <c r="G181" s="5">
        <v>2</v>
      </c>
      <c r="H181" s="5" t="s">
        <v>4465</v>
      </c>
      <c r="I181" s="5" t="s">
        <v>216</v>
      </c>
      <c r="J181" s="5" t="s">
        <v>1192</v>
      </c>
      <c r="K181" s="5" t="s">
        <v>4466</v>
      </c>
      <c r="L181" s="5" t="s">
        <v>427</v>
      </c>
      <c r="M181" s="8">
        <v>4</v>
      </c>
      <c r="N181" s="8">
        <v>1200</v>
      </c>
      <c r="O181" s="5" t="s">
        <v>4467</v>
      </c>
      <c r="P181" s="5" t="s">
        <v>780</v>
      </c>
      <c r="Q181" s="5" t="s">
        <v>4468</v>
      </c>
    </row>
    <row r="182" spans="1:17">
      <c r="A182" s="5" t="s">
        <v>4647</v>
      </c>
      <c r="B182" s="5" t="s">
        <v>1328</v>
      </c>
      <c r="C182" s="5" t="s">
        <v>4463</v>
      </c>
      <c r="D182" s="5" t="s">
        <v>4501</v>
      </c>
      <c r="E182" s="5" t="s">
        <v>4473</v>
      </c>
      <c r="F182" s="5">
        <v>2</v>
      </c>
      <c r="G182" s="5">
        <v>1</v>
      </c>
      <c r="H182" s="5" t="s">
        <v>4465</v>
      </c>
      <c r="I182" s="5" t="s">
        <v>216</v>
      </c>
      <c r="J182" s="5" t="s">
        <v>1192</v>
      </c>
      <c r="K182" s="5" t="s">
        <v>4466</v>
      </c>
      <c r="L182" s="5" t="s">
        <v>427</v>
      </c>
      <c r="M182" s="8">
        <v>4</v>
      </c>
      <c r="N182" s="8">
        <v>1200</v>
      </c>
      <c r="O182" s="5" t="s">
        <v>4467</v>
      </c>
      <c r="P182" s="5" t="s">
        <v>780</v>
      </c>
      <c r="Q182" s="5" t="s">
        <v>4468</v>
      </c>
    </row>
    <row r="183" spans="1:17">
      <c r="A183" s="5" t="s">
        <v>4648</v>
      </c>
      <c r="B183" s="5" t="s">
        <v>1328</v>
      </c>
      <c r="C183" s="5" t="s">
        <v>4463</v>
      </c>
      <c r="D183" s="5" t="s">
        <v>4501</v>
      </c>
      <c r="E183" s="5" t="s">
        <v>4473</v>
      </c>
      <c r="F183" s="5">
        <v>2</v>
      </c>
      <c r="G183" s="5">
        <v>2</v>
      </c>
      <c r="H183" s="5" t="s">
        <v>4465</v>
      </c>
      <c r="I183" s="5" t="s">
        <v>216</v>
      </c>
      <c r="J183" s="5" t="s">
        <v>1192</v>
      </c>
      <c r="K183" s="5" t="s">
        <v>4466</v>
      </c>
      <c r="L183" s="5" t="s">
        <v>427</v>
      </c>
      <c r="M183" s="8">
        <v>4</v>
      </c>
      <c r="N183" s="8">
        <v>1200</v>
      </c>
      <c r="O183" s="5" t="s">
        <v>4467</v>
      </c>
      <c r="P183" s="5" t="s">
        <v>780</v>
      </c>
      <c r="Q183" s="5" t="s">
        <v>4468</v>
      </c>
    </row>
    <row r="184" spans="1:17">
      <c r="A184" s="5" t="s">
        <v>4649</v>
      </c>
      <c r="B184" s="5" t="s">
        <v>1328</v>
      </c>
      <c r="C184" s="5" t="s">
        <v>4463</v>
      </c>
      <c r="D184" s="5" t="s">
        <v>4501</v>
      </c>
      <c r="E184" s="5" t="s">
        <v>4478</v>
      </c>
      <c r="F184" s="5">
        <v>1</v>
      </c>
      <c r="G184" s="5">
        <v>1</v>
      </c>
      <c r="H184" s="5" t="s">
        <v>4465</v>
      </c>
      <c r="I184" s="5" t="s">
        <v>216</v>
      </c>
      <c r="J184" s="5" t="s">
        <v>1192</v>
      </c>
      <c r="K184" s="5" t="s">
        <v>4466</v>
      </c>
      <c r="L184" s="5" t="s">
        <v>427</v>
      </c>
      <c r="M184" s="8">
        <v>4</v>
      </c>
      <c r="N184" s="8">
        <v>1200</v>
      </c>
      <c r="O184" s="5" t="s">
        <v>4467</v>
      </c>
      <c r="P184" s="5" t="s">
        <v>780</v>
      </c>
      <c r="Q184" s="5" t="s">
        <v>4468</v>
      </c>
    </row>
    <row r="185" spans="1:17">
      <c r="A185" s="5" t="s">
        <v>4650</v>
      </c>
      <c r="B185" s="5" t="s">
        <v>1328</v>
      </c>
      <c r="C185" s="5" t="s">
        <v>4463</v>
      </c>
      <c r="D185" s="5" t="s">
        <v>4501</v>
      </c>
      <c r="E185" s="5" t="s">
        <v>4478</v>
      </c>
      <c r="F185" s="5">
        <v>1</v>
      </c>
      <c r="G185" s="5">
        <v>2</v>
      </c>
      <c r="H185" s="5" t="s">
        <v>4465</v>
      </c>
      <c r="I185" s="5" t="s">
        <v>216</v>
      </c>
      <c r="J185" s="5" t="s">
        <v>1192</v>
      </c>
      <c r="K185" s="5" t="s">
        <v>4466</v>
      </c>
      <c r="L185" s="5" t="s">
        <v>427</v>
      </c>
      <c r="M185" s="8">
        <v>4</v>
      </c>
      <c r="N185" s="8">
        <v>1200</v>
      </c>
      <c r="O185" s="5" t="s">
        <v>4467</v>
      </c>
      <c r="P185" s="5" t="s">
        <v>780</v>
      </c>
      <c r="Q185" s="5" t="s">
        <v>4468</v>
      </c>
    </row>
    <row r="186" spans="1:17">
      <c r="A186" s="5" t="s">
        <v>4651</v>
      </c>
      <c r="B186" s="5" t="s">
        <v>1328</v>
      </c>
      <c r="C186" s="5" t="s">
        <v>4512</v>
      </c>
      <c r="D186" s="5" t="s">
        <v>428</v>
      </c>
      <c r="E186" s="5" t="s">
        <v>4464</v>
      </c>
      <c r="F186" s="5">
        <v>1</v>
      </c>
      <c r="G186" s="5">
        <v>1</v>
      </c>
      <c r="H186" s="5" t="s">
        <v>4465</v>
      </c>
      <c r="I186" s="5" t="s">
        <v>216</v>
      </c>
      <c r="J186" s="5" t="s">
        <v>285</v>
      </c>
      <c r="K186" s="5" t="s">
        <v>4513</v>
      </c>
      <c r="L186" s="5" t="s">
        <v>427</v>
      </c>
      <c r="M186" s="8">
        <v>50</v>
      </c>
      <c r="N186" s="8">
        <v>1200</v>
      </c>
      <c r="O186" s="5" t="s">
        <v>4514</v>
      </c>
      <c r="P186" s="5" t="s">
        <v>780</v>
      </c>
      <c r="Q186" s="5" t="s">
        <v>4515</v>
      </c>
    </row>
    <row r="187" spans="1:17">
      <c r="A187" s="5" t="s">
        <v>4652</v>
      </c>
      <c r="B187" s="5" t="s">
        <v>1328</v>
      </c>
      <c r="C187" s="5" t="s">
        <v>4512</v>
      </c>
      <c r="D187" s="5" t="s">
        <v>428</v>
      </c>
      <c r="E187" s="5" t="s">
        <v>4464</v>
      </c>
      <c r="F187" s="5">
        <v>2</v>
      </c>
      <c r="G187" s="5">
        <v>1</v>
      </c>
      <c r="H187" s="5" t="s">
        <v>4465</v>
      </c>
      <c r="I187" s="5" t="s">
        <v>216</v>
      </c>
      <c r="J187" s="5" t="s">
        <v>285</v>
      </c>
      <c r="K187" s="5" t="s">
        <v>4513</v>
      </c>
      <c r="L187" s="5" t="s">
        <v>427</v>
      </c>
      <c r="M187" s="8">
        <v>50</v>
      </c>
      <c r="N187" s="8">
        <v>1200</v>
      </c>
      <c r="O187" s="5" t="s">
        <v>4514</v>
      </c>
      <c r="P187" s="5" t="s">
        <v>780</v>
      </c>
      <c r="Q187" s="5" t="s">
        <v>4515</v>
      </c>
    </row>
    <row r="188" spans="1:17">
      <c r="A188" s="5" t="s">
        <v>4653</v>
      </c>
      <c r="B188" s="5" t="s">
        <v>1328</v>
      </c>
      <c r="C188" s="5" t="s">
        <v>4512</v>
      </c>
      <c r="D188" s="5" t="s">
        <v>428</v>
      </c>
      <c r="E188" s="5" t="s">
        <v>4464</v>
      </c>
      <c r="F188" s="5">
        <v>3</v>
      </c>
      <c r="G188" s="5">
        <v>1</v>
      </c>
      <c r="H188" s="5" t="s">
        <v>4465</v>
      </c>
      <c r="I188" s="5" t="s">
        <v>216</v>
      </c>
      <c r="J188" s="5" t="s">
        <v>285</v>
      </c>
      <c r="K188" s="5" t="s">
        <v>4513</v>
      </c>
      <c r="L188" s="5" t="s">
        <v>427</v>
      </c>
      <c r="M188" s="8">
        <v>50</v>
      </c>
      <c r="N188" s="8">
        <v>1200</v>
      </c>
      <c r="O188" s="5" t="s">
        <v>4514</v>
      </c>
      <c r="P188" s="5" t="s">
        <v>780</v>
      </c>
      <c r="Q188" s="5" t="s">
        <v>4515</v>
      </c>
    </row>
    <row r="189" spans="1:17">
      <c r="A189" s="5" t="s">
        <v>4654</v>
      </c>
      <c r="B189" s="5" t="s">
        <v>1328</v>
      </c>
      <c r="C189" s="5" t="s">
        <v>4512</v>
      </c>
      <c r="D189" s="5" t="s">
        <v>428</v>
      </c>
      <c r="E189" s="5" t="s">
        <v>4464</v>
      </c>
      <c r="F189" s="5">
        <v>4</v>
      </c>
      <c r="G189" s="5">
        <v>1</v>
      </c>
      <c r="H189" s="5" t="s">
        <v>4465</v>
      </c>
      <c r="I189" s="5" t="s">
        <v>216</v>
      </c>
      <c r="J189" s="5" t="s">
        <v>285</v>
      </c>
      <c r="K189" s="5" t="s">
        <v>4513</v>
      </c>
      <c r="L189" s="5" t="s">
        <v>427</v>
      </c>
      <c r="M189" s="8">
        <v>50</v>
      </c>
      <c r="N189" s="8">
        <v>1200</v>
      </c>
      <c r="O189" s="5" t="s">
        <v>4514</v>
      </c>
      <c r="P189" s="5" t="s">
        <v>780</v>
      </c>
      <c r="Q189" s="5" t="s">
        <v>4515</v>
      </c>
    </row>
    <row r="190" spans="1:17">
      <c r="A190" s="5" t="s">
        <v>4655</v>
      </c>
      <c r="B190" s="5" t="s">
        <v>1328</v>
      </c>
      <c r="C190" s="5" t="s">
        <v>4512</v>
      </c>
      <c r="D190" s="5" t="s">
        <v>428</v>
      </c>
      <c r="E190" s="5" t="s">
        <v>4464</v>
      </c>
      <c r="F190" s="5">
        <v>5</v>
      </c>
      <c r="G190" s="5">
        <v>1</v>
      </c>
      <c r="H190" s="5" t="s">
        <v>4465</v>
      </c>
      <c r="I190" s="5" t="s">
        <v>216</v>
      </c>
      <c r="J190" s="5" t="s">
        <v>285</v>
      </c>
      <c r="K190" s="5" t="s">
        <v>4513</v>
      </c>
      <c r="L190" s="5" t="s">
        <v>427</v>
      </c>
      <c r="M190" s="8">
        <v>50</v>
      </c>
      <c r="N190" s="8">
        <v>1200</v>
      </c>
      <c r="O190" s="5" t="s">
        <v>4514</v>
      </c>
      <c r="P190" s="5" t="s">
        <v>780</v>
      </c>
      <c r="Q190" s="5" t="s">
        <v>4515</v>
      </c>
    </row>
    <row r="191" spans="1:17">
      <c r="A191" s="5" t="s">
        <v>4656</v>
      </c>
      <c r="B191" s="5" t="s">
        <v>1328</v>
      </c>
      <c r="C191" s="5" t="s">
        <v>4512</v>
      </c>
      <c r="D191" s="5" t="s">
        <v>428</v>
      </c>
      <c r="E191" s="5" t="s">
        <v>4473</v>
      </c>
      <c r="F191" s="5">
        <v>1</v>
      </c>
      <c r="G191" s="5">
        <v>1</v>
      </c>
      <c r="H191" s="5" t="s">
        <v>4465</v>
      </c>
      <c r="I191" s="5" t="s">
        <v>216</v>
      </c>
      <c r="J191" s="5" t="s">
        <v>285</v>
      </c>
      <c r="K191" s="5" t="s">
        <v>4513</v>
      </c>
      <c r="L191" s="5" t="s">
        <v>427</v>
      </c>
      <c r="M191" s="8">
        <v>50</v>
      </c>
      <c r="N191" s="8">
        <v>1200</v>
      </c>
      <c r="O191" s="5" t="s">
        <v>4514</v>
      </c>
      <c r="P191" s="5" t="s">
        <v>780</v>
      </c>
      <c r="Q191" s="5" t="s">
        <v>4515</v>
      </c>
    </row>
    <row r="192" spans="1:17">
      <c r="A192" s="5" t="s">
        <v>4657</v>
      </c>
      <c r="B192" s="5" t="s">
        <v>1328</v>
      </c>
      <c r="C192" s="5" t="s">
        <v>4512</v>
      </c>
      <c r="D192" s="5" t="s">
        <v>428</v>
      </c>
      <c r="E192" s="5" t="s">
        <v>4473</v>
      </c>
      <c r="F192" s="5">
        <v>2</v>
      </c>
      <c r="G192" s="5">
        <v>1</v>
      </c>
      <c r="H192" s="5" t="s">
        <v>4465</v>
      </c>
      <c r="I192" s="5" t="s">
        <v>216</v>
      </c>
      <c r="J192" s="5" t="s">
        <v>285</v>
      </c>
      <c r="K192" s="5" t="s">
        <v>4513</v>
      </c>
      <c r="L192" s="5" t="s">
        <v>427</v>
      </c>
      <c r="M192" s="8">
        <v>50</v>
      </c>
      <c r="N192" s="8">
        <v>1200</v>
      </c>
      <c r="O192" s="5" t="s">
        <v>4514</v>
      </c>
      <c r="P192" s="5" t="s">
        <v>780</v>
      </c>
      <c r="Q192" s="5" t="s">
        <v>4515</v>
      </c>
    </row>
    <row r="193" spans="1:17">
      <c r="A193" s="5" t="s">
        <v>4658</v>
      </c>
      <c r="B193" s="5" t="s">
        <v>1328</v>
      </c>
      <c r="C193" s="5" t="s">
        <v>4512</v>
      </c>
      <c r="D193" s="5" t="s">
        <v>428</v>
      </c>
      <c r="E193" s="5" t="s">
        <v>4473</v>
      </c>
      <c r="F193" s="5">
        <v>3</v>
      </c>
      <c r="G193" s="5">
        <v>1</v>
      </c>
      <c r="H193" s="5" t="s">
        <v>4465</v>
      </c>
      <c r="I193" s="5" t="s">
        <v>216</v>
      </c>
      <c r="J193" s="5" t="s">
        <v>285</v>
      </c>
      <c r="K193" s="5" t="s">
        <v>4513</v>
      </c>
      <c r="L193" s="5" t="s">
        <v>427</v>
      </c>
      <c r="M193" s="8">
        <v>50</v>
      </c>
      <c r="N193" s="8">
        <v>1200</v>
      </c>
      <c r="O193" s="5" t="s">
        <v>4514</v>
      </c>
      <c r="P193" s="5" t="s">
        <v>780</v>
      </c>
      <c r="Q193" s="5" t="s">
        <v>4515</v>
      </c>
    </row>
    <row r="194" spans="1:17">
      <c r="A194" s="5" t="s">
        <v>4659</v>
      </c>
      <c r="B194" s="5" t="s">
        <v>1328</v>
      </c>
      <c r="C194" s="5" t="s">
        <v>4512</v>
      </c>
      <c r="D194" s="5" t="s">
        <v>428</v>
      </c>
      <c r="E194" s="5" t="s">
        <v>4473</v>
      </c>
      <c r="F194" s="5">
        <v>4</v>
      </c>
      <c r="G194" s="5">
        <v>1</v>
      </c>
      <c r="H194" s="5" t="s">
        <v>4465</v>
      </c>
      <c r="I194" s="5" t="s">
        <v>216</v>
      </c>
      <c r="J194" s="5" t="s">
        <v>285</v>
      </c>
      <c r="K194" s="5" t="s">
        <v>4513</v>
      </c>
      <c r="L194" s="5" t="s">
        <v>427</v>
      </c>
      <c r="M194" s="8">
        <v>50</v>
      </c>
      <c r="N194" s="8">
        <v>1200</v>
      </c>
      <c r="O194" s="5" t="s">
        <v>4514</v>
      </c>
      <c r="P194" s="5" t="s">
        <v>780</v>
      </c>
      <c r="Q194" s="5" t="s">
        <v>4515</v>
      </c>
    </row>
    <row r="195" spans="1:17">
      <c r="A195" s="5" t="s">
        <v>4660</v>
      </c>
      <c r="B195" s="5" t="s">
        <v>1328</v>
      </c>
      <c r="C195" s="5" t="s">
        <v>4512</v>
      </c>
      <c r="D195" s="5" t="s">
        <v>428</v>
      </c>
      <c r="E195" s="5" t="s">
        <v>4473</v>
      </c>
      <c r="F195" s="5">
        <v>5</v>
      </c>
      <c r="G195" s="5">
        <v>1</v>
      </c>
      <c r="H195" s="5" t="s">
        <v>4465</v>
      </c>
      <c r="I195" s="5" t="s">
        <v>216</v>
      </c>
      <c r="J195" s="5" t="s">
        <v>285</v>
      </c>
      <c r="K195" s="5" t="s">
        <v>4513</v>
      </c>
      <c r="L195" s="5" t="s">
        <v>427</v>
      </c>
      <c r="M195" s="8">
        <v>50</v>
      </c>
      <c r="N195" s="8">
        <v>1200</v>
      </c>
      <c r="O195" s="5" t="s">
        <v>4514</v>
      </c>
      <c r="P195" s="5" t="s">
        <v>780</v>
      </c>
      <c r="Q195" s="5" t="s">
        <v>4515</v>
      </c>
    </row>
    <row r="196" spans="1:17">
      <c r="A196" s="5" t="s">
        <v>4661</v>
      </c>
      <c r="B196" s="5" t="s">
        <v>1328</v>
      </c>
      <c r="C196" s="5" t="s">
        <v>4512</v>
      </c>
      <c r="D196" s="5" t="s">
        <v>437</v>
      </c>
      <c r="E196" s="5" t="s">
        <v>4464</v>
      </c>
      <c r="F196" s="5">
        <v>1</v>
      </c>
      <c r="G196" s="5">
        <v>1</v>
      </c>
      <c r="H196" s="5" t="s">
        <v>4465</v>
      </c>
      <c r="I196" s="5" t="s">
        <v>216</v>
      </c>
      <c r="J196" s="5" t="s">
        <v>285</v>
      </c>
      <c r="K196" s="5" t="s">
        <v>4513</v>
      </c>
      <c r="L196" s="5" t="s">
        <v>427</v>
      </c>
      <c r="M196" s="8">
        <v>50</v>
      </c>
      <c r="N196" s="8">
        <v>1200</v>
      </c>
      <c r="O196" s="5" t="s">
        <v>4514</v>
      </c>
      <c r="P196" s="5" t="s">
        <v>780</v>
      </c>
      <c r="Q196" s="5" t="s">
        <v>4515</v>
      </c>
    </row>
    <row r="197" spans="1:17">
      <c r="A197" s="5" t="s">
        <v>4662</v>
      </c>
      <c r="B197" s="5" t="s">
        <v>1328</v>
      </c>
      <c r="C197" s="5" t="s">
        <v>4512</v>
      </c>
      <c r="D197" s="5" t="s">
        <v>437</v>
      </c>
      <c r="E197" s="5" t="s">
        <v>4464</v>
      </c>
      <c r="F197" s="5">
        <v>2</v>
      </c>
      <c r="G197" s="5">
        <v>1</v>
      </c>
      <c r="H197" s="5" t="s">
        <v>4465</v>
      </c>
      <c r="I197" s="5" t="s">
        <v>216</v>
      </c>
      <c r="J197" s="5" t="s">
        <v>285</v>
      </c>
      <c r="K197" s="5" t="s">
        <v>4513</v>
      </c>
      <c r="L197" s="5" t="s">
        <v>427</v>
      </c>
      <c r="M197" s="8">
        <v>50</v>
      </c>
      <c r="N197" s="8">
        <v>1200</v>
      </c>
      <c r="O197" s="5" t="s">
        <v>4514</v>
      </c>
      <c r="P197" s="5" t="s">
        <v>780</v>
      </c>
      <c r="Q197" s="5" t="s">
        <v>4515</v>
      </c>
    </row>
    <row r="198" spans="1:17">
      <c r="A198" s="5" t="s">
        <v>4663</v>
      </c>
      <c r="B198" s="5" t="s">
        <v>1328</v>
      </c>
      <c r="C198" s="5" t="s">
        <v>4512</v>
      </c>
      <c r="D198" s="5" t="s">
        <v>437</v>
      </c>
      <c r="E198" s="5" t="s">
        <v>4464</v>
      </c>
      <c r="F198" s="5">
        <v>3</v>
      </c>
      <c r="G198" s="5">
        <v>1</v>
      </c>
      <c r="H198" s="5" t="s">
        <v>4465</v>
      </c>
      <c r="I198" s="5" t="s">
        <v>216</v>
      </c>
      <c r="J198" s="5" t="s">
        <v>285</v>
      </c>
      <c r="K198" s="5" t="s">
        <v>4513</v>
      </c>
      <c r="L198" s="5" t="s">
        <v>427</v>
      </c>
      <c r="M198" s="8">
        <v>50</v>
      </c>
      <c r="N198" s="8">
        <v>1200</v>
      </c>
      <c r="O198" s="5" t="s">
        <v>4514</v>
      </c>
      <c r="P198" s="5" t="s">
        <v>780</v>
      </c>
      <c r="Q198" s="5" t="s">
        <v>4515</v>
      </c>
    </row>
    <row r="199" spans="1:17">
      <c r="A199" s="5" t="s">
        <v>4664</v>
      </c>
      <c r="B199" s="5" t="s">
        <v>1328</v>
      </c>
      <c r="C199" s="5" t="s">
        <v>4512</v>
      </c>
      <c r="D199" s="5" t="s">
        <v>437</v>
      </c>
      <c r="E199" s="5" t="s">
        <v>4464</v>
      </c>
      <c r="F199" s="5">
        <v>4</v>
      </c>
      <c r="G199" s="5">
        <v>1</v>
      </c>
      <c r="H199" s="5" t="s">
        <v>4465</v>
      </c>
      <c r="I199" s="5" t="s">
        <v>216</v>
      </c>
      <c r="J199" s="5" t="s">
        <v>285</v>
      </c>
      <c r="K199" s="5" t="s">
        <v>4513</v>
      </c>
      <c r="L199" s="5" t="s">
        <v>427</v>
      </c>
      <c r="M199" s="8">
        <v>50</v>
      </c>
      <c r="N199" s="8">
        <v>1200</v>
      </c>
      <c r="O199" s="5" t="s">
        <v>4514</v>
      </c>
      <c r="P199" s="5" t="s">
        <v>780</v>
      </c>
      <c r="Q199" s="5" t="s">
        <v>4515</v>
      </c>
    </row>
    <row r="200" spans="1:17">
      <c r="A200" s="5" t="s">
        <v>4665</v>
      </c>
      <c r="B200" s="5" t="s">
        <v>1328</v>
      </c>
      <c r="C200" s="5" t="s">
        <v>4512</v>
      </c>
      <c r="D200" s="5" t="s">
        <v>437</v>
      </c>
      <c r="E200" s="5" t="s">
        <v>4464</v>
      </c>
      <c r="F200" s="5">
        <v>5</v>
      </c>
      <c r="G200" s="5">
        <v>1</v>
      </c>
      <c r="H200" s="5" t="s">
        <v>4465</v>
      </c>
      <c r="I200" s="5" t="s">
        <v>216</v>
      </c>
      <c r="J200" s="5" t="s">
        <v>285</v>
      </c>
      <c r="K200" s="5" t="s">
        <v>4513</v>
      </c>
      <c r="L200" s="5" t="s">
        <v>427</v>
      </c>
      <c r="M200" s="8">
        <v>50</v>
      </c>
      <c r="N200" s="8">
        <v>1200</v>
      </c>
      <c r="O200" s="5" t="s">
        <v>4514</v>
      </c>
      <c r="P200" s="5" t="s">
        <v>780</v>
      </c>
      <c r="Q200" s="5" t="s">
        <v>4515</v>
      </c>
    </row>
    <row r="201" spans="1:17">
      <c r="A201" s="5" t="s">
        <v>4666</v>
      </c>
      <c r="B201" s="5" t="s">
        <v>1328</v>
      </c>
      <c r="C201" s="5" t="s">
        <v>4512</v>
      </c>
      <c r="D201" s="5" t="s">
        <v>437</v>
      </c>
      <c r="E201" s="5" t="s">
        <v>4473</v>
      </c>
      <c r="F201" s="5">
        <v>1</v>
      </c>
      <c r="G201" s="5">
        <v>1</v>
      </c>
      <c r="H201" s="5" t="s">
        <v>4465</v>
      </c>
      <c r="I201" s="5" t="s">
        <v>216</v>
      </c>
      <c r="J201" s="5" t="s">
        <v>285</v>
      </c>
      <c r="K201" s="5" t="s">
        <v>4513</v>
      </c>
      <c r="L201" s="5" t="s">
        <v>427</v>
      </c>
      <c r="M201" s="8">
        <v>50</v>
      </c>
      <c r="N201" s="8">
        <v>1200</v>
      </c>
      <c r="O201" s="5" t="s">
        <v>4514</v>
      </c>
      <c r="P201" s="5" t="s">
        <v>780</v>
      </c>
      <c r="Q201" s="5" t="s">
        <v>4515</v>
      </c>
    </row>
    <row r="202" spans="1:17">
      <c r="A202" s="5" t="s">
        <v>4667</v>
      </c>
      <c r="B202" s="5" t="s">
        <v>1328</v>
      </c>
      <c r="C202" s="5" t="s">
        <v>4512</v>
      </c>
      <c r="D202" s="5" t="s">
        <v>437</v>
      </c>
      <c r="E202" s="5" t="s">
        <v>4473</v>
      </c>
      <c r="F202" s="5">
        <v>2</v>
      </c>
      <c r="G202" s="5">
        <v>1</v>
      </c>
      <c r="H202" s="5" t="s">
        <v>4465</v>
      </c>
      <c r="I202" s="5" t="s">
        <v>216</v>
      </c>
      <c r="J202" s="5" t="s">
        <v>285</v>
      </c>
      <c r="K202" s="5" t="s">
        <v>4513</v>
      </c>
      <c r="L202" s="5" t="s">
        <v>427</v>
      </c>
      <c r="M202" s="8">
        <v>50</v>
      </c>
      <c r="N202" s="8">
        <v>1200</v>
      </c>
      <c r="O202" s="5" t="s">
        <v>4514</v>
      </c>
      <c r="P202" s="5" t="s">
        <v>780</v>
      </c>
      <c r="Q202" s="5" t="s">
        <v>4515</v>
      </c>
    </row>
    <row r="203" spans="1:17">
      <c r="A203" s="5" t="s">
        <v>4668</v>
      </c>
      <c r="B203" s="5" t="s">
        <v>1328</v>
      </c>
      <c r="C203" s="5" t="s">
        <v>4512</v>
      </c>
      <c r="D203" s="5" t="s">
        <v>437</v>
      </c>
      <c r="E203" s="5" t="s">
        <v>4473</v>
      </c>
      <c r="F203" s="5">
        <v>3</v>
      </c>
      <c r="G203" s="5">
        <v>1</v>
      </c>
      <c r="H203" s="5" t="s">
        <v>4465</v>
      </c>
      <c r="I203" s="5" t="s">
        <v>216</v>
      </c>
      <c r="J203" s="5" t="s">
        <v>285</v>
      </c>
      <c r="K203" s="5" t="s">
        <v>4513</v>
      </c>
      <c r="L203" s="5" t="s">
        <v>427</v>
      </c>
      <c r="M203" s="8">
        <v>50</v>
      </c>
      <c r="N203" s="8">
        <v>1200</v>
      </c>
      <c r="O203" s="5" t="s">
        <v>4514</v>
      </c>
      <c r="P203" s="5" t="s">
        <v>780</v>
      </c>
      <c r="Q203" s="5" t="s">
        <v>4515</v>
      </c>
    </row>
    <row r="204" spans="1:17">
      <c r="A204" s="5" t="s">
        <v>4669</v>
      </c>
      <c r="B204" s="5" t="s">
        <v>1328</v>
      </c>
      <c r="C204" s="5" t="s">
        <v>4512</v>
      </c>
      <c r="D204" s="5" t="s">
        <v>437</v>
      </c>
      <c r="E204" s="5" t="s">
        <v>4473</v>
      </c>
      <c r="F204" s="5">
        <v>4</v>
      </c>
      <c r="G204" s="5">
        <v>1</v>
      </c>
      <c r="H204" s="5" t="s">
        <v>4465</v>
      </c>
      <c r="I204" s="5" t="s">
        <v>216</v>
      </c>
      <c r="J204" s="5" t="s">
        <v>285</v>
      </c>
      <c r="K204" s="5" t="s">
        <v>4513</v>
      </c>
      <c r="L204" s="5" t="s">
        <v>427</v>
      </c>
      <c r="M204" s="8">
        <v>50</v>
      </c>
      <c r="N204" s="8">
        <v>1200</v>
      </c>
      <c r="O204" s="5" t="s">
        <v>4514</v>
      </c>
      <c r="P204" s="5" t="s">
        <v>780</v>
      </c>
      <c r="Q204" s="5" t="s">
        <v>4515</v>
      </c>
    </row>
    <row r="205" spans="1:17">
      <c r="A205" s="5" t="s">
        <v>4670</v>
      </c>
      <c r="B205" s="5" t="s">
        <v>1328</v>
      </c>
      <c r="C205" s="5" t="s">
        <v>4512</v>
      </c>
      <c r="D205" s="5" t="s">
        <v>437</v>
      </c>
      <c r="E205" s="5" t="s">
        <v>4473</v>
      </c>
      <c r="F205" s="5">
        <v>5</v>
      </c>
      <c r="G205" s="5">
        <v>1</v>
      </c>
      <c r="H205" s="5" t="s">
        <v>4465</v>
      </c>
      <c r="I205" s="5" t="s">
        <v>216</v>
      </c>
      <c r="J205" s="5" t="s">
        <v>285</v>
      </c>
      <c r="K205" s="5" t="s">
        <v>4513</v>
      </c>
      <c r="L205" s="5" t="s">
        <v>427</v>
      </c>
      <c r="M205" s="8">
        <v>50</v>
      </c>
      <c r="N205" s="8">
        <v>1200</v>
      </c>
      <c r="O205" s="5" t="s">
        <v>4514</v>
      </c>
      <c r="P205" s="5" t="s">
        <v>780</v>
      </c>
      <c r="Q205" s="5" t="s">
        <v>4515</v>
      </c>
    </row>
    <row r="206" spans="1:17">
      <c r="A206" s="5" t="s">
        <v>4671</v>
      </c>
      <c r="B206" s="5" t="s">
        <v>1343</v>
      </c>
      <c r="C206" s="5" t="s">
        <v>4463</v>
      </c>
      <c r="D206" s="5" t="s">
        <v>428</v>
      </c>
      <c r="E206" s="5" t="s">
        <v>4464</v>
      </c>
      <c r="F206" s="5">
        <v>1</v>
      </c>
      <c r="G206" s="5">
        <v>1</v>
      </c>
      <c r="H206" s="5" t="s">
        <v>4465</v>
      </c>
      <c r="I206" s="5" t="s">
        <v>486</v>
      </c>
      <c r="J206" s="5" t="s">
        <v>1192</v>
      </c>
      <c r="K206" s="5" t="s">
        <v>4672</v>
      </c>
      <c r="L206" s="5" t="s">
        <v>427</v>
      </c>
      <c r="M206" s="8">
        <v>4</v>
      </c>
      <c r="N206" s="8">
        <v>1200</v>
      </c>
      <c r="O206" s="5" t="s">
        <v>4467</v>
      </c>
      <c r="P206" s="5" t="s">
        <v>780</v>
      </c>
      <c r="Q206" s="5" t="s">
        <v>4673</v>
      </c>
    </row>
    <row r="207" spans="1:17">
      <c r="A207" s="5" t="s">
        <v>4674</v>
      </c>
      <c r="B207" s="5" t="s">
        <v>1343</v>
      </c>
      <c r="C207" s="5" t="s">
        <v>4463</v>
      </c>
      <c r="D207" s="5" t="s">
        <v>437</v>
      </c>
      <c r="E207" s="5" t="s">
        <v>4464</v>
      </c>
      <c r="F207" s="5">
        <v>2</v>
      </c>
      <c r="G207" s="5">
        <v>2</v>
      </c>
      <c r="H207" s="5" t="s">
        <v>4465</v>
      </c>
      <c r="I207" s="5" t="s">
        <v>486</v>
      </c>
      <c r="J207" s="5" t="s">
        <v>1192</v>
      </c>
      <c r="K207" s="5" t="s">
        <v>4672</v>
      </c>
      <c r="L207" s="5" t="s">
        <v>427</v>
      </c>
      <c r="M207" s="8">
        <v>4</v>
      </c>
      <c r="N207" s="8">
        <v>1200</v>
      </c>
      <c r="O207" s="5" t="s">
        <v>4467</v>
      </c>
      <c r="P207" s="5" t="s">
        <v>780</v>
      </c>
      <c r="Q207" s="5" t="s">
        <v>4673</v>
      </c>
    </row>
    <row r="208" spans="1:17">
      <c r="A208" s="5" t="s">
        <v>4675</v>
      </c>
      <c r="B208" s="5" t="s">
        <v>1343</v>
      </c>
      <c r="C208" s="5" t="s">
        <v>4463</v>
      </c>
      <c r="D208" s="5" t="s">
        <v>493</v>
      </c>
      <c r="E208" s="5" t="s">
        <v>4464</v>
      </c>
      <c r="F208" s="5">
        <v>3</v>
      </c>
      <c r="G208" s="5">
        <v>1</v>
      </c>
      <c r="H208" s="5" t="s">
        <v>4465</v>
      </c>
      <c r="I208" s="5" t="s">
        <v>486</v>
      </c>
      <c r="J208" s="5" t="s">
        <v>1192</v>
      </c>
      <c r="K208" s="5" t="s">
        <v>4672</v>
      </c>
      <c r="L208" s="5" t="s">
        <v>427</v>
      </c>
      <c r="M208" s="8">
        <v>4</v>
      </c>
      <c r="N208" s="8">
        <v>1200</v>
      </c>
      <c r="O208" s="5" t="s">
        <v>4467</v>
      </c>
      <c r="P208" s="5" t="s">
        <v>780</v>
      </c>
      <c r="Q208" s="5" t="s">
        <v>4673</v>
      </c>
    </row>
    <row r="209" spans="1:17">
      <c r="A209" s="5" t="s">
        <v>4676</v>
      </c>
      <c r="B209" s="5" t="s">
        <v>1343</v>
      </c>
      <c r="C209" s="5" t="s">
        <v>4463</v>
      </c>
      <c r="D209" s="5" t="s">
        <v>428</v>
      </c>
      <c r="E209" s="5" t="s">
        <v>4473</v>
      </c>
      <c r="F209" s="5">
        <v>1</v>
      </c>
      <c r="G209" s="5">
        <v>2</v>
      </c>
      <c r="H209" s="5" t="s">
        <v>4465</v>
      </c>
      <c r="I209" s="5" t="s">
        <v>486</v>
      </c>
      <c r="J209" s="5" t="s">
        <v>1192</v>
      </c>
      <c r="K209" s="5" t="s">
        <v>4672</v>
      </c>
      <c r="L209" s="5" t="s">
        <v>427</v>
      </c>
      <c r="M209" s="8">
        <v>4</v>
      </c>
      <c r="N209" s="8">
        <v>1200</v>
      </c>
      <c r="O209" s="5" t="s">
        <v>4467</v>
      </c>
      <c r="P209" s="5" t="s">
        <v>780</v>
      </c>
      <c r="Q209" s="5" t="s">
        <v>4673</v>
      </c>
    </row>
    <row r="210" spans="1:17">
      <c r="A210" s="5" t="s">
        <v>4677</v>
      </c>
      <c r="B210" s="5" t="s">
        <v>1343</v>
      </c>
      <c r="C210" s="5" t="s">
        <v>4463</v>
      </c>
      <c r="D210" s="5" t="s">
        <v>437</v>
      </c>
      <c r="E210" s="5" t="s">
        <v>4473</v>
      </c>
      <c r="F210" s="5">
        <v>2</v>
      </c>
      <c r="G210" s="5">
        <v>1</v>
      </c>
      <c r="H210" s="5" t="s">
        <v>4465</v>
      </c>
      <c r="I210" s="5" t="s">
        <v>486</v>
      </c>
      <c r="J210" s="5" t="s">
        <v>1192</v>
      </c>
      <c r="K210" s="5" t="s">
        <v>4672</v>
      </c>
      <c r="L210" s="5" t="s">
        <v>427</v>
      </c>
      <c r="M210" s="8">
        <v>4</v>
      </c>
      <c r="N210" s="8">
        <v>1200</v>
      </c>
      <c r="O210" s="5" t="s">
        <v>4467</v>
      </c>
      <c r="P210" s="5" t="s">
        <v>780</v>
      </c>
      <c r="Q210" s="5" t="s">
        <v>4673</v>
      </c>
    </row>
    <row r="211" spans="1:17">
      <c r="A211" s="5" t="s">
        <v>4678</v>
      </c>
      <c r="B211" s="5" t="s">
        <v>1343</v>
      </c>
      <c r="C211" s="5" t="s">
        <v>4463</v>
      </c>
      <c r="D211" s="5" t="s">
        <v>493</v>
      </c>
      <c r="E211" s="5" t="s">
        <v>4473</v>
      </c>
      <c r="F211" s="5">
        <v>3</v>
      </c>
      <c r="G211" s="5">
        <v>2</v>
      </c>
      <c r="H211" s="5" t="s">
        <v>4465</v>
      </c>
      <c r="I211" s="5" t="s">
        <v>486</v>
      </c>
      <c r="J211" s="5" t="s">
        <v>1192</v>
      </c>
      <c r="K211" s="5" t="s">
        <v>4672</v>
      </c>
      <c r="L211" s="5" t="s">
        <v>427</v>
      </c>
      <c r="M211" s="8">
        <v>4</v>
      </c>
      <c r="N211" s="8">
        <v>1200</v>
      </c>
      <c r="O211" s="5" t="s">
        <v>4467</v>
      </c>
      <c r="P211" s="5" t="s">
        <v>780</v>
      </c>
      <c r="Q211" s="5" t="s">
        <v>4673</v>
      </c>
    </row>
    <row r="212" spans="1:17">
      <c r="A212" s="5" t="s">
        <v>4679</v>
      </c>
      <c r="B212" s="5" t="s">
        <v>1343</v>
      </c>
      <c r="C212" s="5" t="s">
        <v>4463</v>
      </c>
      <c r="D212" s="5" t="s">
        <v>428</v>
      </c>
      <c r="E212" s="5" t="s">
        <v>4478</v>
      </c>
      <c r="F212" s="5">
        <v>1</v>
      </c>
      <c r="G212" s="5">
        <v>1</v>
      </c>
      <c r="H212" s="5" t="s">
        <v>4465</v>
      </c>
      <c r="I212" s="5" t="s">
        <v>486</v>
      </c>
      <c r="J212" s="5" t="s">
        <v>1192</v>
      </c>
      <c r="K212" s="5" t="s">
        <v>4672</v>
      </c>
      <c r="L212" s="5" t="s">
        <v>427</v>
      </c>
      <c r="M212" s="8">
        <v>4</v>
      </c>
      <c r="N212" s="8">
        <v>1200</v>
      </c>
      <c r="O212" s="5" t="s">
        <v>4467</v>
      </c>
      <c r="P212" s="5" t="s">
        <v>780</v>
      </c>
      <c r="Q212" s="5" t="s">
        <v>4673</v>
      </c>
    </row>
    <row r="213" spans="1:17">
      <c r="A213" s="5" t="s">
        <v>4680</v>
      </c>
      <c r="B213" s="5" t="s">
        <v>1343</v>
      </c>
      <c r="C213" s="5" t="s">
        <v>4512</v>
      </c>
      <c r="D213" s="5" t="s">
        <v>428</v>
      </c>
      <c r="E213" s="5" t="s">
        <v>4464</v>
      </c>
      <c r="F213" s="5">
        <v>1</v>
      </c>
      <c r="G213" s="5">
        <v>1</v>
      </c>
      <c r="H213" s="5" t="s">
        <v>4465</v>
      </c>
      <c r="I213" s="5" t="s">
        <v>486</v>
      </c>
      <c r="J213" s="5" t="s">
        <v>285</v>
      </c>
      <c r="K213" s="5" t="s">
        <v>4681</v>
      </c>
      <c r="L213" s="5" t="s">
        <v>427</v>
      </c>
      <c r="M213" s="8">
        <v>50</v>
      </c>
      <c r="N213" s="8">
        <v>1200</v>
      </c>
      <c r="O213" s="5" t="s">
        <v>4514</v>
      </c>
      <c r="P213" s="5" t="s">
        <v>780</v>
      </c>
      <c r="Q213" s="5" t="s">
        <v>4682</v>
      </c>
    </row>
    <row r="214" spans="1:17">
      <c r="A214" s="5" t="s">
        <v>4683</v>
      </c>
      <c r="B214" s="5" t="s">
        <v>1343</v>
      </c>
      <c r="C214" s="5" t="s">
        <v>4512</v>
      </c>
      <c r="D214" s="5" t="s">
        <v>437</v>
      </c>
      <c r="E214" s="5" t="s">
        <v>4464</v>
      </c>
      <c r="F214" s="5">
        <v>2</v>
      </c>
      <c r="G214" s="5">
        <v>1</v>
      </c>
      <c r="H214" s="5" t="s">
        <v>4465</v>
      </c>
      <c r="I214" s="5" t="s">
        <v>486</v>
      </c>
      <c r="J214" s="5" t="s">
        <v>285</v>
      </c>
      <c r="K214" s="5" t="s">
        <v>4681</v>
      </c>
      <c r="L214" s="5" t="s">
        <v>427</v>
      </c>
      <c r="M214" s="8">
        <v>50</v>
      </c>
      <c r="N214" s="8">
        <v>1200</v>
      </c>
      <c r="O214" s="5" t="s">
        <v>4514</v>
      </c>
      <c r="P214" s="5" t="s">
        <v>780</v>
      </c>
      <c r="Q214" s="5" t="s">
        <v>4682</v>
      </c>
    </row>
    <row r="215" spans="1:17">
      <c r="A215" s="5" t="s">
        <v>4684</v>
      </c>
      <c r="B215" s="5" t="s">
        <v>1351</v>
      </c>
      <c r="C215" s="5" t="s">
        <v>4463</v>
      </c>
      <c r="D215" s="5" t="s">
        <v>428</v>
      </c>
      <c r="E215" s="5" t="s">
        <v>4464</v>
      </c>
      <c r="F215" s="5">
        <v>1</v>
      </c>
      <c r="G215" s="5">
        <v>1</v>
      </c>
      <c r="H215" s="5" t="s">
        <v>4465</v>
      </c>
      <c r="I215" s="5" t="s">
        <v>1186</v>
      </c>
      <c r="J215" s="5" t="s">
        <v>1192</v>
      </c>
      <c r="K215" s="5" t="s">
        <v>4685</v>
      </c>
      <c r="L215" s="5" t="s">
        <v>427</v>
      </c>
      <c r="M215" s="8">
        <v>4</v>
      </c>
      <c r="N215" s="8">
        <v>1200</v>
      </c>
      <c r="O215" s="5" t="s">
        <v>4467</v>
      </c>
      <c r="P215" s="5" t="s">
        <v>780</v>
      </c>
      <c r="Q215" s="5" t="s">
        <v>4673</v>
      </c>
    </row>
    <row r="216" spans="1:17">
      <c r="A216" s="5" t="s">
        <v>4686</v>
      </c>
      <c r="B216" s="5" t="s">
        <v>1351</v>
      </c>
      <c r="C216" s="5" t="s">
        <v>4463</v>
      </c>
      <c r="D216" s="5" t="s">
        <v>437</v>
      </c>
      <c r="E216" s="5" t="s">
        <v>4464</v>
      </c>
      <c r="F216" s="5">
        <v>2</v>
      </c>
      <c r="G216" s="5">
        <v>2</v>
      </c>
      <c r="H216" s="5" t="s">
        <v>4465</v>
      </c>
      <c r="I216" s="5" t="s">
        <v>1186</v>
      </c>
      <c r="J216" s="5" t="s">
        <v>1192</v>
      </c>
      <c r="K216" s="5" t="s">
        <v>4685</v>
      </c>
      <c r="L216" s="5" t="s">
        <v>427</v>
      </c>
      <c r="M216" s="8">
        <v>4</v>
      </c>
      <c r="N216" s="8">
        <v>1200</v>
      </c>
      <c r="O216" s="5" t="s">
        <v>4467</v>
      </c>
      <c r="P216" s="5" t="s">
        <v>780</v>
      </c>
      <c r="Q216" s="5" t="s">
        <v>4673</v>
      </c>
    </row>
    <row r="217" spans="1:17">
      <c r="A217" s="5" t="s">
        <v>4687</v>
      </c>
      <c r="B217" s="5" t="s">
        <v>1351</v>
      </c>
      <c r="C217" s="5" t="s">
        <v>4463</v>
      </c>
      <c r="D217" s="5" t="s">
        <v>493</v>
      </c>
      <c r="E217" s="5" t="s">
        <v>4464</v>
      </c>
      <c r="F217" s="5">
        <v>3</v>
      </c>
      <c r="G217" s="5">
        <v>1</v>
      </c>
      <c r="H217" s="5" t="s">
        <v>4465</v>
      </c>
      <c r="I217" s="5" t="s">
        <v>1186</v>
      </c>
      <c r="J217" s="5" t="s">
        <v>1192</v>
      </c>
      <c r="K217" s="5" t="s">
        <v>4685</v>
      </c>
      <c r="L217" s="5" t="s">
        <v>427</v>
      </c>
      <c r="M217" s="8">
        <v>4</v>
      </c>
      <c r="N217" s="8">
        <v>1200</v>
      </c>
      <c r="O217" s="5" t="s">
        <v>4467</v>
      </c>
      <c r="P217" s="5" t="s">
        <v>780</v>
      </c>
      <c r="Q217" s="5" t="s">
        <v>4673</v>
      </c>
    </row>
    <row r="218" spans="1:17">
      <c r="A218" s="5" t="s">
        <v>4688</v>
      </c>
      <c r="B218" s="5" t="s">
        <v>1351</v>
      </c>
      <c r="C218" s="5" t="s">
        <v>4463</v>
      </c>
      <c r="D218" s="5" t="s">
        <v>428</v>
      </c>
      <c r="E218" s="5" t="s">
        <v>4473</v>
      </c>
      <c r="F218" s="5">
        <v>1</v>
      </c>
      <c r="G218" s="5">
        <v>2</v>
      </c>
      <c r="H218" s="5" t="s">
        <v>4465</v>
      </c>
      <c r="I218" s="5" t="s">
        <v>1186</v>
      </c>
      <c r="J218" s="5" t="s">
        <v>1192</v>
      </c>
      <c r="K218" s="5" t="s">
        <v>4685</v>
      </c>
      <c r="L218" s="5" t="s">
        <v>427</v>
      </c>
      <c r="M218" s="8">
        <v>4</v>
      </c>
      <c r="N218" s="8">
        <v>1200</v>
      </c>
      <c r="O218" s="5" t="s">
        <v>4467</v>
      </c>
      <c r="P218" s="5" t="s">
        <v>780</v>
      </c>
      <c r="Q218" s="5" t="s">
        <v>4673</v>
      </c>
    </row>
    <row r="219" spans="1:17">
      <c r="A219" s="5" t="s">
        <v>4689</v>
      </c>
      <c r="B219" s="5" t="s">
        <v>1351</v>
      </c>
      <c r="C219" s="5" t="s">
        <v>4463</v>
      </c>
      <c r="D219" s="5" t="s">
        <v>437</v>
      </c>
      <c r="E219" s="5" t="s">
        <v>4473</v>
      </c>
      <c r="F219" s="5">
        <v>2</v>
      </c>
      <c r="G219" s="5">
        <v>1</v>
      </c>
      <c r="H219" s="5" t="s">
        <v>4465</v>
      </c>
      <c r="I219" s="5" t="s">
        <v>1186</v>
      </c>
      <c r="J219" s="5" t="s">
        <v>1192</v>
      </c>
      <c r="K219" s="5" t="s">
        <v>4685</v>
      </c>
      <c r="L219" s="5" t="s">
        <v>427</v>
      </c>
      <c r="M219" s="8">
        <v>4</v>
      </c>
      <c r="N219" s="8">
        <v>1200</v>
      </c>
      <c r="O219" s="5" t="s">
        <v>4467</v>
      </c>
      <c r="P219" s="5" t="s">
        <v>780</v>
      </c>
      <c r="Q219" s="5" t="s">
        <v>4673</v>
      </c>
    </row>
    <row r="220" spans="1:17">
      <c r="A220" s="5" t="s">
        <v>4690</v>
      </c>
      <c r="B220" s="5" t="s">
        <v>1351</v>
      </c>
      <c r="C220" s="5" t="s">
        <v>4463</v>
      </c>
      <c r="D220" s="5" t="s">
        <v>493</v>
      </c>
      <c r="E220" s="5" t="s">
        <v>4473</v>
      </c>
      <c r="F220" s="5">
        <v>3</v>
      </c>
      <c r="G220" s="5">
        <v>2</v>
      </c>
      <c r="H220" s="5" t="s">
        <v>4465</v>
      </c>
      <c r="I220" s="5" t="s">
        <v>1186</v>
      </c>
      <c r="J220" s="5" t="s">
        <v>1192</v>
      </c>
      <c r="K220" s="5" t="s">
        <v>4685</v>
      </c>
      <c r="L220" s="5" t="s">
        <v>427</v>
      </c>
      <c r="M220" s="8">
        <v>4</v>
      </c>
      <c r="N220" s="8">
        <v>1200</v>
      </c>
      <c r="O220" s="5" t="s">
        <v>4467</v>
      </c>
      <c r="P220" s="5" t="s">
        <v>780</v>
      </c>
      <c r="Q220" s="5" t="s">
        <v>4673</v>
      </c>
    </row>
    <row r="221" spans="1:17">
      <c r="A221" s="5" t="s">
        <v>4691</v>
      </c>
      <c r="B221" s="5" t="s">
        <v>1351</v>
      </c>
      <c r="C221" s="5" t="s">
        <v>4463</v>
      </c>
      <c r="D221" s="5" t="s">
        <v>428</v>
      </c>
      <c r="E221" s="5" t="s">
        <v>4478</v>
      </c>
      <c r="F221" s="5">
        <v>1</v>
      </c>
      <c r="G221" s="5">
        <v>1</v>
      </c>
      <c r="H221" s="5" t="s">
        <v>4465</v>
      </c>
      <c r="I221" s="5" t="s">
        <v>1186</v>
      </c>
      <c r="J221" s="5" t="s">
        <v>1192</v>
      </c>
      <c r="K221" s="5" t="s">
        <v>4685</v>
      </c>
      <c r="L221" s="5" t="s">
        <v>427</v>
      </c>
      <c r="M221" s="8">
        <v>4</v>
      </c>
      <c r="N221" s="8">
        <v>1200</v>
      </c>
      <c r="O221" s="5" t="s">
        <v>4467</v>
      </c>
      <c r="P221" s="5" t="s">
        <v>780</v>
      </c>
      <c r="Q221" s="5" t="s">
        <v>4673</v>
      </c>
    </row>
    <row r="222" spans="1:17">
      <c r="A222" s="5" t="s">
        <v>4692</v>
      </c>
      <c r="B222" s="5" t="s">
        <v>1351</v>
      </c>
      <c r="C222" s="5" t="s">
        <v>4512</v>
      </c>
      <c r="D222" s="5" t="s">
        <v>428</v>
      </c>
      <c r="E222" s="5" t="s">
        <v>4464</v>
      </c>
      <c r="F222" s="5">
        <v>1</v>
      </c>
      <c r="G222" s="5">
        <v>1</v>
      </c>
      <c r="H222" s="5" t="s">
        <v>4465</v>
      </c>
      <c r="I222" s="5" t="s">
        <v>1186</v>
      </c>
      <c r="J222" s="5" t="s">
        <v>285</v>
      </c>
      <c r="K222" s="5" t="s">
        <v>4681</v>
      </c>
      <c r="L222" s="5" t="s">
        <v>427</v>
      </c>
      <c r="M222" s="8">
        <v>50</v>
      </c>
      <c r="N222" s="8">
        <v>1200</v>
      </c>
      <c r="O222" s="5" t="s">
        <v>4514</v>
      </c>
      <c r="P222" s="5" t="s">
        <v>780</v>
      </c>
      <c r="Q222" s="5" t="s">
        <v>4682</v>
      </c>
    </row>
    <row r="223" spans="1:17">
      <c r="A223" s="5" t="s">
        <v>4693</v>
      </c>
      <c r="B223" s="5" t="s">
        <v>1351</v>
      </c>
      <c r="C223" s="5" t="s">
        <v>4512</v>
      </c>
      <c r="D223" s="5" t="s">
        <v>437</v>
      </c>
      <c r="E223" s="5" t="s">
        <v>4464</v>
      </c>
      <c r="F223" s="5">
        <v>2</v>
      </c>
      <c r="G223" s="5">
        <v>1</v>
      </c>
      <c r="H223" s="5" t="s">
        <v>4465</v>
      </c>
      <c r="I223" s="5" t="s">
        <v>1186</v>
      </c>
      <c r="J223" s="5" t="s">
        <v>285</v>
      </c>
      <c r="K223" s="5" t="s">
        <v>4681</v>
      </c>
      <c r="L223" s="5" t="s">
        <v>427</v>
      </c>
      <c r="M223" s="8">
        <v>50</v>
      </c>
      <c r="N223" s="8">
        <v>1200</v>
      </c>
      <c r="O223" s="5" t="s">
        <v>4514</v>
      </c>
      <c r="P223" s="5" t="s">
        <v>780</v>
      </c>
      <c r="Q223" s="5" t="s">
        <v>4682</v>
      </c>
    </row>
    <row r="224" spans="1:17">
      <c r="A224" s="5" t="s">
        <v>4694</v>
      </c>
      <c r="B224" s="5" t="s">
        <v>1359</v>
      </c>
      <c r="C224" s="5" t="s">
        <v>4463</v>
      </c>
      <c r="D224" s="5" t="s">
        <v>428</v>
      </c>
      <c r="E224" s="5" t="s">
        <v>4464</v>
      </c>
      <c r="F224" s="5">
        <v>1</v>
      </c>
      <c r="G224" s="5">
        <v>1</v>
      </c>
      <c r="H224" s="5" t="s">
        <v>4465</v>
      </c>
      <c r="I224" s="5" t="s">
        <v>4374</v>
      </c>
      <c r="J224" s="5" t="s">
        <v>1192</v>
      </c>
      <c r="K224" s="5" t="s">
        <v>4672</v>
      </c>
      <c r="L224" s="5" t="s">
        <v>427</v>
      </c>
      <c r="M224" s="8">
        <v>4</v>
      </c>
      <c r="N224" s="8">
        <v>1200</v>
      </c>
      <c r="O224" s="5" t="s">
        <v>4467</v>
      </c>
      <c r="P224" s="5" t="s">
        <v>780</v>
      </c>
      <c r="Q224" s="5" t="s">
        <v>4673</v>
      </c>
    </row>
    <row r="225" spans="1:17">
      <c r="A225" s="5" t="s">
        <v>4695</v>
      </c>
      <c r="B225" s="5" t="s">
        <v>1359</v>
      </c>
      <c r="C225" s="5" t="s">
        <v>4463</v>
      </c>
      <c r="D225" s="5" t="s">
        <v>437</v>
      </c>
      <c r="E225" s="5" t="s">
        <v>4464</v>
      </c>
      <c r="F225" s="5">
        <v>2</v>
      </c>
      <c r="G225" s="5">
        <v>2</v>
      </c>
      <c r="H225" s="5" t="s">
        <v>4465</v>
      </c>
      <c r="I225" s="5" t="s">
        <v>4374</v>
      </c>
      <c r="J225" s="5" t="s">
        <v>1192</v>
      </c>
      <c r="K225" s="5" t="s">
        <v>4672</v>
      </c>
      <c r="L225" s="5" t="s">
        <v>427</v>
      </c>
      <c r="M225" s="8">
        <v>4</v>
      </c>
      <c r="N225" s="8">
        <v>1200</v>
      </c>
      <c r="O225" s="5" t="s">
        <v>4467</v>
      </c>
      <c r="P225" s="5" t="s">
        <v>780</v>
      </c>
      <c r="Q225" s="5" t="s">
        <v>4673</v>
      </c>
    </row>
    <row r="226" spans="1:17">
      <c r="A226" s="5" t="s">
        <v>4696</v>
      </c>
      <c r="B226" s="5" t="s">
        <v>1359</v>
      </c>
      <c r="C226" s="5" t="s">
        <v>4463</v>
      </c>
      <c r="D226" s="5" t="s">
        <v>493</v>
      </c>
      <c r="E226" s="5" t="s">
        <v>4464</v>
      </c>
      <c r="F226" s="5">
        <v>3</v>
      </c>
      <c r="G226" s="5">
        <v>1</v>
      </c>
      <c r="H226" s="5" t="s">
        <v>4465</v>
      </c>
      <c r="I226" s="5" t="s">
        <v>4374</v>
      </c>
      <c r="J226" s="5" t="s">
        <v>1192</v>
      </c>
      <c r="K226" s="5" t="s">
        <v>4672</v>
      </c>
      <c r="L226" s="5" t="s">
        <v>427</v>
      </c>
      <c r="M226" s="8">
        <v>4</v>
      </c>
      <c r="N226" s="8">
        <v>1200</v>
      </c>
      <c r="O226" s="5" t="s">
        <v>4467</v>
      </c>
      <c r="P226" s="5" t="s">
        <v>780</v>
      </c>
      <c r="Q226" s="5" t="s">
        <v>4673</v>
      </c>
    </row>
    <row r="227" spans="1:17">
      <c r="A227" s="5" t="s">
        <v>4697</v>
      </c>
      <c r="B227" s="5" t="s">
        <v>1359</v>
      </c>
      <c r="C227" s="5" t="s">
        <v>4463</v>
      </c>
      <c r="D227" s="5" t="s">
        <v>428</v>
      </c>
      <c r="E227" s="5" t="s">
        <v>4473</v>
      </c>
      <c r="F227" s="5">
        <v>1</v>
      </c>
      <c r="G227" s="5">
        <v>2</v>
      </c>
      <c r="H227" s="5" t="s">
        <v>4465</v>
      </c>
      <c r="I227" s="5" t="s">
        <v>4374</v>
      </c>
      <c r="J227" s="5" t="s">
        <v>1192</v>
      </c>
      <c r="K227" s="5" t="s">
        <v>4672</v>
      </c>
      <c r="L227" s="5" t="s">
        <v>427</v>
      </c>
      <c r="M227" s="8">
        <v>4</v>
      </c>
      <c r="N227" s="8">
        <v>1200</v>
      </c>
      <c r="O227" s="5" t="s">
        <v>4467</v>
      </c>
      <c r="P227" s="5" t="s">
        <v>780</v>
      </c>
      <c r="Q227" s="5" t="s">
        <v>4673</v>
      </c>
    </row>
    <row r="228" spans="1:17">
      <c r="A228" s="5" t="s">
        <v>4698</v>
      </c>
      <c r="B228" s="5" t="s">
        <v>1359</v>
      </c>
      <c r="C228" s="5" t="s">
        <v>4463</v>
      </c>
      <c r="D228" s="5" t="s">
        <v>437</v>
      </c>
      <c r="E228" s="5" t="s">
        <v>4473</v>
      </c>
      <c r="F228" s="5">
        <v>2</v>
      </c>
      <c r="G228" s="5">
        <v>1</v>
      </c>
      <c r="H228" s="5" t="s">
        <v>4465</v>
      </c>
      <c r="I228" s="5" t="s">
        <v>4374</v>
      </c>
      <c r="J228" s="5" t="s">
        <v>1192</v>
      </c>
      <c r="K228" s="5" t="s">
        <v>4672</v>
      </c>
      <c r="L228" s="5" t="s">
        <v>427</v>
      </c>
      <c r="M228" s="8">
        <v>4</v>
      </c>
      <c r="N228" s="8">
        <v>1200</v>
      </c>
      <c r="O228" s="5" t="s">
        <v>4467</v>
      </c>
      <c r="P228" s="5" t="s">
        <v>780</v>
      </c>
      <c r="Q228" s="5" t="s">
        <v>4673</v>
      </c>
    </row>
    <row r="229" spans="1:17">
      <c r="A229" s="5" t="s">
        <v>4699</v>
      </c>
      <c r="B229" s="5" t="s">
        <v>1359</v>
      </c>
      <c r="C229" s="5" t="s">
        <v>4463</v>
      </c>
      <c r="D229" s="5" t="s">
        <v>493</v>
      </c>
      <c r="E229" s="5" t="s">
        <v>4473</v>
      </c>
      <c r="F229" s="5">
        <v>3</v>
      </c>
      <c r="G229" s="5">
        <v>2</v>
      </c>
      <c r="H229" s="5" t="s">
        <v>4465</v>
      </c>
      <c r="I229" s="5" t="s">
        <v>4374</v>
      </c>
      <c r="J229" s="5" t="s">
        <v>1192</v>
      </c>
      <c r="K229" s="5" t="s">
        <v>4672</v>
      </c>
      <c r="L229" s="5" t="s">
        <v>427</v>
      </c>
      <c r="M229" s="8">
        <v>4</v>
      </c>
      <c r="N229" s="8">
        <v>1200</v>
      </c>
      <c r="O229" s="5" t="s">
        <v>4467</v>
      </c>
      <c r="P229" s="5" t="s">
        <v>780</v>
      </c>
      <c r="Q229" s="5" t="s">
        <v>4673</v>
      </c>
    </row>
    <row r="230" spans="1:17">
      <c r="A230" s="5" t="s">
        <v>4700</v>
      </c>
      <c r="B230" s="5" t="s">
        <v>1359</v>
      </c>
      <c r="C230" s="5" t="s">
        <v>4463</v>
      </c>
      <c r="D230" s="5" t="s">
        <v>428</v>
      </c>
      <c r="E230" s="5" t="s">
        <v>4478</v>
      </c>
      <c r="F230" s="5">
        <v>1</v>
      </c>
      <c r="G230" s="5">
        <v>1</v>
      </c>
      <c r="H230" s="5" t="s">
        <v>4465</v>
      </c>
      <c r="I230" s="5" t="s">
        <v>4374</v>
      </c>
      <c r="J230" s="5" t="s">
        <v>1192</v>
      </c>
      <c r="K230" s="5" t="s">
        <v>4672</v>
      </c>
      <c r="L230" s="5" t="s">
        <v>427</v>
      </c>
      <c r="M230" s="8">
        <v>4</v>
      </c>
      <c r="N230" s="8">
        <v>1200</v>
      </c>
      <c r="O230" s="5" t="s">
        <v>4467</v>
      </c>
      <c r="P230" s="5" t="s">
        <v>780</v>
      </c>
      <c r="Q230" s="5" t="s">
        <v>4673</v>
      </c>
    </row>
    <row r="231" spans="1:17">
      <c r="A231" s="5" t="s">
        <v>4701</v>
      </c>
      <c r="B231" s="5" t="s">
        <v>1359</v>
      </c>
      <c r="C231" s="5" t="s">
        <v>4512</v>
      </c>
      <c r="D231" s="5" t="s">
        <v>428</v>
      </c>
      <c r="E231" s="5" t="s">
        <v>4464</v>
      </c>
      <c r="F231" s="5">
        <v>1</v>
      </c>
      <c r="G231" s="5">
        <v>1</v>
      </c>
      <c r="H231" s="5" t="s">
        <v>4465</v>
      </c>
      <c r="I231" s="5" t="s">
        <v>4374</v>
      </c>
      <c r="J231" s="5" t="s">
        <v>285</v>
      </c>
      <c r="K231" s="5" t="s">
        <v>4681</v>
      </c>
      <c r="L231" s="5" t="s">
        <v>427</v>
      </c>
      <c r="M231" s="8">
        <v>50</v>
      </c>
      <c r="N231" s="8">
        <v>1200</v>
      </c>
      <c r="O231" s="5" t="s">
        <v>4514</v>
      </c>
      <c r="P231" s="5" t="s">
        <v>780</v>
      </c>
      <c r="Q231" s="5" t="s">
        <v>4682</v>
      </c>
    </row>
    <row r="232" spans="1:17">
      <c r="A232" s="5" t="s">
        <v>4702</v>
      </c>
      <c r="B232" s="5" t="s">
        <v>1359</v>
      </c>
      <c r="C232" s="5" t="s">
        <v>4512</v>
      </c>
      <c r="D232" s="5" t="s">
        <v>437</v>
      </c>
      <c r="E232" s="5" t="s">
        <v>4464</v>
      </c>
      <c r="F232" s="5">
        <v>2</v>
      </c>
      <c r="G232" s="5">
        <v>1</v>
      </c>
      <c r="H232" s="5" t="s">
        <v>4465</v>
      </c>
      <c r="I232" s="5" t="s">
        <v>4374</v>
      </c>
      <c r="J232" s="5" t="s">
        <v>285</v>
      </c>
      <c r="K232" s="5" t="s">
        <v>4681</v>
      </c>
      <c r="L232" s="5" t="s">
        <v>427</v>
      </c>
      <c r="M232" s="8">
        <v>50</v>
      </c>
      <c r="N232" s="8">
        <v>1200</v>
      </c>
      <c r="O232" s="5" t="s">
        <v>4514</v>
      </c>
      <c r="P232" s="5" t="s">
        <v>780</v>
      </c>
      <c r="Q232" s="5" t="s">
        <v>4682</v>
      </c>
    </row>
    <row r="233" spans="1:17">
      <c r="A233" s="5" t="s">
        <v>4703</v>
      </c>
      <c r="B233" s="5" t="s">
        <v>1367</v>
      </c>
      <c r="C233" s="5" t="s">
        <v>4463</v>
      </c>
      <c r="D233" s="5" t="s">
        <v>428</v>
      </c>
      <c r="E233" s="5" t="s">
        <v>4464</v>
      </c>
      <c r="F233" s="5">
        <v>1</v>
      </c>
      <c r="G233" s="5">
        <v>1</v>
      </c>
      <c r="H233" s="5" t="s">
        <v>4465</v>
      </c>
      <c r="I233" s="5" t="s">
        <v>4402</v>
      </c>
      <c r="J233" s="5" t="s">
        <v>1192</v>
      </c>
      <c r="K233" s="5" t="s">
        <v>4685</v>
      </c>
      <c r="L233" s="5" t="s">
        <v>427</v>
      </c>
      <c r="M233" s="8">
        <v>4</v>
      </c>
      <c r="N233" s="8">
        <v>1200</v>
      </c>
      <c r="O233" s="5" t="s">
        <v>4467</v>
      </c>
      <c r="P233" s="5" t="s">
        <v>780</v>
      </c>
      <c r="Q233" s="5" t="s">
        <v>4673</v>
      </c>
    </row>
    <row r="234" spans="1:17">
      <c r="A234" s="5" t="s">
        <v>4704</v>
      </c>
      <c r="B234" s="5" t="s">
        <v>1367</v>
      </c>
      <c r="C234" s="5" t="s">
        <v>4463</v>
      </c>
      <c r="D234" s="5" t="s">
        <v>437</v>
      </c>
      <c r="E234" s="5" t="s">
        <v>4464</v>
      </c>
      <c r="F234" s="5">
        <v>2</v>
      </c>
      <c r="G234" s="5">
        <v>2</v>
      </c>
      <c r="H234" s="5" t="s">
        <v>4465</v>
      </c>
      <c r="I234" s="5" t="s">
        <v>4402</v>
      </c>
      <c r="J234" s="5" t="s">
        <v>1192</v>
      </c>
      <c r="K234" s="5" t="s">
        <v>4685</v>
      </c>
      <c r="L234" s="5" t="s">
        <v>427</v>
      </c>
      <c r="M234" s="8">
        <v>4</v>
      </c>
      <c r="N234" s="8">
        <v>1200</v>
      </c>
      <c r="O234" s="5" t="s">
        <v>4467</v>
      </c>
      <c r="P234" s="5" t="s">
        <v>780</v>
      </c>
      <c r="Q234" s="5" t="s">
        <v>4673</v>
      </c>
    </row>
    <row r="235" spans="1:17">
      <c r="A235" s="5" t="s">
        <v>4705</v>
      </c>
      <c r="B235" s="5" t="s">
        <v>1367</v>
      </c>
      <c r="C235" s="5" t="s">
        <v>4463</v>
      </c>
      <c r="D235" s="5" t="s">
        <v>493</v>
      </c>
      <c r="E235" s="5" t="s">
        <v>4464</v>
      </c>
      <c r="F235" s="5">
        <v>3</v>
      </c>
      <c r="G235" s="5">
        <v>1</v>
      </c>
      <c r="H235" s="5" t="s">
        <v>4465</v>
      </c>
      <c r="I235" s="5" t="s">
        <v>4402</v>
      </c>
      <c r="J235" s="5" t="s">
        <v>1192</v>
      </c>
      <c r="K235" s="5" t="s">
        <v>4685</v>
      </c>
      <c r="L235" s="5" t="s">
        <v>427</v>
      </c>
      <c r="M235" s="8">
        <v>4</v>
      </c>
      <c r="N235" s="8">
        <v>1200</v>
      </c>
      <c r="O235" s="5" t="s">
        <v>4467</v>
      </c>
      <c r="P235" s="5" t="s">
        <v>780</v>
      </c>
      <c r="Q235" s="5" t="s">
        <v>4673</v>
      </c>
    </row>
    <row r="236" spans="1:17">
      <c r="A236" s="5" t="s">
        <v>4706</v>
      </c>
      <c r="B236" s="5" t="s">
        <v>1367</v>
      </c>
      <c r="C236" s="5" t="s">
        <v>4463</v>
      </c>
      <c r="D236" s="5" t="s">
        <v>428</v>
      </c>
      <c r="E236" s="5" t="s">
        <v>4473</v>
      </c>
      <c r="F236" s="5">
        <v>1</v>
      </c>
      <c r="G236" s="5">
        <v>2</v>
      </c>
      <c r="H236" s="5" t="s">
        <v>4465</v>
      </c>
      <c r="I236" s="5" t="s">
        <v>4402</v>
      </c>
      <c r="J236" s="5" t="s">
        <v>1192</v>
      </c>
      <c r="K236" s="5" t="s">
        <v>4685</v>
      </c>
      <c r="L236" s="5" t="s">
        <v>427</v>
      </c>
      <c r="M236" s="8">
        <v>4</v>
      </c>
      <c r="N236" s="8">
        <v>1200</v>
      </c>
      <c r="O236" s="5" t="s">
        <v>4467</v>
      </c>
      <c r="P236" s="5" t="s">
        <v>780</v>
      </c>
      <c r="Q236" s="5" t="s">
        <v>4673</v>
      </c>
    </row>
    <row r="237" spans="1:17">
      <c r="A237" s="5" t="s">
        <v>4707</v>
      </c>
      <c r="B237" s="5" t="s">
        <v>1367</v>
      </c>
      <c r="C237" s="5" t="s">
        <v>4463</v>
      </c>
      <c r="D237" s="5" t="s">
        <v>437</v>
      </c>
      <c r="E237" s="5" t="s">
        <v>4473</v>
      </c>
      <c r="F237" s="5">
        <v>2</v>
      </c>
      <c r="G237" s="5">
        <v>1</v>
      </c>
      <c r="H237" s="5" t="s">
        <v>4465</v>
      </c>
      <c r="I237" s="5" t="s">
        <v>4402</v>
      </c>
      <c r="J237" s="5" t="s">
        <v>1192</v>
      </c>
      <c r="K237" s="5" t="s">
        <v>4685</v>
      </c>
      <c r="L237" s="5" t="s">
        <v>427</v>
      </c>
      <c r="M237" s="8">
        <v>4</v>
      </c>
      <c r="N237" s="8">
        <v>1200</v>
      </c>
      <c r="O237" s="5" t="s">
        <v>4467</v>
      </c>
      <c r="P237" s="5" t="s">
        <v>780</v>
      </c>
      <c r="Q237" s="5" t="s">
        <v>4673</v>
      </c>
    </row>
    <row r="238" spans="1:17">
      <c r="A238" s="5" t="s">
        <v>4708</v>
      </c>
      <c r="B238" s="5" t="s">
        <v>1367</v>
      </c>
      <c r="C238" s="5" t="s">
        <v>4463</v>
      </c>
      <c r="D238" s="5" t="s">
        <v>493</v>
      </c>
      <c r="E238" s="5" t="s">
        <v>4473</v>
      </c>
      <c r="F238" s="5">
        <v>3</v>
      </c>
      <c r="G238" s="5">
        <v>2</v>
      </c>
      <c r="H238" s="5" t="s">
        <v>4465</v>
      </c>
      <c r="I238" s="5" t="s">
        <v>4402</v>
      </c>
      <c r="J238" s="5" t="s">
        <v>1192</v>
      </c>
      <c r="K238" s="5" t="s">
        <v>4685</v>
      </c>
      <c r="L238" s="5" t="s">
        <v>427</v>
      </c>
      <c r="M238" s="8">
        <v>4</v>
      </c>
      <c r="N238" s="8">
        <v>1200</v>
      </c>
      <c r="O238" s="5" t="s">
        <v>4467</v>
      </c>
      <c r="P238" s="5" t="s">
        <v>780</v>
      </c>
      <c r="Q238" s="5" t="s">
        <v>4673</v>
      </c>
    </row>
    <row r="239" spans="1:17">
      <c r="A239" s="5" t="s">
        <v>4709</v>
      </c>
      <c r="B239" s="5" t="s">
        <v>1367</v>
      </c>
      <c r="C239" s="5" t="s">
        <v>4463</v>
      </c>
      <c r="D239" s="5" t="s">
        <v>428</v>
      </c>
      <c r="E239" s="5" t="s">
        <v>4478</v>
      </c>
      <c r="F239" s="5">
        <v>1</v>
      </c>
      <c r="G239" s="5">
        <v>1</v>
      </c>
      <c r="H239" s="5" t="s">
        <v>4465</v>
      </c>
      <c r="I239" s="5" t="s">
        <v>4402</v>
      </c>
      <c r="J239" s="5" t="s">
        <v>1192</v>
      </c>
      <c r="K239" s="5" t="s">
        <v>4685</v>
      </c>
      <c r="L239" s="5" t="s">
        <v>427</v>
      </c>
      <c r="M239" s="8">
        <v>4</v>
      </c>
      <c r="N239" s="8">
        <v>1200</v>
      </c>
      <c r="O239" s="5" t="s">
        <v>4467</v>
      </c>
      <c r="P239" s="5" t="s">
        <v>780</v>
      </c>
      <c r="Q239" s="5" t="s">
        <v>4673</v>
      </c>
    </row>
    <row r="240" spans="1:17">
      <c r="A240" s="5" t="s">
        <v>4710</v>
      </c>
      <c r="B240" s="5" t="s">
        <v>1367</v>
      </c>
      <c r="C240" s="5" t="s">
        <v>4512</v>
      </c>
      <c r="D240" s="5" t="s">
        <v>428</v>
      </c>
      <c r="E240" s="5" t="s">
        <v>4464</v>
      </c>
      <c r="F240" s="5">
        <v>1</v>
      </c>
      <c r="G240" s="5">
        <v>1</v>
      </c>
      <c r="H240" s="5" t="s">
        <v>4465</v>
      </c>
      <c r="I240" s="5" t="s">
        <v>4402</v>
      </c>
      <c r="J240" s="5" t="s">
        <v>285</v>
      </c>
      <c r="K240" s="5" t="s">
        <v>4681</v>
      </c>
      <c r="L240" s="5" t="s">
        <v>427</v>
      </c>
      <c r="M240" s="8">
        <v>50</v>
      </c>
      <c r="N240" s="8">
        <v>1200</v>
      </c>
      <c r="O240" s="5" t="s">
        <v>4514</v>
      </c>
      <c r="P240" s="5" t="s">
        <v>780</v>
      </c>
      <c r="Q240" s="5" t="s">
        <v>4682</v>
      </c>
    </row>
    <row r="241" spans="1:17">
      <c r="A241" s="5" t="s">
        <v>4711</v>
      </c>
      <c r="B241" s="5" t="s">
        <v>1367</v>
      </c>
      <c r="C241" s="5" t="s">
        <v>4512</v>
      </c>
      <c r="D241" s="5" t="s">
        <v>437</v>
      </c>
      <c r="E241" s="5" t="s">
        <v>4464</v>
      </c>
      <c r="F241" s="5">
        <v>2</v>
      </c>
      <c r="G241" s="5">
        <v>1</v>
      </c>
      <c r="H241" s="5" t="s">
        <v>4465</v>
      </c>
      <c r="I241" s="5" t="s">
        <v>4402</v>
      </c>
      <c r="J241" s="5" t="s">
        <v>285</v>
      </c>
      <c r="K241" s="5" t="s">
        <v>4681</v>
      </c>
      <c r="L241" s="5" t="s">
        <v>427</v>
      </c>
      <c r="M241" s="8">
        <v>50</v>
      </c>
      <c r="N241" s="8">
        <v>1200</v>
      </c>
      <c r="O241" s="5" t="s">
        <v>4514</v>
      </c>
      <c r="P241" s="5" t="s">
        <v>780</v>
      </c>
      <c r="Q241" s="5" t="s">
        <v>4682</v>
      </c>
    </row>
    <row r="242" spans="1:17">
      <c r="A242" s="5" t="s">
        <v>4712</v>
      </c>
      <c r="B242" s="5" t="s">
        <v>1383</v>
      </c>
      <c r="C242" s="5" t="s">
        <v>4463</v>
      </c>
      <c r="D242" s="5" t="s">
        <v>428</v>
      </c>
      <c r="E242" s="5" t="s">
        <v>4464</v>
      </c>
      <c r="F242" s="5">
        <v>1</v>
      </c>
      <c r="G242" s="5">
        <v>1</v>
      </c>
      <c r="H242" s="5" t="s">
        <v>4465</v>
      </c>
      <c r="I242" s="5" t="s">
        <v>1238</v>
      </c>
      <c r="J242" s="5" t="s">
        <v>1192</v>
      </c>
      <c r="K242" s="5" t="s">
        <v>4672</v>
      </c>
      <c r="L242" s="5" t="s">
        <v>427</v>
      </c>
      <c r="M242" s="8">
        <v>4</v>
      </c>
      <c r="N242" s="8">
        <v>1200</v>
      </c>
      <c r="O242" s="5" t="s">
        <v>4467</v>
      </c>
      <c r="P242" s="5" t="s">
        <v>780</v>
      </c>
      <c r="Q242" s="5" t="s">
        <v>4673</v>
      </c>
    </row>
    <row r="243" spans="1:17">
      <c r="A243" s="5" t="s">
        <v>4713</v>
      </c>
      <c r="B243" s="5" t="s">
        <v>1383</v>
      </c>
      <c r="C243" s="5" t="s">
        <v>4463</v>
      </c>
      <c r="D243" s="5" t="s">
        <v>437</v>
      </c>
      <c r="E243" s="5" t="s">
        <v>4464</v>
      </c>
      <c r="F243" s="5">
        <v>2</v>
      </c>
      <c r="G243" s="5">
        <v>2</v>
      </c>
      <c r="H243" s="5" t="s">
        <v>4465</v>
      </c>
      <c r="I243" s="5" t="s">
        <v>1238</v>
      </c>
      <c r="J243" s="5" t="s">
        <v>1192</v>
      </c>
      <c r="K243" s="5" t="s">
        <v>4672</v>
      </c>
      <c r="L243" s="5" t="s">
        <v>427</v>
      </c>
      <c r="M243" s="8">
        <v>4</v>
      </c>
      <c r="N243" s="8">
        <v>1200</v>
      </c>
      <c r="O243" s="5" t="s">
        <v>4467</v>
      </c>
      <c r="P243" s="5" t="s">
        <v>780</v>
      </c>
      <c r="Q243" s="5" t="s">
        <v>4673</v>
      </c>
    </row>
    <row r="244" spans="1:17">
      <c r="A244" s="5" t="s">
        <v>4714</v>
      </c>
      <c r="B244" s="5" t="s">
        <v>1383</v>
      </c>
      <c r="C244" s="5" t="s">
        <v>4463</v>
      </c>
      <c r="D244" s="5" t="s">
        <v>493</v>
      </c>
      <c r="E244" s="5" t="s">
        <v>4464</v>
      </c>
      <c r="F244" s="5">
        <v>3</v>
      </c>
      <c r="G244" s="5">
        <v>1</v>
      </c>
      <c r="H244" s="5" t="s">
        <v>4465</v>
      </c>
      <c r="I244" s="5" t="s">
        <v>1238</v>
      </c>
      <c r="J244" s="5" t="s">
        <v>1192</v>
      </c>
      <c r="K244" s="5" t="s">
        <v>4672</v>
      </c>
      <c r="L244" s="5" t="s">
        <v>427</v>
      </c>
      <c r="M244" s="8">
        <v>4</v>
      </c>
      <c r="N244" s="8">
        <v>1200</v>
      </c>
      <c r="O244" s="5" t="s">
        <v>4467</v>
      </c>
      <c r="P244" s="5" t="s">
        <v>780</v>
      </c>
      <c r="Q244" s="5" t="s">
        <v>4673</v>
      </c>
    </row>
    <row r="245" spans="1:17">
      <c r="A245" s="5" t="s">
        <v>4715</v>
      </c>
      <c r="B245" s="5" t="s">
        <v>1383</v>
      </c>
      <c r="C245" s="5" t="s">
        <v>4463</v>
      </c>
      <c r="D245" s="5" t="s">
        <v>428</v>
      </c>
      <c r="E245" s="5" t="s">
        <v>4473</v>
      </c>
      <c r="F245" s="5">
        <v>1</v>
      </c>
      <c r="G245" s="5">
        <v>2</v>
      </c>
      <c r="H245" s="5" t="s">
        <v>4465</v>
      </c>
      <c r="I245" s="5" t="s">
        <v>1238</v>
      </c>
      <c r="J245" s="5" t="s">
        <v>1192</v>
      </c>
      <c r="K245" s="5" t="s">
        <v>4672</v>
      </c>
      <c r="L245" s="5" t="s">
        <v>427</v>
      </c>
      <c r="M245" s="8">
        <v>4</v>
      </c>
      <c r="N245" s="8">
        <v>1200</v>
      </c>
      <c r="O245" s="5" t="s">
        <v>4467</v>
      </c>
      <c r="P245" s="5" t="s">
        <v>780</v>
      </c>
      <c r="Q245" s="5" t="s">
        <v>4673</v>
      </c>
    </row>
    <row r="246" spans="1:17">
      <c r="A246" s="5" t="s">
        <v>4716</v>
      </c>
      <c r="B246" s="5" t="s">
        <v>1383</v>
      </c>
      <c r="C246" s="5" t="s">
        <v>4463</v>
      </c>
      <c r="D246" s="5" t="s">
        <v>437</v>
      </c>
      <c r="E246" s="5" t="s">
        <v>4473</v>
      </c>
      <c r="F246" s="5">
        <v>2</v>
      </c>
      <c r="G246" s="5">
        <v>1</v>
      </c>
      <c r="H246" s="5" t="s">
        <v>4465</v>
      </c>
      <c r="I246" s="5" t="s">
        <v>1238</v>
      </c>
      <c r="J246" s="5" t="s">
        <v>1192</v>
      </c>
      <c r="K246" s="5" t="s">
        <v>4672</v>
      </c>
      <c r="L246" s="5" t="s">
        <v>427</v>
      </c>
      <c r="M246" s="8">
        <v>4</v>
      </c>
      <c r="N246" s="8">
        <v>1200</v>
      </c>
      <c r="O246" s="5" t="s">
        <v>4467</v>
      </c>
      <c r="P246" s="5" t="s">
        <v>780</v>
      </c>
      <c r="Q246" s="5" t="s">
        <v>4673</v>
      </c>
    </row>
    <row r="247" spans="1:17">
      <c r="A247" s="5" t="s">
        <v>4717</v>
      </c>
      <c r="B247" s="5" t="s">
        <v>1383</v>
      </c>
      <c r="C247" s="5" t="s">
        <v>4463</v>
      </c>
      <c r="D247" s="5" t="s">
        <v>493</v>
      </c>
      <c r="E247" s="5" t="s">
        <v>4473</v>
      </c>
      <c r="F247" s="5">
        <v>3</v>
      </c>
      <c r="G247" s="5">
        <v>2</v>
      </c>
      <c r="H247" s="5" t="s">
        <v>4465</v>
      </c>
      <c r="I247" s="5" t="s">
        <v>1238</v>
      </c>
      <c r="J247" s="5" t="s">
        <v>1192</v>
      </c>
      <c r="K247" s="5" t="s">
        <v>4672</v>
      </c>
      <c r="L247" s="5" t="s">
        <v>427</v>
      </c>
      <c r="M247" s="8">
        <v>4</v>
      </c>
      <c r="N247" s="8">
        <v>1200</v>
      </c>
      <c r="O247" s="5" t="s">
        <v>4467</v>
      </c>
      <c r="P247" s="5" t="s">
        <v>780</v>
      </c>
      <c r="Q247" s="5" t="s">
        <v>4673</v>
      </c>
    </row>
    <row r="248" spans="1:17">
      <c r="A248" s="5" t="s">
        <v>4718</v>
      </c>
      <c r="B248" s="5" t="s">
        <v>1383</v>
      </c>
      <c r="C248" s="5" t="s">
        <v>4463</v>
      </c>
      <c r="D248" s="5" t="s">
        <v>428</v>
      </c>
      <c r="E248" s="5" t="s">
        <v>4478</v>
      </c>
      <c r="F248" s="5">
        <v>1</v>
      </c>
      <c r="G248" s="5">
        <v>1</v>
      </c>
      <c r="H248" s="5" t="s">
        <v>4465</v>
      </c>
      <c r="I248" s="5" t="s">
        <v>1238</v>
      </c>
      <c r="J248" s="5" t="s">
        <v>1192</v>
      </c>
      <c r="K248" s="5" t="s">
        <v>4672</v>
      </c>
      <c r="L248" s="5" t="s">
        <v>427</v>
      </c>
      <c r="M248" s="8">
        <v>4</v>
      </c>
      <c r="N248" s="8">
        <v>1200</v>
      </c>
      <c r="O248" s="5" t="s">
        <v>4467</v>
      </c>
      <c r="P248" s="5" t="s">
        <v>780</v>
      </c>
      <c r="Q248" s="5" t="s">
        <v>4673</v>
      </c>
    </row>
    <row r="249" spans="1:17">
      <c r="A249" s="5" t="s">
        <v>4719</v>
      </c>
      <c r="B249" s="5" t="s">
        <v>1383</v>
      </c>
      <c r="C249" s="5" t="s">
        <v>4512</v>
      </c>
      <c r="D249" s="5" t="s">
        <v>428</v>
      </c>
      <c r="E249" s="5" t="s">
        <v>4464</v>
      </c>
      <c r="F249" s="5">
        <v>1</v>
      </c>
      <c r="G249" s="5">
        <v>1</v>
      </c>
      <c r="H249" s="5" t="s">
        <v>4465</v>
      </c>
      <c r="I249" s="5" t="s">
        <v>1238</v>
      </c>
      <c r="J249" s="5" t="s">
        <v>285</v>
      </c>
      <c r="K249" s="5" t="s">
        <v>4681</v>
      </c>
      <c r="L249" s="5" t="s">
        <v>427</v>
      </c>
      <c r="M249" s="8">
        <v>50</v>
      </c>
      <c r="N249" s="8">
        <v>1200</v>
      </c>
      <c r="O249" s="5" t="s">
        <v>4514</v>
      </c>
      <c r="P249" s="5" t="s">
        <v>780</v>
      </c>
      <c r="Q249" s="5" t="s">
        <v>4682</v>
      </c>
    </row>
    <row r="250" spans="1:17">
      <c r="A250" s="5" t="s">
        <v>4720</v>
      </c>
      <c r="B250" s="5" t="s">
        <v>1383</v>
      </c>
      <c r="C250" s="5" t="s">
        <v>4512</v>
      </c>
      <c r="D250" s="5" t="s">
        <v>437</v>
      </c>
      <c r="E250" s="5" t="s">
        <v>4464</v>
      </c>
      <c r="F250" s="5">
        <v>2</v>
      </c>
      <c r="G250" s="5">
        <v>1</v>
      </c>
      <c r="H250" s="5" t="s">
        <v>4465</v>
      </c>
      <c r="I250" s="5" t="s">
        <v>1238</v>
      </c>
      <c r="J250" s="5" t="s">
        <v>285</v>
      </c>
      <c r="K250" s="5" t="s">
        <v>4681</v>
      </c>
      <c r="L250" s="5" t="s">
        <v>427</v>
      </c>
      <c r="M250" s="8">
        <v>50</v>
      </c>
      <c r="N250" s="8">
        <v>1200</v>
      </c>
      <c r="O250" s="5" t="s">
        <v>4514</v>
      </c>
      <c r="P250" s="5" t="s">
        <v>780</v>
      </c>
      <c r="Q250" s="5" t="s">
        <v>4682</v>
      </c>
    </row>
    <row r="251" spans="1:17">
      <c r="A251" s="5" t="s">
        <v>4721</v>
      </c>
      <c r="B251" s="5" t="s">
        <v>1391</v>
      </c>
      <c r="C251" s="5" t="s">
        <v>4463</v>
      </c>
      <c r="D251" s="5" t="s">
        <v>428</v>
      </c>
      <c r="E251" s="5" t="s">
        <v>4464</v>
      </c>
      <c r="F251" s="5">
        <v>1</v>
      </c>
      <c r="G251" s="5">
        <v>1</v>
      </c>
      <c r="H251" s="5" t="s">
        <v>4465</v>
      </c>
      <c r="I251" s="5" t="s">
        <v>429</v>
      </c>
      <c r="J251" s="5" t="s">
        <v>1192</v>
      </c>
      <c r="K251" s="5" t="s">
        <v>4722</v>
      </c>
      <c r="L251" s="5" t="s">
        <v>427</v>
      </c>
      <c r="M251" s="8">
        <v>4</v>
      </c>
      <c r="N251" s="8">
        <v>1200</v>
      </c>
      <c r="O251" s="5" t="s">
        <v>4467</v>
      </c>
      <c r="P251" s="5" t="s">
        <v>780</v>
      </c>
      <c r="Q251" s="5" t="s">
        <v>4673</v>
      </c>
    </row>
    <row r="252" spans="1:17">
      <c r="A252" s="5" t="s">
        <v>4723</v>
      </c>
      <c r="B252" s="5" t="s">
        <v>1391</v>
      </c>
      <c r="C252" s="5" t="s">
        <v>4463</v>
      </c>
      <c r="D252" s="5" t="s">
        <v>437</v>
      </c>
      <c r="E252" s="5" t="s">
        <v>4464</v>
      </c>
      <c r="F252" s="5">
        <v>2</v>
      </c>
      <c r="G252" s="5">
        <v>2</v>
      </c>
      <c r="H252" s="5" t="s">
        <v>4465</v>
      </c>
      <c r="I252" s="5" t="s">
        <v>429</v>
      </c>
      <c r="J252" s="5" t="s">
        <v>1192</v>
      </c>
      <c r="K252" s="5" t="s">
        <v>4722</v>
      </c>
      <c r="L252" s="5" t="s">
        <v>427</v>
      </c>
      <c r="M252" s="8">
        <v>4</v>
      </c>
      <c r="N252" s="8">
        <v>1200</v>
      </c>
      <c r="O252" s="5" t="s">
        <v>4467</v>
      </c>
      <c r="P252" s="5" t="s">
        <v>780</v>
      </c>
      <c r="Q252" s="5" t="s">
        <v>4673</v>
      </c>
    </row>
    <row r="253" spans="1:17">
      <c r="A253" s="5" t="s">
        <v>4724</v>
      </c>
      <c r="B253" s="5" t="s">
        <v>1391</v>
      </c>
      <c r="C253" s="5" t="s">
        <v>4463</v>
      </c>
      <c r="D253" s="5" t="s">
        <v>493</v>
      </c>
      <c r="E253" s="5" t="s">
        <v>4464</v>
      </c>
      <c r="F253" s="5">
        <v>3</v>
      </c>
      <c r="G253" s="5">
        <v>1</v>
      </c>
      <c r="H253" s="5" t="s">
        <v>4465</v>
      </c>
      <c r="I253" s="5" t="s">
        <v>429</v>
      </c>
      <c r="J253" s="5" t="s">
        <v>1192</v>
      </c>
      <c r="K253" s="5" t="s">
        <v>4722</v>
      </c>
      <c r="L253" s="5" t="s">
        <v>427</v>
      </c>
      <c r="M253" s="8">
        <v>4</v>
      </c>
      <c r="N253" s="8">
        <v>1200</v>
      </c>
      <c r="O253" s="5" t="s">
        <v>4467</v>
      </c>
      <c r="P253" s="5" t="s">
        <v>780</v>
      </c>
      <c r="Q253" s="5" t="s">
        <v>4673</v>
      </c>
    </row>
    <row r="254" spans="1:17">
      <c r="A254" s="5" t="s">
        <v>4725</v>
      </c>
      <c r="B254" s="5" t="s">
        <v>1391</v>
      </c>
      <c r="C254" s="5" t="s">
        <v>4463</v>
      </c>
      <c r="D254" s="5" t="s">
        <v>428</v>
      </c>
      <c r="E254" s="5" t="s">
        <v>4473</v>
      </c>
      <c r="F254" s="5">
        <v>1</v>
      </c>
      <c r="G254" s="5">
        <v>2</v>
      </c>
      <c r="H254" s="5" t="s">
        <v>4465</v>
      </c>
      <c r="I254" s="5" t="s">
        <v>429</v>
      </c>
      <c r="J254" s="5" t="s">
        <v>1192</v>
      </c>
      <c r="K254" s="5" t="s">
        <v>4722</v>
      </c>
      <c r="L254" s="5" t="s">
        <v>427</v>
      </c>
      <c r="M254" s="8">
        <v>4</v>
      </c>
      <c r="N254" s="8">
        <v>1200</v>
      </c>
      <c r="O254" s="5" t="s">
        <v>4467</v>
      </c>
      <c r="P254" s="5" t="s">
        <v>780</v>
      </c>
      <c r="Q254" s="5" t="s">
        <v>4673</v>
      </c>
    </row>
    <row r="255" spans="1:17">
      <c r="A255" s="5" t="s">
        <v>4726</v>
      </c>
      <c r="B255" s="5" t="s">
        <v>1391</v>
      </c>
      <c r="C255" s="5" t="s">
        <v>4463</v>
      </c>
      <c r="D255" s="5" t="s">
        <v>437</v>
      </c>
      <c r="E255" s="5" t="s">
        <v>4473</v>
      </c>
      <c r="F255" s="5">
        <v>2</v>
      </c>
      <c r="G255" s="5">
        <v>1</v>
      </c>
      <c r="H255" s="5" t="s">
        <v>4465</v>
      </c>
      <c r="I255" s="5" t="s">
        <v>429</v>
      </c>
      <c r="J255" s="5" t="s">
        <v>1192</v>
      </c>
      <c r="K255" s="5" t="s">
        <v>4722</v>
      </c>
      <c r="L255" s="5" t="s">
        <v>427</v>
      </c>
      <c r="M255" s="8">
        <v>4</v>
      </c>
      <c r="N255" s="8">
        <v>1200</v>
      </c>
      <c r="O255" s="5" t="s">
        <v>4467</v>
      </c>
      <c r="P255" s="5" t="s">
        <v>780</v>
      </c>
      <c r="Q255" s="5" t="s">
        <v>4673</v>
      </c>
    </row>
    <row r="256" spans="1:17">
      <c r="A256" s="5" t="s">
        <v>4727</v>
      </c>
      <c r="B256" s="5" t="s">
        <v>1391</v>
      </c>
      <c r="C256" s="5" t="s">
        <v>4463</v>
      </c>
      <c r="D256" s="5" t="s">
        <v>493</v>
      </c>
      <c r="E256" s="5" t="s">
        <v>4473</v>
      </c>
      <c r="F256" s="5">
        <v>3</v>
      </c>
      <c r="G256" s="5">
        <v>2</v>
      </c>
      <c r="H256" s="5" t="s">
        <v>4465</v>
      </c>
      <c r="I256" s="5" t="s">
        <v>429</v>
      </c>
      <c r="J256" s="5" t="s">
        <v>1192</v>
      </c>
      <c r="K256" s="5" t="s">
        <v>4722</v>
      </c>
      <c r="L256" s="5" t="s">
        <v>427</v>
      </c>
      <c r="M256" s="8">
        <v>4</v>
      </c>
      <c r="N256" s="8">
        <v>1200</v>
      </c>
      <c r="O256" s="5" t="s">
        <v>4467</v>
      </c>
      <c r="P256" s="5" t="s">
        <v>780</v>
      </c>
      <c r="Q256" s="5" t="s">
        <v>4673</v>
      </c>
    </row>
    <row r="257" spans="1:17">
      <c r="A257" s="5" t="s">
        <v>4728</v>
      </c>
      <c r="B257" s="5" t="s">
        <v>1391</v>
      </c>
      <c r="C257" s="5" t="s">
        <v>4463</v>
      </c>
      <c r="D257" s="5" t="s">
        <v>428</v>
      </c>
      <c r="E257" s="5" t="s">
        <v>4478</v>
      </c>
      <c r="F257" s="5">
        <v>1</v>
      </c>
      <c r="G257" s="5">
        <v>1</v>
      </c>
      <c r="H257" s="5" t="s">
        <v>4465</v>
      </c>
      <c r="I257" s="5" t="s">
        <v>429</v>
      </c>
      <c r="J257" s="5" t="s">
        <v>1192</v>
      </c>
      <c r="K257" s="5" t="s">
        <v>4722</v>
      </c>
      <c r="L257" s="5" t="s">
        <v>427</v>
      </c>
      <c r="M257" s="8">
        <v>4</v>
      </c>
      <c r="N257" s="8">
        <v>1200</v>
      </c>
      <c r="O257" s="5" t="s">
        <v>4467</v>
      </c>
      <c r="P257" s="5" t="s">
        <v>780</v>
      </c>
      <c r="Q257" s="5" t="s">
        <v>4673</v>
      </c>
    </row>
    <row r="258" spans="1:17">
      <c r="A258" s="5" t="s">
        <v>4729</v>
      </c>
      <c r="B258" s="5" t="s">
        <v>1391</v>
      </c>
      <c r="C258" s="5" t="s">
        <v>4512</v>
      </c>
      <c r="D258" s="5" t="s">
        <v>428</v>
      </c>
      <c r="E258" s="5" t="s">
        <v>4464</v>
      </c>
      <c r="F258" s="5">
        <v>1</v>
      </c>
      <c r="G258" s="5">
        <v>1</v>
      </c>
      <c r="H258" s="5" t="s">
        <v>4465</v>
      </c>
      <c r="I258" s="5" t="s">
        <v>429</v>
      </c>
      <c r="J258" s="5" t="s">
        <v>285</v>
      </c>
      <c r="K258" s="5" t="s">
        <v>4681</v>
      </c>
      <c r="L258" s="5" t="s">
        <v>427</v>
      </c>
      <c r="M258" s="8">
        <v>50</v>
      </c>
      <c r="N258" s="8">
        <v>1200</v>
      </c>
      <c r="O258" s="5" t="s">
        <v>4514</v>
      </c>
      <c r="P258" s="5" t="s">
        <v>780</v>
      </c>
      <c r="Q258" s="5" t="s">
        <v>4682</v>
      </c>
    </row>
    <row r="259" spans="1:17">
      <c r="A259" s="5" t="s">
        <v>4730</v>
      </c>
      <c r="B259" s="5" t="s">
        <v>1391</v>
      </c>
      <c r="C259" s="5" t="s">
        <v>4512</v>
      </c>
      <c r="D259" s="5" t="s">
        <v>437</v>
      </c>
      <c r="E259" s="5" t="s">
        <v>4464</v>
      </c>
      <c r="F259" s="5">
        <v>2</v>
      </c>
      <c r="G259" s="5">
        <v>1</v>
      </c>
      <c r="H259" s="5" t="s">
        <v>4465</v>
      </c>
      <c r="I259" s="5" t="s">
        <v>429</v>
      </c>
      <c r="J259" s="5" t="s">
        <v>285</v>
      </c>
      <c r="K259" s="5" t="s">
        <v>4681</v>
      </c>
      <c r="L259" s="5" t="s">
        <v>427</v>
      </c>
      <c r="M259" s="8">
        <v>50</v>
      </c>
      <c r="N259" s="8">
        <v>1200</v>
      </c>
      <c r="O259" s="5" t="s">
        <v>4514</v>
      </c>
      <c r="P259" s="5" t="s">
        <v>780</v>
      </c>
      <c r="Q259" s="5" t="s">
        <v>4682</v>
      </c>
    </row>
    <row r="260" spans="1:17">
      <c r="A260" s="5" t="s">
        <v>4731</v>
      </c>
      <c r="B260" s="5" t="s">
        <v>1399</v>
      </c>
      <c r="C260" s="5" t="s">
        <v>4463</v>
      </c>
      <c r="D260" s="5" t="s">
        <v>428</v>
      </c>
      <c r="E260" s="5" t="s">
        <v>4464</v>
      </c>
      <c r="F260" s="5">
        <v>1</v>
      </c>
      <c r="G260" s="5">
        <v>1</v>
      </c>
      <c r="H260" s="5" t="s">
        <v>4465</v>
      </c>
      <c r="I260" s="5" t="s">
        <v>4374</v>
      </c>
      <c r="J260" s="5" t="s">
        <v>1192</v>
      </c>
      <c r="K260" s="5" t="s">
        <v>4672</v>
      </c>
      <c r="L260" s="5" t="s">
        <v>427</v>
      </c>
      <c r="M260" s="8">
        <v>4</v>
      </c>
      <c r="N260" s="8">
        <v>1200</v>
      </c>
      <c r="O260" s="5" t="s">
        <v>4467</v>
      </c>
      <c r="P260" s="5" t="s">
        <v>780</v>
      </c>
      <c r="Q260" s="5" t="s">
        <v>4673</v>
      </c>
    </row>
    <row r="261" spans="1:17">
      <c r="A261" s="5" t="s">
        <v>4732</v>
      </c>
      <c r="B261" s="5" t="s">
        <v>1399</v>
      </c>
      <c r="C261" s="5" t="s">
        <v>4463</v>
      </c>
      <c r="D261" s="5" t="s">
        <v>437</v>
      </c>
      <c r="E261" s="5" t="s">
        <v>4464</v>
      </c>
      <c r="F261" s="5">
        <v>2</v>
      </c>
      <c r="G261" s="5">
        <v>2</v>
      </c>
      <c r="H261" s="5" t="s">
        <v>4465</v>
      </c>
      <c r="I261" s="5" t="s">
        <v>4374</v>
      </c>
      <c r="J261" s="5" t="s">
        <v>1192</v>
      </c>
      <c r="K261" s="5" t="s">
        <v>4672</v>
      </c>
      <c r="L261" s="5" t="s">
        <v>427</v>
      </c>
      <c r="M261" s="8">
        <v>4</v>
      </c>
      <c r="N261" s="8">
        <v>1200</v>
      </c>
      <c r="O261" s="5" t="s">
        <v>4467</v>
      </c>
      <c r="P261" s="5" t="s">
        <v>780</v>
      </c>
      <c r="Q261" s="5" t="s">
        <v>4673</v>
      </c>
    </row>
    <row r="262" spans="1:17">
      <c r="A262" s="5" t="s">
        <v>4733</v>
      </c>
      <c r="B262" s="5" t="s">
        <v>1399</v>
      </c>
      <c r="C262" s="5" t="s">
        <v>4463</v>
      </c>
      <c r="D262" s="5" t="s">
        <v>493</v>
      </c>
      <c r="E262" s="5" t="s">
        <v>4464</v>
      </c>
      <c r="F262" s="5">
        <v>3</v>
      </c>
      <c r="G262" s="5">
        <v>1</v>
      </c>
      <c r="H262" s="5" t="s">
        <v>4465</v>
      </c>
      <c r="I262" s="5" t="s">
        <v>4374</v>
      </c>
      <c r="J262" s="5" t="s">
        <v>1192</v>
      </c>
      <c r="K262" s="5" t="s">
        <v>4672</v>
      </c>
      <c r="L262" s="5" t="s">
        <v>427</v>
      </c>
      <c r="M262" s="8">
        <v>4</v>
      </c>
      <c r="N262" s="8">
        <v>1200</v>
      </c>
      <c r="O262" s="5" t="s">
        <v>4467</v>
      </c>
      <c r="P262" s="5" t="s">
        <v>780</v>
      </c>
      <c r="Q262" s="5" t="s">
        <v>4673</v>
      </c>
    </row>
    <row r="263" spans="1:17">
      <c r="A263" s="5" t="s">
        <v>4734</v>
      </c>
      <c r="B263" s="5" t="s">
        <v>1399</v>
      </c>
      <c r="C263" s="5" t="s">
        <v>4463</v>
      </c>
      <c r="D263" s="5" t="s">
        <v>428</v>
      </c>
      <c r="E263" s="5" t="s">
        <v>4473</v>
      </c>
      <c r="F263" s="5">
        <v>1</v>
      </c>
      <c r="G263" s="5">
        <v>2</v>
      </c>
      <c r="H263" s="5" t="s">
        <v>4465</v>
      </c>
      <c r="I263" s="5" t="s">
        <v>4374</v>
      </c>
      <c r="J263" s="5" t="s">
        <v>1192</v>
      </c>
      <c r="K263" s="5" t="s">
        <v>4672</v>
      </c>
      <c r="L263" s="5" t="s">
        <v>427</v>
      </c>
      <c r="M263" s="8">
        <v>4</v>
      </c>
      <c r="N263" s="8">
        <v>1200</v>
      </c>
      <c r="O263" s="5" t="s">
        <v>4467</v>
      </c>
      <c r="P263" s="5" t="s">
        <v>780</v>
      </c>
      <c r="Q263" s="5" t="s">
        <v>4673</v>
      </c>
    </row>
    <row r="264" spans="1:17">
      <c r="A264" s="5" t="s">
        <v>4735</v>
      </c>
      <c r="B264" s="5" t="s">
        <v>1399</v>
      </c>
      <c r="C264" s="5" t="s">
        <v>4463</v>
      </c>
      <c r="D264" s="5" t="s">
        <v>437</v>
      </c>
      <c r="E264" s="5" t="s">
        <v>4473</v>
      </c>
      <c r="F264" s="5">
        <v>2</v>
      </c>
      <c r="G264" s="5">
        <v>1</v>
      </c>
      <c r="H264" s="5" t="s">
        <v>4465</v>
      </c>
      <c r="I264" s="5" t="s">
        <v>4374</v>
      </c>
      <c r="J264" s="5" t="s">
        <v>1192</v>
      </c>
      <c r="K264" s="5" t="s">
        <v>4672</v>
      </c>
      <c r="L264" s="5" t="s">
        <v>427</v>
      </c>
      <c r="M264" s="8">
        <v>4</v>
      </c>
      <c r="N264" s="8">
        <v>1200</v>
      </c>
      <c r="O264" s="5" t="s">
        <v>4467</v>
      </c>
      <c r="P264" s="5" t="s">
        <v>780</v>
      </c>
      <c r="Q264" s="5" t="s">
        <v>4673</v>
      </c>
    </row>
    <row r="265" spans="1:17">
      <c r="A265" s="5" t="s">
        <v>4736</v>
      </c>
      <c r="B265" s="5" t="s">
        <v>1399</v>
      </c>
      <c r="C265" s="5" t="s">
        <v>4463</v>
      </c>
      <c r="D265" s="5" t="s">
        <v>493</v>
      </c>
      <c r="E265" s="5" t="s">
        <v>4473</v>
      </c>
      <c r="F265" s="5">
        <v>3</v>
      </c>
      <c r="G265" s="5">
        <v>2</v>
      </c>
      <c r="H265" s="5" t="s">
        <v>4465</v>
      </c>
      <c r="I265" s="5" t="s">
        <v>4374</v>
      </c>
      <c r="J265" s="5" t="s">
        <v>1192</v>
      </c>
      <c r="K265" s="5" t="s">
        <v>4672</v>
      </c>
      <c r="L265" s="5" t="s">
        <v>427</v>
      </c>
      <c r="M265" s="8">
        <v>4</v>
      </c>
      <c r="N265" s="8">
        <v>1200</v>
      </c>
      <c r="O265" s="5" t="s">
        <v>4467</v>
      </c>
      <c r="P265" s="5" t="s">
        <v>780</v>
      </c>
      <c r="Q265" s="5" t="s">
        <v>4673</v>
      </c>
    </row>
    <row r="266" spans="1:17">
      <c r="A266" s="5" t="s">
        <v>4737</v>
      </c>
      <c r="B266" s="5" t="s">
        <v>1399</v>
      </c>
      <c r="C266" s="5" t="s">
        <v>4463</v>
      </c>
      <c r="D266" s="5" t="s">
        <v>428</v>
      </c>
      <c r="E266" s="5" t="s">
        <v>4478</v>
      </c>
      <c r="F266" s="5">
        <v>1</v>
      </c>
      <c r="G266" s="5">
        <v>1</v>
      </c>
      <c r="H266" s="5" t="s">
        <v>4465</v>
      </c>
      <c r="I266" s="5" t="s">
        <v>4374</v>
      </c>
      <c r="J266" s="5" t="s">
        <v>1192</v>
      </c>
      <c r="K266" s="5" t="s">
        <v>4672</v>
      </c>
      <c r="L266" s="5" t="s">
        <v>427</v>
      </c>
      <c r="M266" s="8">
        <v>4</v>
      </c>
      <c r="N266" s="8">
        <v>1200</v>
      </c>
      <c r="O266" s="5" t="s">
        <v>4467</v>
      </c>
      <c r="P266" s="5" t="s">
        <v>780</v>
      </c>
      <c r="Q266" s="5" t="s">
        <v>4673</v>
      </c>
    </row>
    <row r="267" spans="1:17">
      <c r="A267" s="5" t="s">
        <v>4738</v>
      </c>
      <c r="B267" s="5" t="s">
        <v>1399</v>
      </c>
      <c r="C267" s="5" t="s">
        <v>4512</v>
      </c>
      <c r="D267" s="5" t="s">
        <v>428</v>
      </c>
      <c r="E267" s="5" t="s">
        <v>4464</v>
      </c>
      <c r="F267" s="5">
        <v>1</v>
      </c>
      <c r="G267" s="5">
        <v>1</v>
      </c>
      <c r="H267" s="5" t="s">
        <v>4465</v>
      </c>
      <c r="I267" s="5" t="s">
        <v>4374</v>
      </c>
      <c r="J267" s="5" t="s">
        <v>285</v>
      </c>
      <c r="K267" s="5" t="s">
        <v>4681</v>
      </c>
      <c r="L267" s="5" t="s">
        <v>427</v>
      </c>
      <c r="M267" s="8">
        <v>50</v>
      </c>
      <c r="N267" s="8">
        <v>1200</v>
      </c>
      <c r="O267" s="5" t="s">
        <v>4514</v>
      </c>
      <c r="P267" s="5" t="s">
        <v>780</v>
      </c>
      <c r="Q267" s="5" t="s">
        <v>4682</v>
      </c>
    </row>
    <row r="268" spans="1:17">
      <c r="A268" s="5" t="s">
        <v>4739</v>
      </c>
      <c r="B268" s="5" t="s">
        <v>1399</v>
      </c>
      <c r="C268" s="5" t="s">
        <v>4512</v>
      </c>
      <c r="D268" s="5" t="s">
        <v>437</v>
      </c>
      <c r="E268" s="5" t="s">
        <v>4464</v>
      </c>
      <c r="F268" s="5">
        <v>2</v>
      </c>
      <c r="G268" s="5">
        <v>1</v>
      </c>
      <c r="H268" s="5" t="s">
        <v>4465</v>
      </c>
      <c r="I268" s="5" t="s">
        <v>4374</v>
      </c>
      <c r="J268" s="5" t="s">
        <v>285</v>
      </c>
      <c r="K268" s="5" t="s">
        <v>4681</v>
      </c>
      <c r="L268" s="5" t="s">
        <v>427</v>
      </c>
      <c r="M268" s="8">
        <v>50</v>
      </c>
      <c r="N268" s="8">
        <v>1200</v>
      </c>
      <c r="O268" s="5" t="s">
        <v>4514</v>
      </c>
      <c r="P268" s="5" t="s">
        <v>780</v>
      </c>
      <c r="Q268" s="5" t="s">
        <v>4682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C822-5714-614E-B36C-F295512A52FD}">
  <sheetPr>
    <tabColor rgb="FF92D050"/>
  </sheetPr>
  <dimension ref="A1:H93"/>
  <sheetViews>
    <sheetView workbookViewId="0">
      <selection activeCell="C14" sqref="C14"/>
    </sheetView>
  </sheetViews>
  <sheetFormatPr defaultColWidth="11.5546875" defaultRowHeight="15.95"/>
  <cols>
    <col min="1" max="1" width="17.109375" bestFit="1" customWidth="1"/>
    <col min="2" max="2" width="19.109375" bestFit="1" customWidth="1"/>
    <col min="3" max="3" width="13.109375" bestFit="1" customWidth="1"/>
    <col min="4" max="4" width="14.77734375" bestFit="1" customWidth="1"/>
    <col min="5" max="5" width="27.44140625" bestFit="1" customWidth="1"/>
    <col min="6" max="6" width="10.6640625" bestFit="1" customWidth="1"/>
    <col min="7" max="7" width="19.44140625" bestFit="1" customWidth="1"/>
    <col min="8" max="8" width="15.109375" bestFit="1" customWidth="1"/>
  </cols>
  <sheetData>
    <row r="1" spans="1:8">
      <c r="A1" s="73" t="s">
        <v>1267</v>
      </c>
      <c r="B1" s="74">
        <v>194.06</v>
      </c>
      <c r="E1" s="5"/>
    </row>
    <row r="2" spans="1:8">
      <c r="A2" s="75" t="s">
        <v>1268</v>
      </c>
      <c r="B2" s="76">
        <v>0.05</v>
      </c>
      <c r="E2" s="5"/>
    </row>
    <row r="3" spans="1:8">
      <c r="A3" s="20" t="s">
        <v>4740</v>
      </c>
      <c r="B3" s="26" t="s">
        <v>4741</v>
      </c>
      <c r="C3" s="21" t="s">
        <v>4742</v>
      </c>
      <c r="D3" s="21" t="s">
        <v>4743</v>
      </c>
      <c r="E3" s="26" t="s">
        <v>4744</v>
      </c>
      <c r="F3" s="21" t="s">
        <v>4745</v>
      </c>
      <c r="G3" s="21" t="s">
        <v>4746</v>
      </c>
      <c r="H3" s="21" t="s">
        <v>4747</v>
      </c>
    </row>
    <row r="4" spans="1:8">
      <c r="A4" s="5" t="s">
        <v>4748</v>
      </c>
      <c r="B4" s="5" t="s">
        <v>3839</v>
      </c>
      <c r="C4" s="5" t="s">
        <v>4749</v>
      </c>
      <c r="D4" s="45">
        <v>190.88</v>
      </c>
      <c r="E4" s="5" t="s">
        <v>4448</v>
      </c>
      <c r="F4" s="28">
        <v>46112</v>
      </c>
      <c r="G4" s="8">
        <v>27</v>
      </c>
      <c r="H4" s="45">
        <v>278457.65000000002</v>
      </c>
    </row>
    <row r="5" spans="1:8">
      <c r="A5" s="5" t="s">
        <v>4750</v>
      </c>
      <c r="B5" s="5" t="s">
        <v>3840</v>
      </c>
      <c r="C5" s="5" t="s">
        <v>4749</v>
      </c>
      <c r="D5" s="45">
        <v>192.35</v>
      </c>
      <c r="E5" s="5" t="s">
        <v>4455</v>
      </c>
      <c r="F5" s="28">
        <v>46112</v>
      </c>
      <c r="G5" s="8">
        <v>38</v>
      </c>
      <c r="H5" s="45">
        <v>434120.49</v>
      </c>
    </row>
    <row r="6" spans="1:8">
      <c r="A6" s="5" t="s">
        <v>4751</v>
      </c>
      <c r="B6" s="5" t="s">
        <v>3841</v>
      </c>
      <c r="C6" s="5" t="s">
        <v>4749</v>
      </c>
      <c r="D6" s="45">
        <v>193.94</v>
      </c>
      <c r="E6" s="5" t="s">
        <v>4456</v>
      </c>
      <c r="F6" s="28">
        <v>46112</v>
      </c>
      <c r="G6" s="8">
        <v>24</v>
      </c>
      <c r="H6" s="45">
        <v>287461.75</v>
      </c>
    </row>
    <row r="7" spans="1:8">
      <c r="A7" s="5" t="s">
        <v>4752</v>
      </c>
      <c r="B7" s="5" t="s">
        <v>3842</v>
      </c>
      <c r="C7" s="5" t="s">
        <v>4749</v>
      </c>
      <c r="D7" s="45">
        <v>195.29</v>
      </c>
      <c r="E7" s="5" t="s">
        <v>4457</v>
      </c>
      <c r="F7" s="28">
        <v>46112</v>
      </c>
      <c r="G7" s="8">
        <v>28</v>
      </c>
      <c r="H7" s="45">
        <v>240017.27</v>
      </c>
    </row>
    <row r="8" spans="1:8">
      <c r="A8" s="5" t="s">
        <v>4753</v>
      </c>
      <c r="B8" s="5" t="s">
        <v>3843</v>
      </c>
      <c r="C8" s="5" t="s">
        <v>4749</v>
      </c>
      <c r="D8" s="45">
        <v>194.86</v>
      </c>
      <c r="E8" s="5" t="s">
        <v>4458</v>
      </c>
      <c r="F8" s="28">
        <v>46112</v>
      </c>
      <c r="G8" s="8">
        <v>35</v>
      </c>
      <c r="H8" s="45">
        <v>374766.44</v>
      </c>
    </row>
    <row r="9" spans="1:8">
      <c r="A9" s="5" t="s">
        <v>4754</v>
      </c>
      <c r="B9" s="5" t="s">
        <v>3844</v>
      </c>
      <c r="C9" s="5" t="s">
        <v>4749</v>
      </c>
      <c r="D9" s="45">
        <v>197.6</v>
      </c>
      <c r="E9" s="5" t="s">
        <v>4459</v>
      </c>
      <c r="F9" s="28">
        <v>46112</v>
      </c>
      <c r="G9" s="8">
        <v>33</v>
      </c>
      <c r="H9" s="45">
        <v>368111.02</v>
      </c>
    </row>
    <row r="10" spans="1:8">
      <c r="A10" s="5" t="s">
        <v>4755</v>
      </c>
      <c r="B10" s="5" t="s">
        <v>3851</v>
      </c>
      <c r="C10" s="5" t="s">
        <v>4749</v>
      </c>
      <c r="D10" s="45">
        <v>198.82</v>
      </c>
      <c r="E10" s="5" t="s">
        <v>4460</v>
      </c>
      <c r="F10" s="28">
        <v>46112</v>
      </c>
      <c r="G10" s="8">
        <v>38</v>
      </c>
      <c r="H10" s="45">
        <v>404725.94</v>
      </c>
    </row>
    <row r="11" spans="1:8">
      <c r="A11" s="5" t="s">
        <v>4756</v>
      </c>
      <c r="B11" s="5" t="s">
        <v>3852</v>
      </c>
      <c r="C11" s="5" t="s">
        <v>4749</v>
      </c>
      <c r="D11" s="45">
        <v>190.68</v>
      </c>
      <c r="E11" s="5" t="s">
        <v>4461</v>
      </c>
      <c r="F11" s="28">
        <v>46112</v>
      </c>
      <c r="G11" s="8">
        <v>25</v>
      </c>
      <c r="H11" s="45">
        <v>474156.33</v>
      </c>
    </row>
    <row r="12" spans="1:8">
      <c r="A12" s="5" t="s">
        <v>4757</v>
      </c>
      <c r="B12" s="5" t="s">
        <v>3853</v>
      </c>
      <c r="C12" s="5" t="s">
        <v>4749</v>
      </c>
      <c r="D12" s="45">
        <v>195.32</v>
      </c>
      <c r="E12" s="5" t="s">
        <v>4535</v>
      </c>
      <c r="F12" s="28">
        <v>46112</v>
      </c>
      <c r="G12" s="8">
        <v>41</v>
      </c>
      <c r="H12" s="45">
        <v>487842.95</v>
      </c>
    </row>
    <row r="13" spans="1:8">
      <c r="A13" s="5" t="s">
        <v>4758</v>
      </c>
      <c r="B13" s="5" t="s">
        <v>3854</v>
      </c>
      <c r="C13" s="5" t="s">
        <v>4749</v>
      </c>
      <c r="D13" s="45">
        <v>190.03</v>
      </c>
      <c r="E13" s="5" t="s">
        <v>4536</v>
      </c>
      <c r="F13" s="28">
        <v>46112</v>
      </c>
      <c r="G13" s="8">
        <v>26</v>
      </c>
      <c r="H13" s="45">
        <v>404456.05</v>
      </c>
    </row>
    <row r="14" spans="1:8">
      <c r="A14" s="5" t="s">
        <v>4759</v>
      </c>
      <c r="B14" s="5" t="s">
        <v>3855</v>
      </c>
      <c r="C14" s="5" t="s">
        <v>4749</v>
      </c>
      <c r="D14" s="45">
        <v>189.21</v>
      </c>
      <c r="E14" s="5" t="s">
        <v>4537</v>
      </c>
      <c r="F14" s="28">
        <v>46112</v>
      </c>
      <c r="G14" s="8">
        <v>47</v>
      </c>
      <c r="H14" s="45">
        <v>404328.53</v>
      </c>
    </row>
    <row r="15" spans="1:8">
      <c r="A15" s="5" t="s">
        <v>4760</v>
      </c>
      <c r="B15" s="5" t="s">
        <v>3856</v>
      </c>
      <c r="C15" s="5" t="s">
        <v>4749</v>
      </c>
      <c r="D15" s="45">
        <v>199.76</v>
      </c>
      <c r="E15" s="5" t="s">
        <v>4538</v>
      </c>
      <c r="F15" s="28">
        <v>46112</v>
      </c>
      <c r="G15" s="8">
        <v>29</v>
      </c>
      <c r="H15" s="45">
        <v>231883.41</v>
      </c>
    </row>
    <row r="16" spans="1:8">
      <c r="A16" s="5" t="s">
        <v>4761</v>
      </c>
      <c r="B16" s="5" t="s">
        <v>3857</v>
      </c>
      <c r="C16" s="5" t="s">
        <v>4749</v>
      </c>
      <c r="D16" s="45">
        <v>192.71</v>
      </c>
      <c r="E16" s="5" t="s">
        <v>4539</v>
      </c>
      <c r="F16" s="28">
        <v>46112</v>
      </c>
      <c r="G16" s="8">
        <v>32</v>
      </c>
      <c r="H16" s="45">
        <v>413775.35</v>
      </c>
    </row>
    <row r="17" spans="1:8">
      <c r="A17" s="5" t="s">
        <v>4762</v>
      </c>
      <c r="B17" s="5" t="s">
        <v>3858</v>
      </c>
      <c r="C17" s="5" t="s">
        <v>4749</v>
      </c>
      <c r="D17" s="45">
        <v>197.36</v>
      </c>
      <c r="E17" s="5" t="s">
        <v>4540</v>
      </c>
      <c r="F17" s="28">
        <v>46112</v>
      </c>
      <c r="G17" s="8">
        <v>43</v>
      </c>
      <c r="H17" s="45">
        <v>391710.26</v>
      </c>
    </row>
    <row r="18" spans="1:8">
      <c r="A18" s="5" t="s">
        <v>4763</v>
      </c>
      <c r="B18" s="5" t="s">
        <v>3859</v>
      </c>
      <c r="C18" s="5" t="s">
        <v>4749</v>
      </c>
      <c r="D18" s="45">
        <v>192.59</v>
      </c>
      <c r="E18" s="5" t="s">
        <v>4541</v>
      </c>
      <c r="F18" s="28">
        <v>46112</v>
      </c>
      <c r="G18" s="8">
        <v>45</v>
      </c>
      <c r="H18" s="45">
        <v>195773.51</v>
      </c>
    </row>
    <row r="19" spans="1:8">
      <c r="A19" s="5" t="s">
        <v>4764</v>
      </c>
      <c r="B19" s="5" t="s">
        <v>3860</v>
      </c>
      <c r="C19" s="5" t="s">
        <v>4749</v>
      </c>
      <c r="D19" s="45">
        <v>191.36</v>
      </c>
      <c r="E19" s="5" t="s">
        <v>4542</v>
      </c>
      <c r="F19" s="28">
        <v>46112</v>
      </c>
      <c r="G19" s="8">
        <v>39</v>
      </c>
      <c r="H19" s="45">
        <v>282150.75</v>
      </c>
    </row>
    <row r="20" spans="1:8">
      <c r="A20" s="5" t="s">
        <v>4765</v>
      </c>
      <c r="B20" s="5" t="s">
        <v>3861</v>
      </c>
      <c r="C20" s="5" t="s">
        <v>4749</v>
      </c>
      <c r="D20" s="45">
        <v>187.51</v>
      </c>
      <c r="E20" s="5" t="s">
        <v>4603</v>
      </c>
      <c r="F20" s="28">
        <v>46112</v>
      </c>
      <c r="G20" s="8">
        <v>56</v>
      </c>
      <c r="H20" s="45">
        <v>210524.98</v>
      </c>
    </row>
    <row r="21" spans="1:8">
      <c r="A21" s="5" t="s">
        <v>4766</v>
      </c>
      <c r="B21" s="5" t="s">
        <v>3862</v>
      </c>
      <c r="C21" s="5" t="s">
        <v>4749</v>
      </c>
      <c r="D21" s="45">
        <v>192.28</v>
      </c>
      <c r="E21" s="5" t="s">
        <v>4604</v>
      </c>
      <c r="F21" s="28">
        <v>46112</v>
      </c>
      <c r="G21" s="8">
        <v>37</v>
      </c>
      <c r="H21" s="45">
        <v>415017.15</v>
      </c>
    </row>
    <row r="22" spans="1:8">
      <c r="A22" s="5" t="s">
        <v>4767</v>
      </c>
      <c r="B22" s="5" t="s">
        <v>3863</v>
      </c>
      <c r="C22" s="5" t="s">
        <v>4749</v>
      </c>
      <c r="D22" s="45">
        <v>185.79</v>
      </c>
      <c r="E22" s="5" t="s">
        <v>4605</v>
      </c>
      <c r="F22" s="28">
        <v>46112</v>
      </c>
      <c r="G22" s="8">
        <v>27</v>
      </c>
      <c r="H22" s="45">
        <v>191471.46</v>
      </c>
    </row>
    <row r="23" spans="1:8">
      <c r="A23" s="5" t="s">
        <v>4768</v>
      </c>
      <c r="B23" s="5" t="s">
        <v>3864</v>
      </c>
      <c r="C23" s="5" t="s">
        <v>4749</v>
      </c>
      <c r="D23" s="45">
        <v>194.9</v>
      </c>
      <c r="E23" s="5" t="s">
        <v>4606</v>
      </c>
      <c r="F23" s="28">
        <v>46112</v>
      </c>
      <c r="G23" s="8">
        <v>26</v>
      </c>
      <c r="H23" s="45">
        <v>485472.51</v>
      </c>
    </row>
    <row r="24" spans="1:8">
      <c r="A24" s="5" t="s">
        <v>4769</v>
      </c>
      <c r="B24" s="5" t="s">
        <v>3865</v>
      </c>
      <c r="C24" s="5" t="s">
        <v>4749</v>
      </c>
      <c r="D24" s="45">
        <v>190.79</v>
      </c>
      <c r="E24" s="5" t="s">
        <v>4607</v>
      </c>
      <c r="F24" s="28">
        <v>46112</v>
      </c>
      <c r="G24" s="8">
        <v>33</v>
      </c>
      <c r="H24" s="45">
        <v>356477.76</v>
      </c>
    </row>
    <row r="25" spans="1:8">
      <c r="A25" s="5" t="s">
        <v>4770</v>
      </c>
      <c r="B25" s="5" t="s">
        <v>3866</v>
      </c>
      <c r="C25" s="5" t="s">
        <v>4749</v>
      </c>
      <c r="D25" s="45">
        <v>190.69</v>
      </c>
      <c r="E25" s="5" t="s">
        <v>4608</v>
      </c>
      <c r="F25" s="28">
        <v>46112</v>
      </c>
      <c r="G25" s="8">
        <v>50</v>
      </c>
      <c r="H25" s="45">
        <v>474955.4</v>
      </c>
    </row>
    <row r="26" spans="1:8">
      <c r="A26" s="5" t="s">
        <v>4771</v>
      </c>
      <c r="B26" s="5" t="s">
        <v>3867</v>
      </c>
      <c r="C26" s="5" t="s">
        <v>4749</v>
      </c>
      <c r="D26" s="45">
        <v>186.77</v>
      </c>
      <c r="E26" s="5" t="s">
        <v>4609</v>
      </c>
      <c r="F26" s="28">
        <v>46112</v>
      </c>
      <c r="G26" s="8">
        <v>41</v>
      </c>
      <c r="H26" s="45">
        <v>298185.78000000003</v>
      </c>
    </row>
    <row r="27" spans="1:8">
      <c r="A27" s="5" t="s">
        <v>4772</v>
      </c>
      <c r="B27" s="5" t="s">
        <v>3868</v>
      </c>
      <c r="C27" s="5" t="s">
        <v>4749</v>
      </c>
      <c r="D27" s="45">
        <v>194.14</v>
      </c>
      <c r="E27" s="5" t="s">
        <v>4610</v>
      </c>
      <c r="F27" s="28">
        <v>46112</v>
      </c>
      <c r="G27" s="8">
        <v>34</v>
      </c>
      <c r="H27" s="45">
        <v>344278.17</v>
      </c>
    </row>
    <row r="28" spans="1:8">
      <c r="A28" s="5" t="s">
        <v>4773</v>
      </c>
      <c r="B28" s="5" t="s">
        <v>3869</v>
      </c>
      <c r="C28" s="5" t="s">
        <v>4749</v>
      </c>
      <c r="D28" s="45">
        <v>189.87</v>
      </c>
      <c r="E28" s="5" t="s">
        <v>4462</v>
      </c>
      <c r="F28" s="28">
        <v>46112</v>
      </c>
      <c r="G28" s="8">
        <v>25</v>
      </c>
      <c r="H28" s="45">
        <v>177222.76</v>
      </c>
    </row>
    <row r="29" spans="1:8">
      <c r="A29" s="5" t="s">
        <v>4774</v>
      </c>
      <c r="B29" s="5" t="s">
        <v>3870</v>
      </c>
      <c r="C29" s="5" t="s">
        <v>4749</v>
      </c>
      <c r="D29" s="45">
        <v>192.55</v>
      </c>
      <c r="E29" s="5" t="s">
        <v>4469</v>
      </c>
      <c r="F29" s="28">
        <v>46112</v>
      </c>
      <c r="G29" s="8">
        <v>51</v>
      </c>
      <c r="H29" s="45">
        <v>235167.09</v>
      </c>
    </row>
    <row r="30" spans="1:8">
      <c r="A30" s="5" t="s">
        <v>4775</v>
      </c>
      <c r="B30" s="5" t="s">
        <v>3871</v>
      </c>
      <c r="C30" s="5" t="s">
        <v>4749</v>
      </c>
      <c r="D30" s="45">
        <v>196.8</v>
      </c>
      <c r="E30" s="5" t="s">
        <v>4470</v>
      </c>
      <c r="F30" s="28">
        <v>46112</v>
      </c>
      <c r="G30" s="8">
        <v>25</v>
      </c>
      <c r="H30" s="45">
        <v>202707.94</v>
      </c>
    </row>
    <row r="31" spans="1:8">
      <c r="A31" s="5" t="s">
        <v>4776</v>
      </c>
      <c r="B31" s="5" t="s">
        <v>3872</v>
      </c>
      <c r="C31" s="5" t="s">
        <v>4749</v>
      </c>
      <c r="D31" s="45">
        <v>196.48</v>
      </c>
      <c r="E31" s="5" t="s">
        <v>4471</v>
      </c>
      <c r="F31" s="28">
        <v>46112</v>
      </c>
      <c r="G31" s="8">
        <v>52</v>
      </c>
      <c r="H31" s="45">
        <v>397738.39</v>
      </c>
    </row>
    <row r="32" spans="1:8">
      <c r="A32" s="5" t="s">
        <v>4777</v>
      </c>
      <c r="B32" s="5" t="s">
        <v>3873</v>
      </c>
      <c r="C32" s="5" t="s">
        <v>4749</v>
      </c>
      <c r="D32" s="45">
        <v>195.83</v>
      </c>
      <c r="E32" s="5" t="s">
        <v>4472</v>
      </c>
      <c r="F32" s="28">
        <v>46112</v>
      </c>
      <c r="G32" s="8">
        <v>43</v>
      </c>
      <c r="H32" s="45">
        <v>285126.52</v>
      </c>
    </row>
    <row r="33" spans="1:8">
      <c r="A33" s="5" t="s">
        <v>4778</v>
      </c>
      <c r="B33" s="5" t="s">
        <v>3874</v>
      </c>
      <c r="C33" s="5" t="s">
        <v>4749</v>
      </c>
      <c r="D33" s="45">
        <v>195.81</v>
      </c>
      <c r="E33" s="5" t="s">
        <v>4474</v>
      </c>
      <c r="F33" s="28">
        <v>46112</v>
      </c>
      <c r="G33" s="8">
        <v>38</v>
      </c>
      <c r="H33" s="45">
        <v>300926.68</v>
      </c>
    </row>
    <row r="34" spans="1:8">
      <c r="A34" s="5" t="s">
        <v>4779</v>
      </c>
      <c r="B34" s="5" t="s">
        <v>3875</v>
      </c>
      <c r="C34" s="5" t="s">
        <v>4749</v>
      </c>
      <c r="D34" s="45">
        <v>193.33</v>
      </c>
      <c r="E34" s="5" t="s">
        <v>4475</v>
      </c>
      <c r="F34" s="28">
        <v>46112</v>
      </c>
      <c r="G34" s="8">
        <v>48</v>
      </c>
      <c r="H34" s="45">
        <v>210457.1</v>
      </c>
    </row>
    <row r="35" spans="1:8">
      <c r="A35" s="5" t="s">
        <v>4780</v>
      </c>
      <c r="B35" s="5" t="s">
        <v>3876</v>
      </c>
      <c r="C35" s="5" t="s">
        <v>4749</v>
      </c>
      <c r="D35" s="45">
        <v>190.2</v>
      </c>
      <c r="E35" s="5" t="s">
        <v>4476</v>
      </c>
      <c r="F35" s="28">
        <v>46112</v>
      </c>
      <c r="G35" s="8">
        <v>56</v>
      </c>
      <c r="H35" s="45">
        <v>322012.40000000002</v>
      </c>
    </row>
    <row r="36" spans="1:8">
      <c r="A36" s="5" t="s">
        <v>4781</v>
      </c>
      <c r="B36" s="5" t="s">
        <v>3877</v>
      </c>
      <c r="C36" s="5" t="s">
        <v>4749</v>
      </c>
      <c r="D36" s="45">
        <v>192.17</v>
      </c>
      <c r="E36" s="5" t="s">
        <v>4477</v>
      </c>
      <c r="F36" s="28">
        <v>46112</v>
      </c>
      <c r="G36" s="8">
        <v>30</v>
      </c>
      <c r="H36" s="45">
        <v>221598.91</v>
      </c>
    </row>
    <row r="37" spans="1:8">
      <c r="A37" s="5" t="s">
        <v>4782</v>
      </c>
      <c r="B37" s="5" t="s">
        <v>3878</v>
      </c>
      <c r="C37" s="5" t="s">
        <v>4749</v>
      </c>
      <c r="D37" s="45">
        <v>192.62</v>
      </c>
      <c r="E37" s="5" t="s">
        <v>4479</v>
      </c>
      <c r="F37" s="28">
        <v>46112</v>
      </c>
      <c r="G37" s="8">
        <v>35</v>
      </c>
      <c r="H37" s="45">
        <v>455688.84</v>
      </c>
    </row>
    <row r="38" spans="1:8">
      <c r="A38" s="5" t="s">
        <v>4783</v>
      </c>
      <c r="B38" s="5" t="s">
        <v>3879</v>
      </c>
      <c r="C38" s="5" t="s">
        <v>4749</v>
      </c>
      <c r="D38" s="45">
        <v>193.08</v>
      </c>
      <c r="E38" s="5" t="s">
        <v>4480</v>
      </c>
      <c r="F38" s="28">
        <v>46112</v>
      </c>
      <c r="G38" s="8">
        <v>32</v>
      </c>
      <c r="H38" s="45">
        <v>391207.11</v>
      </c>
    </row>
    <row r="39" spans="1:8">
      <c r="A39" s="5" t="s">
        <v>4784</v>
      </c>
      <c r="B39" s="5" t="s">
        <v>3880</v>
      </c>
      <c r="C39" s="5" t="s">
        <v>4749</v>
      </c>
      <c r="D39" s="45">
        <v>196.11</v>
      </c>
      <c r="E39" s="5" t="s">
        <v>4481</v>
      </c>
      <c r="F39" s="28">
        <v>46112</v>
      </c>
      <c r="G39" s="8">
        <v>46</v>
      </c>
      <c r="H39" s="45">
        <v>463592.27</v>
      </c>
    </row>
    <row r="40" spans="1:8">
      <c r="A40" s="5" t="s">
        <v>4785</v>
      </c>
      <c r="B40" s="5" t="s">
        <v>3881</v>
      </c>
      <c r="C40" s="5" t="s">
        <v>4749</v>
      </c>
      <c r="D40" s="45">
        <v>191.26</v>
      </c>
      <c r="E40" s="5" t="s">
        <v>4482</v>
      </c>
      <c r="F40" s="28">
        <v>46112</v>
      </c>
      <c r="G40" s="8">
        <v>28</v>
      </c>
      <c r="H40" s="45">
        <v>436690.57</v>
      </c>
    </row>
    <row r="41" spans="1:8">
      <c r="A41" s="5" t="s">
        <v>4786</v>
      </c>
      <c r="B41" s="5" t="s">
        <v>3882</v>
      </c>
      <c r="C41" s="5" t="s">
        <v>4749</v>
      </c>
      <c r="D41" s="45">
        <v>192.34</v>
      </c>
      <c r="E41" s="5" t="s">
        <v>4483</v>
      </c>
      <c r="F41" s="28">
        <v>46112</v>
      </c>
      <c r="G41" s="8">
        <v>25</v>
      </c>
      <c r="H41" s="45">
        <v>426392.78</v>
      </c>
    </row>
    <row r="42" spans="1:8">
      <c r="A42" s="5" t="s">
        <v>4787</v>
      </c>
      <c r="B42" s="5" t="s">
        <v>3883</v>
      </c>
      <c r="C42" s="5" t="s">
        <v>4749</v>
      </c>
      <c r="D42" s="45">
        <v>195.01</v>
      </c>
      <c r="E42" s="5" t="s">
        <v>4484</v>
      </c>
      <c r="F42" s="28">
        <v>46112</v>
      </c>
      <c r="G42" s="8">
        <v>29</v>
      </c>
      <c r="H42" s="45">
        <v>457382.3</v>
      </c>
    </row>
    <row r="43" spans="1:8">
      <c r="A43" s="5" t="s">
        <v>4788</v>
      </c>
      <c r="B43" s="5" t="s">
        <v>3884</v>
      </c>
      <c r="C43" s="5" t="s">
        <v>4749</v>
      </c>
      <c r="D43" s="45">
        <v>196.48</v>
      </c>
      <c r="E43" s="5" t="s">
        <v>4485</v>
      </c>
      <c r="F43" s="28">
        <v>46112</v>
      </c>
      <c r="G43" s="8">
        <v>31</v>
      </c>
      <c r="H43" s="45">
        <v>322553.36</v>
      </c>
    </row>
    <row r="44" spans="1:8">
      <c r="A44" s="5" t="s">
        <v>4789</v>
      </c>
      <c r="B44" s="5" t="s">
        <v>3885</v>
      </c>
      <c r="C44" s="5" t="s">
        <v>4749</v>
      </c>
      <c r="D44" s="45">
        <v>195.83</v>
      </c>
      <c r="E44" s="5" t="s">
        <v>4486</v>
      </c>
      <c r="F44" s="28">
        <v>46112</v>
      </c>
      <c r="G44" s="8">
        <v>32</v>
      </c>
      <c r="H44" s="45">
        <v>388763.67</v>
      </c>
    </row>
    <row r="45" spans="1:8">
      <c r="A45" s="5" t="s">
        <v>4790</v>
      </c>
      <c r="B45" s="5" t="s">
        <v>3886</v>
      </c>
      <c r="C45" s="5" t="s">
        <v>4749</v>
      </c>
      <c r="D45" s="45">
        <v>196.59</v>
      </c>
      <c r="E45" s="5" t="s">
        <v>4487</v>
      </c>
      <c r="F45" s="28">
        <v>46112</v>
      </c>
      <c r="G45" s="8">
        <v>32</v>
      </c>
      <c r="H45" s="45">
        <v>207402.45</v>
      </c>
    </row>
    <row r="46" spans="1:8">
      <c r="A46" s="5" t="s">
        <v>4791</v>
      </c>
      <c r="B46" s="5" t="s">
        <v>3887</v>
      </c>
      <c r="C46" s="5" t="s">
        <v>4749</v>
      </c>
      <c r="D46" s="45">
        <v>193.73</v>
      </c>
      <c r="E46" s="5" t="s">
        <v>4488</v>
      </c>
      <c r="F46" s="28">
        <v>46112</v>
      </c>
      <c r="G46" s="8">
        <v>40</v>
      </c>
      <c r="H46" s="45">
        <v>338421.13</v>
      </c>
    </row>
    <row r="47" spans="1:8">
      <c r="A47" s="5" t="s">
        <v>4792</v>
      </c>
      <c r="B47" s="5" t="s">
        <v>3888</v>
      </c>
      <c r="C47" s="5" t="s">
        <v>4749</v>
      </c>
      <c r="D47" s="45">
        <v>198.21</v>
      </c>
      <c r="E47" s="5" t="s">
        <v>4489</v>
      </c>
      <c r="F47" s="28">
        <v>46112</v>
      </c>
      <c r="G47" s="8">
        <v>34</v>
      </c>
      <c r="H47" s="45">
        <v>452295.4</v>
      </c>
    </row>
    <row r="48" spans="1:8">
      <c r="A48" s="5" t="s">
        <v>4793</v>
      </c>
      <c r="B48" s="5" t="s">
        <v>3889</v>
      </c>
      <c r="C48" s="5" t="s">
        <v>4749</v>
      </c>
      <c r="D48" s="45">
        <v>198.98</v>
      </c>
      <c r="E48" s="5" t="s">
        <v>4490</v>
      </c>
      <c r="F48" s="28">
        <v>46112</v>
      </c>
      <c r="G48" s="8">
        <v>50</v>
      </c>
      <c r="H48" s="45">
        <v>240751.87</v>
      </c>
    </row>
    <row r="49" spans="1:8">
      <c r="A49" s="5" t="s">
        <v>4794</v>
      </c>
      <c r="B49" s="5" t="s">
        <v>3890</v>
      </c>
      <c r="C49" s="5" t="s">
        <v>4749</v>
      </c>
      <c r="D49" s="45">
        <v>188.41</v>
      </c>
      <c r="E49" s="5" t="s">
        <v>4491</v>
      </c>
      <c r="F49" s="28">
        <v>46112</v>
      </c>
      <c r="G49" s="8">
        <v>44</v>
      </c>
      <c r="H49" s="45">
        <v>376567.53</v>
      </c>
    </row>
    <row r="50" spans="1:8">
      <c r="A50" s="5" t="s">
        <v>4795</v>
      </c>
      <c r="B50" s="5" t="s">
        <v>3891</v>
      </c>
      <c r="C50" s="5" t="s">
        <v>4749</v>
      </c>
      <c r="D50" s="45">
        <v>192.9</v>
      </c>
      <c r="E50" s="5" t="s">
        <v>4492</v>
      </c>
      <c r="F50" s="28">
        <v>46112</v>
      </c>
      <c r="G50" s="8">
        <v>31</v>
      </c>
      <c r="H50" s="45">
        <v>178775.86</v>
      </c>
    </row>
    <row r="51" spans="1:8">
      <c r="A51" s="5" t="s">
        <v>4796</v>
      </c>
      <c r="B51" s="5" t="s">
        <v>3892</v>
      </c>
      <c r="C51" s="5" t="s">
        <v>4749</v>
      </c>
      <c r="D51" s="45">
        <v>193.69</v>
      </c>
      <c r="E51" s="5" t="s">
        <v>4493</v>
      </c>
      <c r="F51" s="28">
        <v>46112</v>
      </c>
      <c r="G51" s="8">
        <v>40</v>
      </c>
      <c r="H51" s="45">
        <v>476570.37</v>
      </c>
    </row>
    <row r="52" spans="1:8">
      <c r="A52" s="5" t="s">
        <v>4797</v>
      </c>
      <c r="B52" s="5" t="s">
        <v>3893</v>
      </c>
      <c r="C52" s="5" t="s">
        <v>4749</v>
      </c>
      <c r="D52" s="45">
        <v>190.33</v>
      </c>
      <c r="E52" s="5" t="s">
        <v>4494</v>
      </c>
      <c r="F52" s="28">
        <v>46112</v>
      </c>
      <c r="G52" s="8">
        <v>33</v>
      </c>
      <c r="H52" s="45">
        <v>186144.64000000001</v>
      </c>
    </row>
    <row r="53" spans="1:8">
      <c r="A53" s="5" t="s">
        <v>4798</v>
      </c>
      <c r="B53" s="5" t="s">
        <v>3894</v>
      </c>
      <c r="C53" s="5" t="s">
        <v>4749</v>
      </c>
      <c r="D53" s="45">
        <v>198.27</v>
      </c>
      <c r="E53" s="5" t="s">
        <v>4495</v>
      </c>
      <c r="F53" s="28">
        <v>46112</v>
      </c>
      <c r="G53" s="8">
        <v>25</v>
      </c>
      <c r="H53" s="45">
        <v>302520.37</v>
      </c>
    </row>
    <row r="54" spans="1:8">
      <c r="A54" s="5" t="s">
        <v>4799</v>
      </c>
      <c r="B54" s="5" t="s">
        <v>3895</v>
      </c>
      <c r="C54" s="5" t="s">
        <v>4749</v>
      </c>
      <c r="D54" s="45">
        <v>195.71</v>
      </c>
      <c r="E54" s="5" t="s">
        <v>4496</v>
      </c>
      <c r="F54" s="28">
        <v>46112</v>
      </c>
      <c r="G54" s="8">
        <v>50</v>
      </c>
      <c r="H54" s="45">
        <v>220257.91</v>
      </c>
    </row>
    <row r="55" spans="1:8">
      <c r="A55" s="5" t="s">
        <v>4800</v>
      </c>
      <c r="B55" s="5" t="s">
        <v>3896</v>
      </c>
      <c r="C55" s="5" t="s">
        <v>4749</v>
      </c>
      <c r="D55" s="45">
        <v>196.23</v>
      </c>
      <c r="E55" s="5" t="s">
        <v>4497</v>
      </c>
      <c r="F55" s="28">
        <v>46112</v>
      </c>
      <c r="G55" s="8">
        <v>31</v>
      </c>
      <c r="H55" s="45">
        <v>365184.03</v>
      </c>
    </row>
    <row r="56" spans="1:8">
      <c r="A56" s="5" t="s">
        <v>4801</v>
      </c>
      <c r="B56" s="5" t="s">
        <v>3897</v>
      </c>
      <c r="C56" s="5" t="s">
        <v>4749</v>
      </c>
      <c r="D56" s="45">
        <v>189.85</v>
      </c>
      <c r="E56" s="5" t="s">
        <v>4498</v>
      </c>
      <c r="F56" s="28">
        <v>46112</v>
      </c>
      <c r="G56" s="8">
        <v>26</v>
      </c>
      <c r="H56" s="45">
        <v>255046.39</v>
      </c>
    </row>
    <row r="57" spans="1:8">
      <c r="A57" s="5" t="s">
        <v>4802</v>
      </c>
      <c r="B57" s="5" t="s">
        <v>3898</v>
      </c>
      <c r="C57" s="5" t="s">
        <v>4749</v>
      </c>
      <c r="D57" s="45">
        <v>194.84</v>
      </c>
      <c r="E57" s="5" t="s">
        <v>4499</v>
      </c>
      <c r="F57" s="28">
        <v>46112</v>
      </c>
      <c r="G57" s="8">
        <v>31</v>
      </c>
      <c r="H57" s="45">
        <v>214540.27</v>
      </c>
    </row>
    <row r="58" spans="1:8">
      <c r="A58" s="5" t="s">
        <v>4803</v>
      </c>
      <c r="B58" s="5" t="s">
        <v>3899</v>
      </c>
      <c r="C58" s="5" t="s">
        <v>4749</v>
      </c>
      <c r="D58" s="45">
        <v>187.09</v>
      </c>
      <c r="E58" s="5" t="s">
        <v>4500</v>
      </c>
      <c r="F58" s="28">
        <v>46112</v>
      </c>
      <c r="G58" s="8">
        <v>45</v>
      </c>
      <c r="H58" s="45">
        <v>337635.71</v>
      </c>
    </row>
    <row r="59" spans="1:8">
      <c r="A59" s="5" t="s">
        <v>4804</v>
      </c>
      <c r="B59" s="5" t="s">
        <v>3900</v>
      </c>
      <c r="C59" s="5" t="s">
        <v>4749</v>
      </c>
      <c r="D59" s="45">
        <v>195.44</v>
      </c>
      <c r="E59" s="5" t="s">
        <v>4502</v>
      </c>
      <c r="F59" s="28">
        <v>46112</v>
      </c>
      <c r="G59" s="8">
        <v>27</v>
      </c>
      <c r="H59" s="45">
        <v>343397.85</v>
      </c>
    </row>
    <row r="60" spans="1:8">
      <c r="A60" s="5" t="s">
        <v>4805</v>
      </c>
      <c r="B60" s="5" t="s">
        <v>3901</v>
      </c>
      <c r="C60" s="5" t="s">
        <v>4749</v>
      </c>
      <c r="D60" s="45">
        <v>191.82</v>
      </c>
      <c r="E60" s="5" t="s">
        <v>4503</v>
      </c>
      <c r="F60" s="28">
        <v>46112</v>
      </c>
      <c r="G60" s="8">
        <v>38</v>
      </c>
      <c r="H60" s="45">
        <v>186447.12</v>
      </c>
    </row>
    <row r="61" spans="1:8">
      <c r="A61" s="5" t="s">
        <v>4806</v>
      </c>
      <c r="B61" s="5" t="s">
        <v>3902</v>
      </c>
      <c r="C61" s="5" t="s">
        <v>4749</v>
      </c>
      <c r="D61" s="45">
        <v>196.77</v>
      </c>
      <c r="E61" s="5" t="s">
        <v>4504</v>
      </c>
      <c r="F61" s="28">
        <v>46112</v>
      </c>
      <c r="G61" s="8">
        <v>42</v>
      </c>
      <c r="H61" s="45">
        <v>303574.78999999998</v>
      </c>
    </row>
    <row r="62" spans="1:8">
      <c r="A62" s="5" t="s">
        <v>4807</v>
      </c>
      <c r="B62" s="5" t="s">
        <v>3903</v>
      </c>
      <c r="C62" s="5" t="s">
        <v>4749</v>
      </c>
      <c r="D62" s="45">
        <v>199.62</v>
      </c>
      <c r="E62" s="5" t="s">
        <v>4505</v>
      </c>
      <c r="F62" s="28">
        <v>46112</v>
      </c>
      <c r="G62" s="8">
        <v>48</v>
      </c>
      <c r="H62" s="45">
        <v>181270.93</v>
      </c>
    </row>
    <row r="63" spans="1:8">
      <c r="A63" s="5" t="s">
        <v>4808</v>
      </c>
      <c r="B63" s="5" t="s">
        <v>3904</v>
      </c>
      <c r="C63" s="5" t="s">
        <v>4749</v>
      </c>
      <c r="D63" s="45">
        <v>193.3</v>
      </c>
      <c r="E63" s="5" t="s">
        <v>4506</v>
      </c>
      <c r="F63" s="28">
        <v>46112</v>
      </c>
      <c r="G63" s="8">
        <v>25</v>
      </c>
      <c r="H63" s="45">
        <v>338429.64</v>
      </c>
    </row>
    <row r="64" spans="1:8">
      <c r="A64" s="5" t="s">
        <v>4809</v>
      </c>
      <c r="B64" s="5" t="s">
        <v>3905</v>
      </c>
      <c r="C64" s="5" t="s">
        <v>4749</v>
      </c>
      <c r="D64" s="45">
        <v>196.47</v>
      </c>
      <c r="E64" s="5" t="s">
        <v>4507</v>
      </c>
      <c r="F64" s="28">
        <v>46112</v>
      </c>
      <c r="G64" s="8">
        <v>42</v>
      </c>
      <c r="H64" s="45">
        <v>200786.45</v>
      </c>
    </row>
    <row r="65" spans="1:8">
      <c r="A65" s="5" t="s">
        <v>4810</v>
      </c>
      <c r="B65" s="5" t="s">
        <v>3906</v>
      </c>
      <c r="C65" s="5" t="s">
        <v>4749</v>
      </c>
      <c r="D65" s="45">
        <v>192.83</v>
      </c>
      <c r="E65" s="5" t="s">
        <v>4508</v>
      </c>
      <c r="F65" s="28">
        <v>46112</v>
      </c>
      <c r="G65" s="8">
        <v>34</v>
      </c>
      <c r="H65" s="45">
        <v>388789.63</v>
      </c>
    </row>
    <row r="66" spans="1:8">
      <c r="A66" s="5" t="s">
        <v>4811</v>
      </c>
      <c r="B66" s="5" t="s">
        <v>3907</v>
      </c>
      <c r="C66" s="5" t="s">
        <v>4749</v>
      </c>
      <c r="D66" s="45">
        <v>190.77</v>
      </c>
      <c r="E66" s="5" t="s">
        <v>4509</v>
      </c>
      <c r="F66" s="28">
        <v>46112</v>
      </c>
      <c r="G66" s="8">
        <v>47</v>
      </c>
      <c r="H66" s="45">
        <v>220234.43</v>
      </c>
    </row>
    <row r="67" spans="1:8">
      <c r="A67" s="5" t="s">
        <v>4812</v>
      </c>
      <c r="B67" s="5" t="s">
        <v>3908</v>
      </c>
      <c r="C67" s="5" t="s">
        <v>4749</v>
      </c>
      <c r="D67" s="45">
        <v>197.54</v>
      </c>
      <c r="E67" s="5" t="s">
        <v>4510</v>
      </c>
      <c r="F67" s="28">
        <v>46112</v>
      </c>
      <c r="G67" s="8">
        <v>28</v>
      </c>
      <c r="H67" s="45">
        <v>206980.44</v>
      </c>
    </row>
    <row r="68" spans="1:8">
      <c r="A68" s="5" t="s">
        <v>4813</v>
      </c>
      <c r="B68" s="5" t="s">
        <v>3909</v>
      </c>
      <c r="C68" s="5" t="s">
        <v>4749</v>
      </c>
      <c r="D68" s="45">
        <v>198.54</v>
      </c>
      <c r="E68" s="5" t="s">
        <v>4671</v>
      </c>
      <c r="F68" s="28">
        <v>46112</v>
      </c>
      <c r="G68" s="8">
        <v>30</v>
      </c>
      <c r="H68" s="45">
        <v>214627.7</v>
      </c>
    </row>
    <row r="69" spans="1:8">
      <c r="A69" s="5" t="s">
        <v>4814</v>
      </c>
      <c r="B69" s="5" t="s">
        <v>4239</v>
      </c>
      <c r="C69" s="5" t="s">
        <v>4815</v>
      </c>
      <c r="D69" s="45">
        <v>191.53</v>
      </c>
      <c r="E69" s="5" t="s">
        <v>4816</v>
      </c>
      <c r="F69" s="28">
        <v>46112</v>
      </c>
      <c r="G69" s="8">
        <v>30</v>
      </c>
      <c r="H69" s="45">
        <v>261149.24</v>
      </c>
    </row>
    <row r="70" spans="1:8">
      <c r="A70" s="5" t="s">
        <v>4817</v>
      </c>
      <c r="B70" s="5" t="s">
        <v>4240</v>
      </c>
      <c r="C70" s="5" t="s">
        <v>4815</v>
      </c>
      <c r="D70" s="45">
        <v>191.29</v>
      </c>
      <c r="E70" s="5" t="s">
        <v>4818</v>
      </c>
      <c r="F70" s="28">
        <v>46112</v>
      </c>
      <c r="G70" s="8">
        <v>34</v>
      </c>
      <c r="H70" s="45">
        <v>271463.46000000002</v>
      </c>
    </row>
    <row r="71" spans="1:8">
      <c r="A71" s="5" t="s">
        <v>4819</v>
      </c>
      <c r="B71" s="5" t="s">
        <v>4241</v>
      </c>
      <c r="C71" s="5" t="s">
        <v>4815</v>
      </c>
      <c r="D71" s="45">
        <v>200.4</v>
      </c>
      <c r="E71" s="5" t="s">
        <v>4676</v>
      </c>
      <c r="F71" s="28">
        <v>46112</v>
      </c>
      <c r="G71" s="8">
        <v>34</v>
      </c>
      <c r="H71" s="45">
        <v>193005.24</v>
      </c>
    </row>
    <row r="72" spans="1:8">
      <c r="A72" s="5" t="s">
        <v>4820</v>
      </c>
      <c r="B72" s="5" t="s">
        <v>4242</v>
      </c>
      <c r="C72" s="5" t="s">
        <v>4815</v>
      </c>
      <c r="D72" s="45">
        <v>195.88</v>
      </c>
      <c r="E72" s="5" t="s">
        <v>4821</v>
      </c>
      <c r="F72" s="28">
        <v>46112</v>
      </c>
      <c r="G72" s="8">
        <v>25</v>
      </c>
      <c r="H72" s="45">
        <v>219320.95999999999</v>
      </c>
    </row>
    <row r="73" spans="1:8">
      <c r="A73" s="5" t="s">
        <v>4822</v>
      </c>
      <c r="B73" s="5" t="s">
        <v>4247</v>
      </c>
      <c r="C73" s="5" t="s">
        <v>4815</v>
      </c>
      <c r="D73" s="45">
        <v>191.58</v>
      </c>
      <c r="E73" s="5" t="s">
        <v>4823</v>
      </c>
      <c r="F73" s="28">
        <v>46112</v>
      </c>
      <c r="G73" s="8">
        <v>47</v>
      </c>
      <c r="H73" s="45">
        <v>177860.96</v>
      </c>
    </row>
    <row r="74" spans="1:8">
      <c r="A74" s="5" t="s">
        <v>4824</v>
      </c>
      <c r="B74" s="5" t="s">
        <v>4248</v>
      </c>
      <c r="C74" s="5" t="s">
        <v>4815</v>
      </c>
      <c r="D74" s="45">
        <v>188.34</v>
      </c>
      <c r="E74" s="5" t="s">
        <v>4825</v>
      </c>
      <c r="F74" s="28">
        <v>46112</v>
      </c>
      <c r="G74" s="8">
        <v>33</v>
      </c>
      <c r="H74" s="45">
        <v>215875.31</v>
      </c>
    </row>
    <row r="75" spans="1:8">
      <c r="A75" s="5" t="s">
        <v>4826</v>
      </c>
      <c r="B75" s="5" t="s">
        <v>4249</v>
      </c>
      <c r="C75" s="5" t="s">
        <v>4815</v>
      </c>
      <c r="D75" s="45">
        <v>193.44</v>
      </c>
      <c r="E75" s="5" t="s">
        <v>4674</v>
      </c>
      <c r="F75" s="28">
        <v>46112</v>
      </c>
      <c r="G75" s="8">
        <v>31</v>
      </c>
      <c r="H75" s="45">
        <v>211039.17</v>
      </c>
    </row>
    <row r="76" spans="1:8">
      <c r="A76" s="5" t="s">
        <v>4827</v>
      </c>
      <c r="B76" s="5" t="s">
        <v>4250</v>
      </c>
      <c r="C76" s="5" t="s">
        <v>4815</v>
      </c>
      <c r="D76" s="45">
        <v>192.98</v>
      </c>
      <c r="E76" s="5" t="s">
        <v>4828</v>
      </c>
      <c r="F76" s="28">
        <v>46112</v>
      </c>
      <c r="G76" s="8">
        <v>39</v>
      </c>
      <c r="H76" s="45">
        <v>227633.42</v>
      </c>
    </row>
    <row r="77" spans="1:8">
      <c r="A77" s="5" t="s">
        <v>4829</v>
      </c>
      <c r="B77" s="5" t="s">
        <v>4251</v>
      </c>
      <c r="C77" s="5" t="s">
        <v>4815</v>
      </c>
      <c r="D77" s="45">
        <v>196.09</v>
      </c>
      <c r="E77" s="5" t="s">
        <v>4830</v>
      </c>
      <c r="F77" s="28">
        <v>46112</v>
      </c>
      <c r="G77" s="8">
        <v>26</v>
      </c>
      <c r="H77" s="45">
        <v>236476.7</v>
      </c>
    </row>
    <row r="78" spans="1:8">
      <c r="A78" s="5" t="s">
        <v>4831</v>
      </c>
      <c r="B78" s="5" t="s">
        <v>4252</v>
      </c>
      <c r="C78" s="5" t="s">
        <v>4815</v>
      </c>
      <c r="D78" s="45">
        <v>200.13</v>
      </c>
      <c r="E78" s="5" t="s">
        <v>4677</v>
      </c>
      <c r="F78" s="28">
        <v>46112</v>
      </c>
      <c r="G78" s="8">
        <v>53</v>
      </c>
      <c r="H78" s="45">
        <v>241590.93</v>
      </c>
    </row>
    <row r="79" spans="1:8">
      <c r="A79" s="5" t="s">
        <v>4832</v>
      </c>
      <c r="B79" s="5" t="s">
        <v>4253</v>
      </c>
      <c r="C79" s="5" t="s">
        <v>4815</v>
      </c>
      <c r="D79" s="45">
        <v>201.12</v>
      </c>
      <c r="E79" s="5" t="s">
        <v>4833</v>
      </c>
      <c r="F79" s="28">
        <v>46112</v>
      </c>
      <c r="G79" s="8">
        <v>35</v>
      </c>
      <c r="H79" s="45">
        <v>287905.28999999998</v>
      </c>
    </row>
    <row r="80" spans="1:8">
      <c r="A80" s="5" t="s">
        <v>4834</v>
      </c>
      <c r="B80" s="5" t="s">
        <v>4254</v>
      </c>
      <c r="C80" s="5" t="s">
        <v>4815</v>
      </c>
      <c r="D80" s="45">
        <v>194.46</v>
      </c>
      <c r="E80" s="5" t="s">
        <v>4835</v>
      </c>
      <c r="F80" s="28">
        <v>46112</v>
      </c>
      <c r="G80" s="8">
        <v>48</v>
      </c>
      <c r="H80" s="45">
        <v>195675.38</v>
      </c>
    </row>
    <row r="81" spans="1:8">
      <c r="A81" s="5" t="s">
        <v>4836</v>
      </c>
      <c r="B81" s="5" t="s">
        <v>4259</v>
      </c>
      <c r="C81" s="5" t="s">
        <v>4815</v>
      </c>
      <c r="D81" s="45">
        <v>195.89</v>
      </c>
      <c r="E81" s="5" t="s">
        <v>4837</v>
      </c>
      <c r="F81" s="28">
        <v>46112</v>
      </c>
      <c r="G81" s="8">
        <v>24</v>
      </c>
      <c r="H81" s="45">
        <v>264392.73</v>
      </c>
    </row>
    <row r="82" spans="1:8">
      <c r="A82" s="5" t="s">
        <v>4838</v>
      </c>
      <c r="B82" s="5" t="s">
        <v>4260</v>
      </c>
      <c r="C82" s="5" t="s">
        <v>4815</v>
      </c>
      <c r="D82" s="45">
        <v>193.25</v>
      </c>
      <c r="E82" s="5" t="s">
        <v>4675</v>
      </c>
      <c r="F82" s="28">
        <v>46112</v>
      </c>
      <c r="G82" s="8">
        <v>46</v>
      </c>
      <c r="H82" s="45">
        <v>180640.44</v>
      </c>
    </row>
    <row r="83" spans="1:8">
      <c r="A83" s="5" t="s">
        <v>4839</v>
      </c>
      <c r="B83" s="5" t="s">
        <v>4261</v>
      </c>
      <c r="C83" s="5" t="s">
        <v>4815</v>
      </c>
      <c r="D83" s="45">
        <v>194.06</v>
      </c>
      <c r="E83" s="5" t="s">
        <v>4840</v>
      </c>
      <c r="F83" s="28">
        <v>46112</v>
      </c>
      <c r="G83" s="8">
        <v>27</v>
      </c>
      <c r="H83" s="45">
        <v>259039.05</v>
      </c>
    </row>
    <row r="84" spans="1:8">
      <c r="A84" s="5" t="s">
        <v>4841</v>
      </c>
      <c r="B84" s="5" t="s">
        <v>4262</v>
      </c>
      <c r="C84" s="5" t="s">
        <v>4815</v>
      </c>
      <c r="D84" s="45">
        <v>186.85</v>
      </c>
      <c r="E84" s="5" t="s">
        <v>4842</v>
      </c>
      <c r="F84" s="28">
        <v>46112</v>
      </c>
      <c r="G84" s="8">
        <v>27</v>
      </c>
      <c r="H84" s="45">
        <v>252742.65</v>
      </c>
    </row>
    <row r="85" spans="1:8">
      <c r="A85" s="5" t="s">
        <v>4843</v>
      </c>
      <c r="B85" s="5" t="s">
        <v>4263</v>
      </c>
      <c r="C85" s="5" t="s">
        <v>4815</v>
      </c>
      <c r="D85" s="45">
        <v>193.65</v>
      </c>
      <c r="E85" s="5" t="s">
        <v>4678</v>
      </c>
      <c r="F85" s="28">
        <v>46112</v>
      </c>
      <c r="G85" s="8">
        <v>45</v>
      </c>
      <c r="H85" s="45">
        <v>217891.11</v>
      </c>
    </row>
    <row r="86" spans="1:8">
      <c r="A86" s="5" t="s">
        <v>4844</v>
      </c>
      <c r="B86" s="5" t="s">
        <v>4264</v>
      </c>
      <c r="C86" s="5" t="s">
        <v>4815</v>
      </c>
      <c r="D86" s="45">
        <v>193.55</v>
      </c>
      <c r="E86" s="5" t="s">
        <v>4680</v>
      </c>
      <c r="F86" s="28">
        <v>46112</v>
      </c>
      <c r="G86" s="8">
        <v>34</v>
      </c>
      <c r="H86" s="45">
        <v>302919.3</v>
      </c>
    </row>
    <row r="87" spans="1:8">
      <c r="A87" s="5" t="s">
        <v>4845</v>
      </c>
      <c r="B87" s="5" t="s">
        <v>4265</v>
      </c>
      <c r="C87" s="5" t="s">
        <v>4815</v>
      </c>
      <c r="D87" s="45">
        <v>188.93</v>
      </c>
      <c r="E87" s="5" t="s">
        <v>4846</v>
      </c>
      <c r="F87" s="28">
        <v>46112</v>
      </c>
      <c r="G87" s="8">
        <v>47</v>
      </c>
      <c r="H87" s="45">
        <v>298205.21999999997</v>
      </c>
    </row>
    <row r="88" spans="1:8">
      <c r="A88" s="5" t="s">
        <v>4847</v>
      </c>
      <c r="B88" s="5" t="s">
        <v>4266</v>
      </c>
      <c r="C88" s="5" t="s">
        <v>4815</v>
      </c>
      <c r="D88" s="45">
        <v>192.99</v>
      </c>
      <c r="E88" s="5" t="s">
        <v>4848</v>
      </c>
      <c r="F88" s="28">
        <v>46112</v>
      </c>
      <c r="G88" s="8">
        <v>50</v>
      </c>
      <c r="H88" s="45">
        <v>176734.45</v>
      </c>
    </row>
    <row r="89" spans="1:8">
      <c r="A89" s="5" t="s">
        <v>4849</v>
      </c>
      <c r="B89" s="5" t="s">
        <v>4271</v>
      </c>
      <c r="C89" s="5" t="s">
        <v>4815</v>
      </c>
      <c r="D89" s="45">
        <v>195.58</v>
      </c>
      <c r="E89" s="5" t="s">
        <v>4850</v>
      </c>
      <c r="F89" s="28">
        <v>46112</v>
      </c>
      <c r="G89" s="8">
        <v>58</v>
      </c>
      <c r="H89" s="45">
        <v>229513.13</v>
      </c>
    </row>
    <row r="90" spans="1:8">
      <c r="A90" s="5" t="s">
        <v>4851</v>
      </c>
      <c r="B90" s="5" t="s">
        <v>4272</v>
      </c>
      <c r="C90" s="5" t="s">
        <v>4815</v>
      </c>
      <c r="D90" s="45">
        <v>191.55</v>
      </c>
      <c r="E90" s="5" t="s">
        <v>4852</v>
      </c>
      <c r="F90" s="28">
        <v>46112</v>
      </c>
      <c r="G90" s="8">
        <v>47</v>
      </c>
      <c r="H90" s="45">
        <v>202702.04</v>
      </c>
    </row>
    <row r="91" spans="1:8">
      <c r="A91" s="5" t="s">
        <v>4853</v>
      </c>
      <c r="B91" s="5" t="s">
        <v>4273</v>
      </c>
      <c r="C91" s="5" t="s">
        <v>4815</v>
      </c>
      <c r="D91" s="45">
        <v>185.25</v>
      </c>
      <c r="E91" s="5" t="s">
        <v>4683</v>
      </c>
      <c r="F91" s="28">
        <v>46112</v>
      </c>
      <c r="G91" s="8">
        <v>28</v>
      </c>
      <c r="H91" s="45">
        <v>167073.26999999999</v>
      </c>
    </row>
    <row r="92" spans="1:8">
      <c r="A92" s="5" t="s">
        <v>4854</v>
      </c>
      <c r="B92" s="5" t="s">
        <v>4274</v>
      </c>
      <c r="C92" s="5" t="s">
        <v>4815</v>
      </c>
      <c r="D92" s="45">
        <v>193.8</v>
      </c>
      <c r="E92" s="5" t="s">
        <v>4855</v>
      </c>
      <c r="F92" s="28">
        <v>46112</v>
      </c>
      <c r="G92" s="8">
        <v>26</v>
      </c>
      <c r="H92" s="45">
        <v>259473.01</v>
      </c>
    </row>
    <row r="93" spans="1:8">
      <c r="A93" s="5" t="s">
        <v>4856</v>
      </c>
      <c r="B93" s="5" t="s">
        <v>4275</v>
      </c>
      <c r="C93" s="5" t="s">
        <v>4815</v>
      </c>
      <c r="D93" s="45">
        <v>233.58</v>
      </c>
      <c r="E93" s="5" t="s">
        <v>4857</v>
      </c>
      <c r="F93" s="28">
        <v>46112</v>
      </c>
      <c r="G93" s="8">
        <v>27</v>
      </c>
      <c r="H93" s="45">
        <v>299204.3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1CEE-32F6-214C-8C1E-0C2AE8E71B0F}">
  <sheetPr codeName="Sheet21">
    <tabColor rgb="FF002060"/>
  </sheetPr>
  <dimension ref="A1:Y41"/>
  <sheetViews>
    <sheetView workbookViewId="0">
      <selection activeCell="E18" sqref="E18"/>
    </sheetView>
  </sheetViews>
  <sheetFormatPr defaultColWidth="11.5546875" defaultRowHeight="15.95"/>
  <cols>
    <col min="1" max="1" width="21.6640625" bestFit="1" customWidth="1"/>
    <col min="2" max="2" width="29.33203125" bestFit="1" customWidth="1"/>
    <col min="3" max="3" width="20.33203125" bestFit="1" customWidth="1"/>
    <col min="4" max="4" width="16.33203125" bestFit="1" customWidth="1"/>
    <col min="5" max="5" width="25" bestFit="1" customWidth="1"/>
    <col min="6" max="6" width="27" bestFit="1" customWidth="1"/>
    <col min="7" max="7" width="13.33203125" bestFit="1" customWidth="1"/>
    <col min="8" max="8" width="18.44140625" bestFit="1" customWidth="1"/>
    <col min="9" max="9" width="27.33203125" bestFit="1" customWidth="1"/>
    <col min="10" max="10" width="22" bestFit="1" customWidth="1"/>
    <col min="11" max="11" width="20" bestFit="1" customWidth="1"/>
    <col min="12" max="12" width="19.44140625" bestFit="1" customWidth="1"/>
    <col min="13" max="13" width="114.109375" bestFit="1" customWidth="1"/>
    <col min="14" max="14" width="28" bestFit="1" customWidth="1"/>
    <col min="15" max="15" width="16.109375" bestFit="1" customWidth="1"/>
    <col min="16" max="16" width="24.44140625" bestFit="1" customWidth="1"/>
    <col min="17" max="17" width="24.77734375" bestFit="1" customWidth="1"/>
    <col min="18" max="18" width="16.44140625" bestFit="1" customWidth="1"/>
    <col min="19" max="19" width="16.77734375" bestFit="1" customWidth="1"/>
    <col min="20" max="20" width="12.44140625" bestFit="1" customWidth="1"/>
    <col min="21" max="21" width="20.44140625" bestFit="1" customWidth="1"/>
    <col min="22" max="22" width="22.33203125" bestFit="1" customWidth="1"/>
    <col min="23" max="23" width="16.109375" bestFit="1" customWidth="1"/>
    <col min="24" max="24" width="14.44140625" bestFit="1" customWidth="1"/>
    <col min="25" max="25" width="8.44140625" bestFit="1" customWidth="1"/>
  </cols>
  <sheetData>
    <row r="1" spans="1:25" ht="17.100000000000001">
      <c r="A1" s="29" t="s">
        <v>4858</v>
      </c>
      <c r="B1" s="30" t="s">
        <v>4859</v>
      </c>
      <c r="C1" s="30" t="s">
        <v>4860</v>
      </c>
      <c r="D1" s="30" t="s">
        <v>4861</v>
      </c>
      <c r="E1" s="30" t="s">
        <v>4862</v>
      </c>
      <c r="F1" s="30" t="s">
        <v>4863</v>
      </c>
      <c r="G1" s="30" t="s">
        <v>4864</v>
      </c>
      <c r="H1" s="30" t="s">
        <v>4865</v>
      </c>
      <c r="I1" s="30" t="s">
        <v>4866</v>
      </c>
      <c r="J1" s="37" t="s">
        <v>4867</v>
      </c>
      <c r="K1" s="38" t="s">
        <v>4868</v>
      </c>
      <c r="L1" s="30" t="s">
        <v>4869</v>
      </c>
      <c r="M1" s="30" t="s">
        <v>33</v>
      </c>
      <c r="N1" s="31" t="s">
        <v>4870</v>
      </c>
      <c r="O1" s="30" t="s">
        <v>1149</v>
      </c>
      <c r="P1" s="30" t="s">
        <v>4871</v>
      </c>
      <c r="Q1" s="30" t="s">
        <v>4872</v>
      </c>
      <c r="R1" s="30" t="s">
        <v>4873</v>
      </c>
      <c r="S1" s="30" t="s">
        <v>4874</v>
      </c>
      <c r="T1" s="30" t="s">
        <v>4875</v>
      </c>
      <c r="U1" s="30" t="s">
        <v>4876</v>
      </c>
      <c r="V1" s="30" t="s">
        <v>4877</v>
      </c>
      <c r="W1" s="30" t="s">
        <v>4878</v>
      </c>
      <c r="X1" s="30" t="s">
        <v>771</v>
      </c>
      <c r="Y1" s="30" t="s">
        <v>532</v>
      </c>
    </row>
    <row r="2" spans="1:25">
      <c r="A2" s="11" t="s">
        <v>4879</v>
      </c>
      <c r="B2" s="5" t="s">
        <v>4880</v>
      </c>
      <c r="C2" s="5" t="s">
        <v>4881</v>
      </c>
      <c r="D2" s="5" t="s">
        <v>4882</v>
      </c>
      <c r="E2" s="5" t="s">
        <v>4883</v>
      </c>
      <c r="F2" s="5" t="s">
        <v>430</v>
      </c>
      <c r="G2" s="5" t="s">
        <v>2842</v>
      </c>
      <c r="H2" s="5" t="s">
        <v>2826</v>
      </c>
      <c r="I2" s="5" t="s">
        <v>2842</v>
      </c>
      <c r="J2" s="5" t="s">
        <v>4884</v>
      </c>
      <c r="K2" s="5" t="s">
        <v>1375</v>
      </c>
      <c r="L2" s="5" t="s">
        <v>4885</v>
      </c>
      <c r="M2" s="5" t="s">
        <v>4886</v>
      </c>
      <c r="N2" s="5" t="s">
        <v>1184</v>
      </c>
      <c r="O2" s="8">
        <v>93</v>
      </c>
      <c r="P2" s="8">
        <v>15</v>
      </c>
      <c r="Q2" s="8">
        <v>30</v>
      </c>
      <c r="R2" s="5" t="s">
        <v>4887</v>
      </c>
      <c r="S2" s="5" t="s">
        <v>780</v>
      </c>
      <c r="T2" s="5" t="s">
        <v>493</v>
      </c>
      <c r="U2" s="5" t="s">
        <v>4888</v>
      </c>
      <c r="V2" s="5" t="s">
        <v>4889</v>
      </c>
      <c r="W2" s="5" t="s">
        <v>4890</v>
      </c>
      <c r="X2" s="7" t="s">
        <v>4891</v>
      </c>
      <c r="Y2" s="5" t="b">
        <v>1</v>
      </c>
    </row>
    <row r="3" spans="1:25">
      <c r="A3" s="11" t="s">
        <v>4892</v>
      </c>
      <c r="B3" s="5" t="s">
        <v>4893</v>
      </c>
      <c r="C3" s="5" t="s">
        <v>4881</v>
      </c>
      <c r="D3" s="5" t="s">
        <v>4894</v>
      </c>
      <c r="E3" s="5" t="s">
        <v>4895</v>
      </c>
      <c r="F3" s="5" t="s">
        <v>4896</v>
      </c>
      <c r="G3" s="5" t="s">
        <v>2842</v>
      </c>
      <c r="H3" s="5" t="s">
        <v>2826</v>
      </c>
      <c r="I3" s="5" t="s">
        <v>2842</v>
      </c>
      <c r="J3" s="5" t="s">
        <v>4897</v>
      </c>
      <c r="K3" s="5" t="s">
        <v>1343</v>
      </c>
      <c r="L3" s="5" t="s">
        <v>4898</v>
      </c>
      <c r="M3" s="5" t="s">
        <v>4899</v>
      </c>
      <c r="N3" s="5" t="s">
        <v>1184</v>
      </c>
      <c r="O3" s="8">
        <v>92</v>
      </c>
      <c r="P3" s="8">
        <v>18</v>
      </c>
      <c r="Q3" s="8">
        <v>28</v>
      </c>
      <c r="R3" s="5" t="s">
        <v>4900</v>
      </c>
      <c r="S3" s="5" t="s">
        <v>780</v>
      </c>
      <c r="T3" s="5" t="s">
        <v>493</v>
      </c>
      <c r="U3" s="5" t="s">
        <v>4901</v>
      </c>
      <c r="V3" s="5" t="s">
        <v>4902</v>
      </c>
      <c r="W3" s="5" t="s">
        <v>4903</v>
      </c>
      <c r="X3" s="7" t="s">
        <v>4904</v>
      </c>
      <c r="Y3" s="5" t="b">
        <v>1</v>
      </c>
    </row>
    <row r="4" spans="1:25">
      <c r="A4" s="11" t="s">
        <v>4905</v>
      </c>
      <c r="B4" s="5" t="s">
        <v>4906</v>
      </c>
      <c r="C4" s="5" t="s">
        <v>4881</v>
      </c>
      <c r="D4" s="5" t="s">
        <v>4907</v>
      </c>
      <c r="E4" s="5" t="s">
        <v>4908</v>
      </c>
      <c r="F4" s="5" t="s">
        <v>4909</v>
      </c>
      <c r="G4" s="5" t="s">
        <v>2826</v>
      </c>
      <c r="H4" s="5" t="s">
        <v>2842</v>
      </c>
      <c r="I4" s="5" t="s">
        <v>2842</v>
      </c>
      <c r="J4" s="5" t="s">
        <v>4910</v>
      </c>
      <c r="K4" s="5" t="s">
        <v>1297</v>
      </c>
      <c r="L4" s="5" t="s">
        <v>4911</v>
      </c>
      <c r="M4" s="5" t="s">
        <v>4912</v>
      </c>
      <c r="N4" s="5" t="s">
        <v>1184</v>
      </c>
      <c r="O4" s="8">
        <v>93</v>
      </c>
      <c r="P4" s="8">
        <v>2</v>
      </c>
      <c r="Q4" s="8">
        <v>6</v>
      </c>
      <c r="R4" s="5" t="s">
        <v>4913</v>
      </c>
      <c r="S4" s="5" t="s">
        <v>780</v>
      </c>
      <c r="T4" s="5" t="s">
        <v>437</v>
      </c>
      <c r="U4" s="5" t="s">
        <v>4901</v>
      </c>
      <c r="V4" s="5" t="s">
        <v>4914</v>
      </c>
      <c r="W4" s="5" t="s">
        <v>4915</v>
      </c>
      <c r="X4" s="7" t="s">
        <v>4916</v>
      </c>
      <c r="Y4" s="5" t="b">
        <v>1</v>
      </c>
    </row>
    <row r="5" spans="1:25">
      <c r="A5" s="11" t="s">
        <v>4917</v>
      </c>
      <c r="B5" s="5" t="s">
        <v>4918</v>
      </c>
      <c r="C5" s="5" t="s">
        <v>4881</v>
      </c>
      <c r="D5" s="5" t="s">
        <v>4919</v>
      </c>
      <c r="E5" s="5" t="s">
        <v>4920</v>
      </c>
      <c r="F5" s="5" t="s">
        <v>4921</v>
      </c>
      <c r="G5" s="5" t="s">
        <v>2842</v>
      </c>
      <c r="H5" s="5" t="s">
        <v>2826</v>
      </c>
      <c r="I5" s="5" t="s">
        <v>2842</v>
      </c>
      <c r="J5" s="5" t="s">
        <v>4922</v>
      </c>
      <c r="K5" s="5" t="s">
        <v>1313</v>
      </c>
      <c r="L5" s="5" t="s">
        <v>4923</v>
      </c>
      <c r="M5" s="5" t="s">
        <v>4924</v>
      </c>
      <c r="N5" s="5" t="s">
        <v>1184</v>
      </c>
      <c r="O5" s="8">
        <v>94</v>
      </c>
      <c r="P5" s="8">
        <v>3</v>
      </c>
      <c r="Q5" s="8">
        <v>9</v>
      </c>
      <c r="R5" s="5" t="s">
        <v>4887</v>
      </c>
      <c r="S5" s="5" t="s">
        <v>780</v>
      </c>
      <c r="T5" s="5" t="s">
        <v>493</v>
      </c>
      <c r="U5" s="5" t="s">
        <v>4888</v>
      </c>
      <c r="V5" s="5" t="s">
        <v>4925</v>
      </c>
      <c r="W5" s="5" t="s">
        <v>4926</v>
      </c>
      <c r="X5" s="7" t="s">
        <v>4927</v>
      </c>
      <c r="Y5" s="5" t="b">
        <v>1</v>
      </c>
    </row>
    <row r="6" spans="1:25">
      <c r="A6" s="11" t="s">
        <v>4928</v>
      </c>
      <c r="B6" s="5" t="s">
        <v>4929</v>
      </c>
      <c r="C6" s="5" t="s">
        <v>4930</v>
      </c>
      <c r="D6" s="5" t="s">
        <v>4931</v>
      </c>
      <c r="E6" s="5" t="s">
        <v>4920</v>
      </c>
      <c r="F6" s="5" t="s">
        <v>224</v>
      </c>
      <c r="G6" s="5" t="s">
        <v>2842</v>
      </c>
      <c r="H6" s="5" t="s">
        <v>2842</v>
      </c>
      <c r="I6" s="5" t="s">
        <v>2826</v>
      </c>
      <c r="J6" s="5" t="s">
        <v>4932</v>
      </c>
      <c r="K6" s="5" t="s">
        <v>1328</v>
      </c>
      <c r="L6" s="5" t="s">
        <v>4885</v>
      </c>
      <c r="M6" s="5" t="s">
        <v>4933</v>
      </c>
      <c r="N6" s="5" t="s">
        <v>1206</v>
      </c>
      <c r="O6" s="8">
        <v>95</v>
      </c>
      <c r="P6" s="8">
        <v>1</v>
      </c>
      <c r="Q6" s="8">
        <v>3</v>
      </c>
      <c r="R6" s="5" t="s">
        <v>4900</v>
      </c>
      <c r="S6" s="5" t="s">
        <v>780</v>
      </c>
      <c r="T6" s="5" t="s">
        <v>493</v>
      </c>
      <c r="U6" s="5" t="s">
        <v>4901</v>
      </c>
      <c r="V6" s="5" t="s">
        <v>4934</v>
      </c>
      <c r="W6" s="5" t="s">
        <v>4935</v>
      </c>
      <c r="X6" s="7" t="s">
        <v>4936</v>
      </c>
      <c r="Y6" s="5" t="b">
        <v>1</v>
      </c>
    </row>
    <row r="7" spans="1:25">
      <c r="A7" s="11" t="s">
        <v>4937</v>
      </c>
      <c r="B7" s="5" t="s">
        <v>4938</v>
      </c>
      <c r="C7" s="5" t="s">
        <v>4881</v>
      </c>
      <c r="D7" s="5" t="s">
        <v>4882</v>
      </c>
      <c r="E7" s="5" t="s">
        <v>4939</v>
      </c>
      <c r="F7" s="5" t="s">
        <v>539</v>
      </c>
      <c r="G7" s="5" t="s">
        <v>2826</v>
      </c>
      <c r="H7" s="5" t="s">
        <v>2842</v>
      </c>
      <c r="I7" s="5" t="s">
        <v>2826</v>
      </c>
      <c r="J7" s="5" t="s">
        <v>4940</v>
      </c>
      <c r="K7" s="5" t="s">
        <v>1383</v>
      </c>
      <c r="L7" s="5" t="s">
        <v>4898</v>
      </c>
      <c r="M7" s="5" t="s">
        <v>4941</v>
      </c>
      <c r="N7" s="5" t="s">
        <v>1218</v>
      </c>
      <c r="O7" s="8">
        <v>90</v>
      </c>
      <c r="P7" s="8">
        <v>1</v>
      </c>
      <c r="Q7" s="8">
        <v>3</v>
      </c>
      <c r="R7" s="5" t="s">
        <v>4913</v>
      </c>
      <c r="S7" s="5" t="s">
        <v>780</v>
      </c>
      <c r="T7" s="5" t="s">
        <v>437</v>
      </c>
      <c r="U7" s="5" t="s">
        <v>4901</v>
      </c>
      <c r="V7" s="5" t="s">
        <v>4942</v>
      </c>
      <c r="W7" s="5" t="s">
        <v>4943</v>
      </c>
      <c r="X7" s="7" t="s">
        <v>1300</v>
      </c>
      <c r="Y7" s="5" t="b">
        <v>1</v>
      </c>
    </row>
    <row r="8" spans="1:25">
      <c r="A8" s="11" t="s">
        <v>4944</v>
      </c>
      <c r="B8" s="5" t="s">
        <v>4945</v>
      </c>
      <c r="C8" s="5" t="s">
        <v>4946</v>
      </c>
      <c r="D8" s="5" t="s">
        <v>4931</v>
      </c>
      <c r="E8" s="5" t="s">
        <v>4947</v>
      </c>
      <c r="F8" s="5" t="s">
        <v>497</v>
      </c>
      <c r="G8" s="5" t="s">
        <v>2842</v>
      </c>
      <c r="H8" s="5" t="s">
        <v>2842</v>
      </c>
      <c r="I8" s="5" t="s">
        <v>2826</v>
      </c>
      <c r="J8" s="5" t="s">
        <v>4884</v>
      </c>
      <c r="K8" s="5" t="s">
        <v>1391</v>
      </c>
      <c r="L8" s="5" t="s">
        <v>4911</v>
      </c>
      <c r="M8" s="5" t="s">
        <v>4948</v>
      </c>
      <c r="N8" s="5" t="s">
        <v>1256</v>
      </c>
      <c r="O8" s="8">
        <v>91</v>
      </c>
      <c r="P8" s="8">
        <v>1</v>
      </c>
      <c r="Q8" s="8">
        <v>3</v>
      </c>
      <c r="R8" s="5" t="s">
        <v>4887</v>
      </c>
      <c r="S8" s="5" t="s">
        <v>780</v>
      </c>
      <c r="T8" s="5" t="s">
        <v>428</v>
      </c>
      <c r="U8" s="5" t="s">
        <v>4888</v>
      </c>
      <c r="V8" s="5" t="s">
        <v>4949</v>
      </c>
      <c r="W8" s="5" t="s">
        <v>4950</v>
      </c>
      <c r="X8" s="7" t="s">
        <v>4951</v>
      </c>
      <c r="Y8" s="5" t="b">
        <v>1</v>
      </c>
    </row>
    <row r="9" spans="1:25">
      <c r="A9" s="11" t="s">
        <v>4952</v>
      </c>
      <c r="B9" s="5" t="s">
        <v>4953</v>
      </c>
      <c r="C9" s="5" t="s">
        <v>4881</v>
      </c>
      <c r="D9" s="5" t="s">
        <v>4907</v>
      </c>
      <c r="E9" s="5" t="s">
        <v>4883</v>
      </c>
      <c r="F9" s="5" t="s">
        <v>227</v>
      </c>
      <c r="G9" s="5" t="s">
        <v>2842</v>
      </c>
      <c r="H9" s="5" t="s">
        <v>2826</v>
      </c>
      <c r="I9" s="5" t="s">
        <v>2842</v>
      </c>
      <c r="J9" s="5" t="s">
        <v>4897</v>
      </c>
      <c r="K9" s="5" t="s">
        <v>1375</v>
      </c>
      <c r="L9" s="5" t="s">
        <v>4923</v>
      </c>
      <c r="M9" s="5" t="s">
        <v>4954</v>
      </c>
      <c r="N9" s="5" t="s">
        <v>1248</v>
      </c>
      <c r="O9" s="8">
        <v>92</v>
      </c>
      <c r="P9" s="8">
        <v>10</v>
      </c>
      <c r="Q9" s="8">
        <v>18</v>
      </c>
      <c r="R9" s="5" t="s">
        <v>4900</v>
      </c>
      <c r="S9" s="5" t="s">
        <v>780</v>
      </c>
      <c r="T9" s="5" t="s">
        <v>493</v>
      </c>
      <c r="U9" s="5" t="s">
        <v>4888</v>
      </c>
      <c r="V9" s="5" t="s">
        <v>4955</v>
      </c>
      <c r="W9" s="5" t="s">
        <v>4956</v>
      </c>
      <c r="X9" s="7" t="s">
        <v>4957</v>
      </c>
      <c r="Y9" s="5" t="b">
        <v>1</v>
      </c>
    </row>
    <row r="10" spans="1:25">
      <c r="A10" s="11" t="s">
        <v>4958</v>
      </c>
      <c r="B10" s="5" t="s">
        <v>4959</v>
      </c>
      <c r="C10" s="5" t="s">
        <v>4960</v>
      </c>
      <c r="D10" s="5" t="s">
        <v>4894</v>
      </c>
      <c r="E10" s="5" t="s">
        <v>4961</v>
      </c>
      <c r="F10" s="5" t="s">
        <v>4962</v>
      </c>
      <c r="G10" s="5" t="s">
        <v>2826</v>
      </c>
      <c r="H10" s="5" t="s">
        <v>2826</v>
      </c>
      <c r="I10" s="5" t="s">
        <v>2842</v>
      </c>
      <c r="J10" s="5" t="s">
        <v>4910</v>
      </c>
      <c r="K10" s="5" t="s">
        <v>1343</v>
      </c>
      <c r="L10" s="5" t="s">
        <v>4885</v>
      </c>
      <c r="M10" s="5" t="s">
        <v>4963</v>
      </c>
      <c r="N10" s="5" t="s">
        <v>1206</v>
      </c>
      <c r="O10" s="8">
        <v>93</v>
      </c>
      <c r="P10" s="8">
        <v>18</v>
      </c>
      <c r="Q10" s="8">
        <v>28</v>
      </c>
      <c r="R10" s="5" t="s">
        <v>4913</v>
      </c>
      <c r="S10" s="5" t="s">
        <v>780</v>
      </c>
      <c r="T10" s="5" t="s">
        <v>437</v>
      </c>
      <c r="U10" s="5" t="s">
        <v>4901</v>
      </c>
      <c r="V10" s="5" t="s">
        <v>4964</v>
      </c>
      <c r="W10" s="5" t="s">
        <v>4965</v>
      </c>
      <c r="X10" s="7" t="s">
        <v>4966</v>
      </c>
      <c r="Y10" s="5" t="b">
        <v>1</v>
      </c>
    </row>
    <row r="11" spans="1:25">
      <c r="A11" s="11" t="s">
        <v>4967</v>
      </c>
      <c r="B11" s="5" t="s">
        <v>4968</v>
      </c>
      <c r="C11" s="5" t="s">
        <v>4930</v>
      </c>
      <c r="D11" s="5" t="s">
        <v>4931</v>
      </c>
      <c r="E11" s="5" t="s">
        <v>4920</v>
      </c>
      <c r="F11" s="5" t="s">
        <v>4969</v>
      </c>
      <c r="G11" s="5" t="s">
        <v>2842</v>
      </c>
      <c r="H11" s="5" t="s">
        <v>2842</v>
      </c>
      <c r="I11" s="5" t="s">
        <v>2826</v>
      </c>
      <c r="J11" s="5" t="s">
        <v>4922</v>
      </c>
      <c r="K11" s="5" t="s">
        <v>1297</v>
      </c>
      <c r="L11" s="5" t="s">
        <v>4898</v>
      </c>
      <c r="M11" s="5" t="s">
        <v>4970</v>
      </c>
      <c r="N11" s="5" t="s">
        <v>1206</v>
      </c>
      <c r="O11" s="8">
        <v>94</v>
      </c>
      <c r="P11" s="8">
        <v>1</v>
      </c>
      <c r="Q11" s="8">
        <v>3</v>
      </c>
      <c r="R11" s="5" t="s">
        <v>4887</v>
      </c>
      <c r="S11" s="5" t="s">
        <v>1266</v>
      </c>
      <c r="T11" s="5" t="s">
        <v>493</v>
      </c>
      <c r="U11" s="5" t="s">
        <v>4901</v>
      </c>
      <c r="V11" s="5" t="s">
        <v>4971</v>
      </c>
      <c r="W11" s="5" t="s">
        <v>4972</v>
      </c>
      <c r="X11" s="7" t="s">
        <v>4973</v>
      </c>
      <c r="Y11" s="5" t="b">
        <v>1</v>
      </c>
    </row>
    <row r="12" spans="1:25">
      <c r="A12" s="11" t="s">
        <v>4974</v>
      </c>
      <c r="B12" s="5" t="s">
        <v>4975</v>
      </c>
      <c r="C12" s="5" t="s">
        <v>4881</v>
      </c>
      <c r="D12" s="5" t="s">
        <v>4882</v>
      </c>
      <c r="E12" s="5" t="s">
        <v>4920</v>
      </c>
      <c r="F12" s="5" t="s">
        <v>4976</v>
      </c>
      <c r="G12" s="5" t="s">
        <v>2842</v>
      </c>
      <c r="H12" s="5" t="s">
        <v>2842</v>
      </c>
      <c r="I12" s="5" t="s">
        <v>2842</v>
      </c>
      <c r="J12" s="5" t="s">
        <v>4932</v>
      </c>
      <c r="K12" s="5" t="s">
        <v>1313</v>
      </c>
      <c r="L12" s="5" t="s">
        <v>4911</v>
      </c>
      <c r="M12" s="5" t="s">
        <v>4977</v>
      </c>
      <c r="N12" s="5" t="s">
        <v>1227</v>
      </c>
      <c r="O12" s="8">
        <v>95</v>
      </c>
      <c r="P12" s="8">
        <v>1</v>
      </c>
      <c r="Q12" s="8">
        <v>3</v>
      </c>
      <c r="R12" s="5" t="s">
        <v>4900</v>
      </c>
      <c r="S12" s="5" t="s">
        <v>780</v>
      </c>
      <c r="T12" s="5" t="s">
        <v>493</v>
      </c>
      <c r="U12" s="5" t="s">
        <v>4901</v>
      </c>
      <c r="V12" s="5" t="s">
        <v>4978</v>
      </c>
      <c r="W12" s="5" t="s">
        <v>4979</v>
      </c>
      <c r="X12" s="7" t="s">
        <v>4980</v>
      </c>
      <c r="Y12" s="5" t="b">
        <v>1</v>
      </c>
    </row>
    <row r="13" spans="1:25">
      <c r="A13" s="11" t="s">
        <v>4981</v>
      </c>
      <c r="B13" s="5" t="s">
        <v>4982</v>
      </c>
      <c r="C13" s="5" t="s">
        <v>4881</v>
      </c>
      <c r="D13" s="5" t="s">
        <v>4894</v>
      </c>
      <c r="E13" s="5" t="s">
        <v>4961</v>
      </c>
      <c r="F13" s="5" t="s">
        <v>4983</v>
      </c>
      <c r="G13" s="5" t="s">
        <v>2826</v>
      </c>
      <c r="H13" s="5" t="s">
        <v>2826</v>
      </c>
      <c r="I13" s="5" t="s">
        <v>2826</v>
      </c>
      <c r="J13" s="5" t="s">
        <v>4940</v>
      </c>
      <c r="K13" s="5" t="s">
        <v>1328</v>
      </c>
      <c r="L13" s="5" t="s">
        <v>4923</v>
      </c>
      <c r="M13" s="5" t="s">
        <v>4984</v>
      </c>
      <c r="N13" s="5" t="s">
        <v>1248</v>
      </c>
      <c r="O13" s="8">
        <v>90</v>
      </c>
      <c r="P13" s="8">
        <v>18</v>
      </c>
      <c r="Q13" s="8">
        <v>28</v>
      </c>
      <c r="R13" s="5" t="s">
        <v>4913</v>
      </c>
      <c r="S13" s="5" t="s">
        <v>780</v>
      </c>
      <c r="T13" s="5" t="s">
        <v>437</v>
      </c>
      <c r="U13" s="5" t="s">
        <v>4901</v>
      </c>
      <c r="V13" s="5" t="s">
        <v>4985</v>
      </c>
      <c r="W13" s="5" t="s">
        <v>4986</v>
      </c>
      <c r="X13" s="7" t="s">
        <v>4987</v>
      </c>
      <c r="Y13" s="5" t="b">
        <v>1</v>
      </c>
    </row>
    <row r="14" spans="1:25">
      <c r="A14" s="11" t="s">
        <v>4988</v>
      </c>
      <c r="B14" s="5" t="s">
        <v>4989</v>
      </c>
      <c r="C14" s="5" t="s">
        <v>4881</v>
      </c>
      <c r="D14" s="5" t="s">
        <v>4907</v>
      </c>
      <c r="E14" s="5" t="s">
        <v>4939</v>
      </c>
      <c r="F14" s="5" t="s">
        <v>430</v>
      </c>
      <c r="G14" s="5" t="s">
        <v>2842</v>
      </c>
      <c r="H14" s="5" t="s">
        <v>2842</v>
      </c>
      <c r="I14" s="5" t="s">
        <v>2842</v>
      </c>
      <c r="J14" s="5" t="s">
        <v>4884</v>
      </c>
      <c r="K14" s="5" t="s">
        <v>1383</v>
      </c>
      <c r="L14" s="5" t="s">
        <v>4885</v>
      </c>
      <c r="M14" s="5" t="s">
        <v>4990</v>
      </c>
      <c r="N14" s="5" t="s">
        <v>1184</v>
      </c>
      <c r="O14" s="8">
        <v>95</v>
      </c>
      <c r="P14" s="8">
        <v>2</v>
      </c>
      <c r="Q14" s="8">
        <v>6</v>
      </c>
      <c r="R14" s="5" t="s">
        <v>4887</v>
      </c>
      <c r="S14" s="5" t="s">
        <v>4991</v>
      </c>
      <c r="T14" s="5" t="s">
        <v>493</v>
      </c>
      <c r="U14" s="5" t="s">
        <v>4888</v>
      </c>
      <c r="V14" s="5" t="s">
        <v>4992</v>
      </c>
      <c r="W14" s="5" t="s">
        <v>4993</v>
      </c>
      <c r="X14" s="7" t="s">
        <v>4891</v>
      </c>
      <c r="Y14" s="5" t="b">
        <v>0</v>
      </c>
    </row>
    <row r="15" spans="1:25">
      <c r="A15" s="11" t="s">
        <v>4994</v>
      </c>
      <c r="B15" s="5" t="s">
        <v>4995</v>
      </c>
      <c r="C15" s="5" t="s">
        <v>4946</v>
      </c>
      <c r="D15" s="5" t="s">
        <v>4931</v>
      </c>
      <c r="E15" s="5" t="s">
        <v>4947</v>
      </c>
      <c r="F15" s="5" t="s">
        <v>4896</v>
      </c>
      <c r="G15" s="5" t="s">
        <v>2842</v>
      </c>
      <c r="H15" s="5" t="s">
        <v>2842</v>
      </c>
      <c r="I15" s="5" t="s">
        <v>2826</v>
      </c>
      <c r="J15" s="5" t="s">
        <v>4897</v>
      </c>
      <c r="K15" s="5" t="s">
        <v>1391</v>
      </c>
      <c r="L15" s="5" t="s">
        <v>4898</v>
      </c>
      <c r="M15" s="5" t="s">
        <v>4996</v>
      </c>
      <c r="N15" s="5" t="s">
        <v>1184</v>
      </c>
      <c r="O15" s="8">
        <v>92</v>
      </c>
      <c r="P15" s="8">
        <v>1</v>
      </c>
      <c r="Q15" s="8">
        <v>3</v>
      </c>
      <c r="R15" s="5" t="s">
        <v>4900</v>
      </c>
      <c r="S15" s="5" t="s">
        <v>780</v>
      </c>
      <c r="T15" s="5" t="s">
        <v>428</v>
      </c>
      <c r="U15" s="5" t="s">
        <v>4901</v>
      </c>
      <c r="V15" s="5" t="s">
        <v>4997</v>
      </c>
      <c r="W15" s="5" t="s">
        <v>4998</v>
      </c>
      <c r="X15" s="7" t="s">
        <v>4904</v>
      </c>
      <c r="Y15" s="5" t="b">
        <v>1</v>
      </c>
    </row>
    <row r="16" spans="1:25">
      <c r="A16" s="11" t="s">
        <v>4999</v>
      </c>
      <c r="B16" s="5" t="s">
        <v>5000</v>
      </c>
      <c r="C16" s="5" t="s">
        <v>4930</v>
      </c>
      <c r="D16" s="5" t="s">
        <v>4931</v>
      </c>
      <c r="E16" s="5" t="s">
        <v>4920</v>
      </c>
      <c r="F16" s="5" t="s">
        <v>4909</v>
      </c>
      <c r="G16" s="5" t="s">
        <v>2826</v>
      </c>
      <c r="H16" s="5" t="s">
        <v>2842</v>
      </c>
      <c r="I16" s="5" t="s">
        <v>2826</v>
      </c>
      <c r="J16" s="5" t="s">
        <v>4910</v>
      </c>
      <c r="K16" s="5" t="s">
        <v>1375</v>
      </c>
      <c r="L16" s="5" t="s">
        <v>4911</v>
      </c>
      <c r="M16" s="5" t="s">
        <v>5001</v>
      </c>
      <c r="N16" s="5" t="s">
        <v>1184</v>
      </c>
      <c r="O16" s="8">
        <v>93</v>
      </c>
      <c r="P16" s="8">
        <v>1</v>
      </c>
      <c r="Q16" s="8">
        <v>3</v>
      </c>
      <c r="R16" s="5" t="s">
        <v>4913</v>
      </c>
      <c r="S16" s="5" t="s">
        <v>780</v>
      </c>
      <c r="T16" s="5" t="s">
        <v>437</v>
      </c>
      <c r="U16" s="5" t="s">
        <v>4901</v>
      </c>
      <c r="V16" s="5" t="s">
        <v>5002</v>
      </c>
      <c r="W16" s="5" t="s">
        <v>5003</v>
      </c>
      <c r="X16" s="7" t="s">
        <v>4916</v>
      </c>
      <c r="Y16" s="5" t="b">
        <v>1</v>
      </c>
    </row>
    <row r="17" spans="1:25">
      <c r="A17" s="11" t="s">
        <v>5004</v>
      </c>
      <c r="B17" s="5" t="s">
        <v>5005</v>
      </c>
      <c r="C17" s="5" t="s">
        <v>4881</v>
      </c>
      <c r="D17" s="5" t="s">
        <v>4882</v>
      </c>
      <c r="E17" s="5" t="s">
        <v>4895</v>
      </c>
      <c r="F17" s="5" t="s">
        <v>4921</v>
      </c>
      <c r="G17" s="5" t="s">
        <v>2842</v>
      </c>
      <c r="H17" s="5" t="s">
        <v>2826</v>
      </c>
      <c r="I17" s="5" t="s">
        <v>2842</v>
      </c>
      <c r="J17" s="5" t="s">
        <v>4922</v>
      </c>
      <c r="K17" s="5" t="s">
        <v>1343</v>
      </c>
      <c r="L17" s="5" t="s">
        <v>4923</v>
      </c>
      <c r="M17" s="5" t="s">
        <v>5006</v>
      </c>
      <c r="N17" s="5" t="s">
        <v>1184</v>
      </c>
      <c r="O17" s="8">
        <v>94</v>
      </c>
      <c r="P17" s="8">
        <v>10</v>
      </c>
      <c r="Q17" s="8">
        <v>18</v>
      </c>
      <c r="R17" s="5" t="s">
        <v>4887</v>
      </c>
      <c r="S17" s="5" t="s">
        <v>780</v>
      </c>
      <c r="T17" s="5" t="s">
        <v>493</v>
      </c>
      <c r="U17" s="5" t="s">
        <v>4888</v>
      </c>
      <c r="V17" s="5" t="s">
        <v>5007</v>
      </c>
      <c r="W17" s="5" t="s">
        <v>5008</v>
      </c>
      <c r="X17" s="7" t="s">
        <v>4927</v>
      </c>
      <c r="Y17" s="5" t="b">
        <v>1</v>
      </c>
    </row>
    <row r="18" spans="1:25">
      <c r="A18" s="11" t="s">
        <v>5009</v>
      </c>
      <c r="B18" s="5" t="s">
        <v>5010</v>
      </c>
      <c r="C18" s="5" t="s">
        <v>4881</v>
      </c>
      <c r="D18" s="5" t="s">
        <v>4894</v>
      </c>
      <c r="E18" s="5" t="s">
        <v>4908</v>
      </c>
      <c r="F18" s="5" t="s">
        <v>224</v>
      </c>
      <c r="G18" s="5" t="s">
        <v>2826</v>
      </c>
      <c r="H18" s="5" t="s">
        <v>2842</v>
      </c>
      <c r="I18" s="5" t="s">
        <v>2842</v>
      </c>
      <c r="J18" s="5" t="s">
        <v>4932</v>
      </c>
      <c r="K18" s="5" t="s">
        <v>1297</v>
      </c>
      <c r="L18" s="5" t="s">
        <v>4885</v>
      </c>
      <c r="M18" s="5" t="s">
        <v>5011</v>
      </c>
      <c r="N18" s="5" t="s">
        <v>1206</v>
      </c>
      <c r="O18" s="8">
        <v>95</v>
      </c>
      <c r="P18" s="8">
        <v>18</v>
      </c>
      <c r="Q18" s="8">
        <v>28</v>
      </c>
      <c r="R18" s="5" t="s">
        <v>4900</v>
      </c>
      <c r="S18" s="5" t="s">
        <v>780</v>
      </c>
      <c r="T18" s="5" t="s">
        <v>493</v>
      </c>
      <c r="U18" s="5" t="s">
        <v>4901</v>
      </c>
      <c r="V18" s="5" t="s">
        <v>5012</v>
      </c>
      <c r="W18" s="5" t="s">
        <v>5013</v>
      </c>
      <c r="X18" s="7" t="s">
        <v>4936</v>
      </c>
      <c r="Y18" s="5" t="b">
        <v>1</v>
      </c>
    </row>
    <row r="19" spans="1:25">
      <c r="A19" s="11" t="s">
        <v>5014</v>
      </c>
      <c r="B19" s="5" t="s">
        <v>5015</v>
      </c>
      <c r="C19" s="5" t="s">
        <v>4960</v>
      </c>
      <c r="D19" s="5" t="s">
        <v>4894</v>
      </c>
      <c r="E19" s="5" t="s">
        <v>4961</v>
      </c>
      <c r="F19" s="5" t="s">
        <v>539</v>
      </c>
      <c r="G19" s="5" t="s">
        <v>2826</v>
      </c>
      <c r="H19" s="5" t="s">
        <v>2826</v>
      </c>
      <c r="I19" s="5" t="s">
        <v>2826</v>
      </c>
      <c r="J19" s="5" t="s">
        <v>4940</v>
      </c>
      <c r="K19" s="5" t="s">
        <v>1313</v>
      </c>
      <c r="L19" s="5" t="s">
        <v>4898</v>
      </c>
      <c r="M19" s="5" t="s">
        <v>5016</v>
      </c>
      <c r="N19" s="5" t="s">
        <v>1218</v>
      </c>
      <c r="O19" s="8">
        <v>90</v>
      </c>
      <c r="P19" s="8">
        <v>22</v>
      </c>
      <c r="Q19" s="8">
        <v>35</v>
      </c>
      <c r="R19" s="5" t="s">
        <v>4913</v>
      </c>
      <c r="S19" s="5" t="s">
        <v>780</v>
      </c>
      <c r="T19" s="5" t="s">
        <v>437</v>
      </c>
      <c r="U19" s="5" t="s">
        <v>4901</v>
      </c>
      <c r="V19" s="5" t="s">
        <v>5017</v>
      </c>
      <c r="W19" s="5" t="s">
        <v>5018</v>
      </c>
      <c r="X19" s="7" t="s">
        <v>1300</v>
      </c>
      <c r="Y19" s="5" t="b">
        <v>1</v>
      </c>
    </row>
    <row r="20" spans="1:25">
      <c r="A20" s="11" t="s">
        <v>5019</v>
      </c>
      <c r="B20" s="5" t="s">
        <v>5020</v>
      </c>
      <c r="C20" s="5" t="s">
        <v>4881</v>
      </c>
      <c r="D20" s="5" t="s">
        <v>4919</v>
      </c>
      <c r="E20" s="5" t="s">
        <v>4961</v>
      </c>
      <c r="F20" s="5" t="s">
        <v>497</v>
      </c>
      <c r="G20" s="5" t="s">
        <v>2842</v>
      </c>
      <c r="H20" s="5" t="s">
        <v>2842</v>
      </c>
      <c r="I20" s="5" t="s">
        <v>2842</v>
      </c>
      <c r="J20" s="5" t="s">
        <v>4884</v>
      </c>
      <c r="K20" s="5" t="s">
        <v>1328</v>
      </c>
      <c r="L20" s="5" t="s">
        <v>4911</v>
      </c>
      <c r="M20" s="5" t="s">
        <v>5021</v>
      </c>
      <c r="N20" s="5" t="s">
        <v>1256</v>
      </c>
      <c r="O20" s="8">
        <v>91</v>
      </c>
      <c r="P20" s="8">
        <v>3</v>
      </c>
      <c r="Q20" s="8">
        <v>9</v>
      </c>
      <c r="R20" s="5" t="s">
        <v>4887</v>
      </c>
      <c r="S20" s="5" t="s">
        <v>780</v>
      </c>
      <c r="T20" s="5" t="s">
        <v>493</v>
      </c>
      <c r="U20" s="5" t="s">
        <v>4888</v>
      </c>
      <c r="V20" s="5" t="s">
        <v>5022</v>
      </c>
      <c r="W20" s="5" t="s">
        <v>5023</v>
      </c>
      <c r="X20" s="7" t="s">
        <v>4951</v>
      </c>
      <c r="Y20" s="5" t="b">
        <v>1</v>
      </c>
    </row>
    <row r="21" spans="1:25">
      <c r="A21" s="11" t="s">
        <v>5024</v>
      </c>
      <c r="B21" s="5" t="s">
        <v>5025</v>
      </c>
      <c r="C21" s="5" t="s">
        <v>4930</v>
      </c>
      <c r="D21" s="5" t="s">
        <v>4931</v>
      </c>
      <c r="E21" s="5" t="s">
        <v>4920</v>
      </c>
      <c r="F21" s="5" t="s">
        <v>227</v>
      </c>
      <c r="G21" s="5" t="s">
        <v>2842</v>
      </c>
      <c r="H21" s="5" t="s">
        <v>2826</v>
      </c>
      <c r="I21" s="5" t="s">
        <v>2826</v>
      </c>
      <c r="J21" s="5" t="s">
        <v>4897</v>
      </c>
      <c r="K21" s="5" t="s">
        <v>1383</v>
      </c>
      <c r="L21" s="5" t="s">
        <v>4923</v>
      </c>
      <c r="M21" s="5" t="s">
        <v>5026</v>
      </c>
      <c r="N21" s="5" t="s">
        <v>1248</v>
      </c>
      <c r="O21" s="8">
        <v>92</v>
      </c>
      <c r="P21" s="8">
        <v>1</v>
      </c>
      <c r="Q21" s="8">
        <v>3</v>
      </c>
      <c r="R21" s="5" t="s">
        <v>4900</v>
      </c>
      <c r="S21" s="5" t="s">
        <v>1266</v>
      </c>
      <c r="T21" s="5" t="s">
        <v>493</v>
      </c>
      <c r="U21" s="5" t="s">
        <v>4888</v>
      </c>
      <c r="V21" s="5" t="s">
        <v>5027</v>
      </c>
      <c r="W21" s="5" t="s">
        <v>5028</v>
      </c>
      <c r="X21" s="7" t="s">
        <v>4957</v>
      </c>
      <c r="Y21" s="5" t="b">
        <v>1</v>
      </c>
    </row>
    <row r="22" spans="1:25">
      <c r="A22" s="11" t="s">
        <v>5029</v>
      </c>
      <c r="B22" s="5" t="s">
        <v>5030</v>
      </c>
      <c r="C22" s="5" t="s">
        <v>4946</v>
      </c>
      <c r="D22" s="5" t="s">
        <v>4931</v>
      </c>
      <c r="E22" s="5" t="s">
        <v>4947</v>
      </c>
      <c r="F22" s="5" t="s">
        <v>4962</v>
      </c>
      <c r="G22" s="5" t="s">
        <v>2826</v>
      </c>
      <c r="H22" s="5" t="s">
        <v>2842</v>
      </c>
      <c r="I22" s="5" t="s">
        <v>2826</v>
      </c>
      <c r="J22" s="5" t="s">
        <v>4910</v>
      </c>
      <c r="K22" s="5" t="s">
        <v>1391</v>
      </c>
      <c r="L22" s="5" t="s">
        <v>4885</v>
      </c>
      <c r="M22" s="5" t="s">
        <v>5031</v>
      </c>
      <c r="N22" s="5" t="s">
        <v>1206</v>
      </c>
      <c r="O22" s="8">
        <v>93</v>
      </c>
      <c r="P22" s="8">
        <v>1</v>
      </c>
      <c r="Q22" s="8">
        <v>3</v>
      </c>
      <c r="R22" s="5" t="s">
        <v>4913</v>
      </c>
      <c r="S22" s="5" t="s">
        <v>780</v>
      </c>
      <c r="T22" s="5" t="s">
        <v>428</v>
      </c>
      <c r="U22" s="5" t="s">
        <v>4901</v>
      </c>
      <c r="V22" s="5" t="s">
        <v>5032</v>
      </c>
      <c r="W22" s="5" t="s">
        <v>5033</v>
      </c>
      <c r="X22" s="7" t="s">
        <v>4966</v>
      </c>
      <c r="Y22" s="5" t="b">
        <v>1</v>
      </c>
    </row>
    <row r="23" spans="1:25">
      <c r="A23" s="11" t="s">
        <v>5034</v>
      </c>
      <c r="B23" s="5" t="s">
        <v>5035</v>
      </c>
      <c r="C23" s="5" t="s">
        <v>4881</v>
      </c>
      <c r="D23" s="5" t="s">
        <v>4894</v>
      </c>
      <c r="E23" s="5" t="s">
        <v>4883</v>
      </c>
      <c r="F23" s="5" t="s">
        <v>4969</v>
      </c>
      <c r="G23" s="5" t="s">
        <v>2842</v>
      </c>
      <c r="H23" s="5" t="s">
        <v>2826</v>
      </c>
      <c r="I23" s="5" t="s">
        <v>2842</v>
      </c>
      <c r="J23" s="5" t="s">
        <v>4922</v>
      </c>
      <c r="K23" s="5" t="s">
        <v>1375</v>
      </c>
      <c r="L23" s="5" t="s">
        <v>4898</v>
      </c>
      <c r="M23" s="5" t="s">
        <v>5036</v>
      </c>
      <c r="N23" s="5" t="s">
        <v>1206</v>
      </c>
      <c r="O23" s="8">
        <v>94</v>
      </c>
      <c r="P23" s="8">
        <v>18</v>
      </c>
      <c r="Q23" s="8">
        <v>28</v>
      </c>
      <c r="R23" s="5" t="s">
        <v>4887</v>
      </c>
      <c r="S23" s="5" t="s">
        <v>780</v>
      </c>
      <c r="T23" s="5" t="s">
        <v>493</v>
      </c>
      <c r="U23" s="5" t="s">
        <v>4901</v>
      </c>
      <c r="V23" s="5" t="s">
        <v>5037</v>
      </c>
      <c r="W23" s="5" t="s">
        <v>5038</v>
      </c>
      <c r="X23" s="7" t="s">
        <v>4973</v>
      </c>
      <c r="Y23" s="5" t="b">
        <v>1</v>
      </c>
    </row>
    <row r="24" spans="1:25">
      <c r="A24" s="11" t="s">
        <v>5039</v>
      </c>
      <c r="B24" s="5" t="s">
        <v>5040</v>
      </c>
      <c r="C24" s="5" t="s">
        <v>4881</v>
      </c>
      <c r="D24" s="5" t="s">
        <v>4907</v>
      </c>
      <c r="E24" s="5" t="s">
        <v>4895</v>
      </c>
      <c r="F24" s="5" t="s">
        <v>4976</v>
      </c>
      <c r="G24" s="5" t="s">
        <v>2842</v>
      </c>
      <c r="H24" s="5" t="s">
        <v>2826</v>
      </c>
      <c r="I24" s="5" t="s">
        <v>2842</v>
      </c>
      <c r="J24" s="5" t="s">
        <v>4932</v>
      </c>
      <c r="K24" s="5" t="s">
        <v>1343</v>
      </c>
      <c r="L24" s="5" t="s">
        <v>4911</v>
      </c>
      <c r="M24" s="5" t="s">
        <v>5041</v>
      </c>
      <c r="N24" s="5" t="s">
        <v>1227</v>
      </c>
      <c r="O24" s="8">
        <v>95</v>
      </c>
      <c r="P24" s="8">
        <v>22</v>
      </c>
      <c r="Q24" s="8">
        <v>35</v>
      </c>
      <c r="R24" s="5" t="s">
        <v>4900</v>
      </c>
      <c r="S24" s="5" t="s">
        <v>780</v>
      </c>
      <c r="T24" s="5" t="s">
        <v>493</v>
      </c>
      <c r="U24" s="5" t="s">
        <v>4901</v>
      </c>
      <c r="V24" s="5" t="s">
        <v>5042</v>
      </c>
      <c r="W24" s="5" t="s">
        <v>5043</v>
      </c>
      <c r="X24" s="7" t="s">
        <v>4980</v>
      </c>
      <c r="Y24" s="5" t="b">
        <v>1</v>
      </c>
    </row>
    <row r="25" spans="1:25">
      <c r="A25" s="11" t="s">
        <v>5044</v>
      </c>
      <c r="B25" s="5" t="s">
        <v>5045</v>
      </c>
      <c r="C25" s="5" t="s">
        <v>4881</v>
      </c>
      <c r="D25" s="5" t="s">
        <v>4919</v>
      </c>
      <c r="E25" s="5" t="s">
        <v>4908</v>
      </c>
      <c r="F25" s="5" t="s">
        <v>4983</v>
      </c>
      <c r="G25" s="5" t="s">
        <v>2826</v>
      </c>
      <c r="H25" s="5" t="s">
        <v>2826</v>
      </c>
      <c r="I25" s="5" t="s">
        <v>2826</v>
      </c>
      <c r="J25" s="5" t="s">
        <v>4940</v>
      </c>
      <c r="K25" s="5" t="s">
        <v>1297</v>
      </c>
      <c r="L25" s="5" t="s">
        <v>4923</v>
      </c>
      <c r="M25" s="5" t="s">
        <v>5046</v>
      </c>
      <c r="N25" s="5" t="s">
        <v>1248</v>
      </c>
      <c r="O25" s="8">
        <v>90</v>
      </c>
      <c r="P25" s="8">
        <v>3</v>
      </c>
      <c r="Q25" s="8">
        <v>9</v>
      </c>
      <c r="R25" s="5" t="s">
        <v>4913</v>
      </c>
      <c r="S25" s="5" t="s">
        <v>780</v>
      </c>
      <c r="T25" s="5" t="s">
        <v>437</v>
      </c>
      <c r="U25" s="5" t="s">
        <v>4901</v>
      </c>
      <c r="V25" s="5" t="s">
        <v>5047</v>
      </c>
      <c r="W25" s="5" t="s">
        <v>5048</v>
      </c>
      <c r="X25" s="7" t="s">
        <v>4987</v>
      </c>
      <c r="Y25" s="5" t="b">
        <v>1</v>
      </c>
    </row>
    <row r="26" spans="1:25">
      <c r="A26" s="11" t="s">
        <v>5049</v>
      </c>
      <c r="B26" s="5" t="s">
        <v>5050</v>
      </c>
      <c r="C26" s="5" t="s">
        <v>4930</v>
      </c>
      <c r="D26" s="5" t="s">
        <v>4931</v>
      </c>
      <c r="E26" s="5" t="s">
        <v>4920</v>
      </c>
      <c r="F26" s="5" t="s">
        <v>430</v>
      </c>
      <c r="G26" s="5" t="s">
        <v>2842</v>
      </c>
      <c r="H26" s="5" t="s">
        <v>2842</v>
      </c>
      <c r="I26" s="5" t="s">
        <v>2826</v>
      </c>
      <c r="J26" s="5" t="s">
        <v>4884</v>
      </c>
      <c r="K26" s="5" t="s">
        <v>1313</v>
      </c>
      <c r="L26" s="5" t="s">
        <v>4885</v>
      </c>
      <c r="M26" s="5" t="s">
        <v>5051</v>
      </c>
      <c r="N26" s="5" t="s">
        <v>1184</v>
      </c>
      <c r="O26" s="8">
        <v>92</v>
      </c>
      <c r="P26" s="8">
        <v>1</v>
      </c>
      <c r="Q26" s="8">
        <v>3</v>
      </c>
      <c r="R26" s="5" t="s">
        <v>4887</v>
      </c>
      <c r="S26" s="5" t="s">
        <v>780</v>
      </c>
      <c r="T26" s="5" t="s">
        <v>493</v>
      </c>
      <c r="U26" s="5" t="s">
        <v>4888</v>
      </c>
      <c r="V26" s="5" t="s">
        <v>5052</v>
      </c>
      <c r="W26" s="5" t="s">
        <v>5053</v>
      </c>
      <c r="X26" s="7" t="s">
        <v>4891</v>
      </c>
      <c r="Y26" s="5" t="b">
        <v>1</v>
      </c>
    </row>
    <row r="27" spans="1:25">
      <c r="A27" s="11" t="s">
        <v>5054</v>
      </c>
      <c r="B27" s="5" t="s">
        <v>5055</v>
      </c>
      <c r="C27" s="5" t="s">
        <v>4881</v>
      </c>
      <c r="D27" s="5" t="s">
        <v>4882</v>
      </c>
      <c r="E27" s="5" t="s">
        <v>4961</v>
      </c>
      <c r="F27" s="5" t="s">
        <v>4896</v>
      </c>
      <c r="G27" s="5" t="s">
        <v>2842</v>
      </c>
      <c r="H27" s="5" t="s">
        <v>2842</v>
      </c>
      <c r="I27" s="5" t="s">
        <v>2842</v>
      </c>
      <c r="J27" s="5" t="s">
        <v>4897</v>
      </c>
      <c r="K27" s="5" t="s">
        <v>1328</v>
      </c>
      <c r="L27" s="5" t="s">
        <v>4898</v>
      </c>
      <c r="M27" s="5" t="s">
        <v>5056</v>
      </c>
      <c r="N27" s="5" t="s">
        <v>1184</v>
      </c>
      <c r="O27" s="8">
        <v>92</v>
      </c>
      <c r="P27" s="8">
        <v>1</v>
      </c>
      <c r="Q27" s="8">
        <v>5</v>
      </c>
      <c r="R27" s="5" t="s">
        <v>4900</v>
      </c>
      <c r="S27" s="5" t="s">
        <v>4991</v>
      </c>
      <c r="T27" s="5" t="s">
        <v>493</v>
      </c>
      <c r="U27" s="5" t="s">
        <v>4901</v>
      </c>
      <c r="V27" s="5" t="s">
        <v>5057</v>
      </c>
      <c r="W27" s="5" t="s">
        <v>5058</v>
      </c>
      <c r="X27" s="7" t="s">
        <v>4904</v>
      </c>
      <c r="Y27" s="5" t="b">
        <v>0</v>
      </c>
    </row>
    <row r="28" spans="1:25">
      <c r="A28" s="11" t="s">
        <v>5059</v>
      </c>
      <c r="B28" s="5" t="s">
        <v>5060</v>
      </c>
      <c r="C28" s="5" t="s">
        <v>4960</v>
      </c>
      <c r="D28" s="5" t="s">
        <v>4894</v>
      </c>
      <c r="E28" s="5" t="s">
        <v>4961</v>
      </c>
      <c r="F28" s="5" t="s">
        <v>4909</v>
      </c>
      <c r="G28" s="5" t="s">
        <v>2826</v>
      </c>
      <c r="H28" s="5" t="s">
        <v>2826</v>
      </c>
      <c r="I28" s="5" t="s">
        <v>2842</v>
      </c>
      <c r="J28" s="5" t="s">
        <v>4910</v>
      </c>
      <c r="K28" s="5" t="s">
        <v>1383</v>
      </c>
      <c r="L28" s="5" t="s">
        <v>4911</v>
      </c>
      <c r="M28" s="5" t="s">
        <v>5061</v>
      </c>
      <c r="N28" s="5" t="s">
        <v>1184</v>
      </c>
      <c r="O28" s="8">
        <v>93</v>
      </c>
      <c r="P28" s="8">
        <v>22</v>
      </c>
      <c r="Q28" s="8">
        <v>35</v>
      </c>
      <c r="R28" s="5" t="s">
        <v>4913</v>
      </c>
      <c r="S28" s="5" t="s">
        <v>780</v>
      </c>
      <c r="T28" s="5" t="s">
        <v>437</v>
      </c>
      <c r="U28" s="5" t="s">
        <v>4901</v>
      </c>
      <c r="V28" s="5" t="s">
        <v>5062</v>
      </c>
      <c r="W28" s="5" t="s">
        <v>5063</v>
      </c>
      <c r="X28" s="7" t="s">
        <v>4916</v>
      </c>
      <c r="Y28" s="5" t="b">
        <v>1</v>
      </c>
    </row>
    <row r="29" spans="1:25">
      <c r="A29" s="11" t="s">
        <v>5064</v>
      </c>
      <c r="B29" s="5" t="s">
        <v>5065</v>
      </c>
      <c r="C29" s="5" t="s">
        <v>4946</v>
      </c>
      <c r="D29" s="5" t="s">
        <v>4931</v>
      </c>
      <c r="E29" s="5" t="s">
        <v>4947</v>
      </c>
      <c r="F29" s="5" t="s">
        <v>4921</v>
      </c>
      <c r="G29" s="5" t="s">
        <v>2842</v>
      </c>
      <c r="H29" s="5" t="s">
        <v>2826</v>
      </c>
      <c r="I29" s="5" t="s">
        <v>2826</v>
      </c>
      <c r="J29" s="5" t="s">
        <v>4922</v>
      </c>
      <c r="K29" s="5" t="s">
        <v>1391</v>
      </c>
      <c r="L29" s="5" t="s">
        <v>4923</v>
      </c>
      <c r="M29" s="5" t="s">
        <v>5066</v>
      </c>
      <c r="N29" s="5" t="s">
        <v>1184</v>
      </c>
      <c r="O29" s="8">
        <v>94</v>
      </c>
      <c r="P29" s="8">
        <v>1</v>
      </c>
      <c r="Q29" s="8">
        <v>3</v>
      </c>
      <c r="R29" s="5" t="s">
        <v>4887</v>
      </c>
      <c r="S29" s="5" t="s">
        <v>780</v>
      </c>
      <c r="T29" s="5" t="s">
        <v>428</v>
      </c>
      <c r="U29" s="5" t="s">
        <v>4888</v>
      </c>
      <c r="V29" s="5" t="s">
        <v>5067</v>
      </c>
      <c r="W29" s="5" t="s">
        <v>5068</v>
      </c>
      <c r="X29" s="7" t="s">
        <v>4927</v>
      </c>
      <c r="Y29" s="5" t="b">
        <v>1</v>
      </c>
    </row>
    <row r="30" spans="1:25">
      <c r="A30" s="11" t="s">
        <v>5069</v>
      </c>
      <c r="B30" s="5" t="s">
        <v>5070</v>
      </c>
      <c r="C30" s="5" t="s">
        <v>4881</v>
      </c>
      <c r="D30" s="5" t="s">
        <v>4919</v>
      </c>
      <c r="E30" s="5" t="s">
        <v>4883</v>
      </c>
      <c r="F30" s="5" t="s">
        <v>224</v>
      </c>
      <c r="G30" s="5" t="s">
        <v>2842</v>
      </c>
      <c r="H30" s="5" t="s">
        <v>2826</v>
      </c>
      <c r="I30" s="5" t="s">
        <v>2842</v>
      </c>
      <c r="J30" s="5" t="s">
        <v>4932</v>
      </c>
      <c r="K30" s="5" t="s">
        <v>1375</v>
      </c>
      <c r="L30" s="5" t="s">
        <v>4885</v>
      </c>
      <c r="M30" s="5" t="s">
        <v>4886</v>
      </c>
      <c r="N30" s="5" t="s">
        <v>1206</v>
      </c>
      <c r="O30" s="8">
        <v>95</v>
      </c>
      <c r="P30" s="8">
        <v>18</v>
      </c>
      <c r="Q30" s="8">
        <v>28</v>
      </c>
      <c r="R30" s="5" t="s">
        <v>4900</v>
      </c>
      <c r="S30" s="5" t="s">
        <v>780</v>
      </c>
      <c r="T30" s="5" t="s">
        <v>493</v>
      </c>
      <c r="U30" s="5" t="s">
        <v>4901</v>
      </c>
      <c r="V30" s="5" t="s">
        <v>5071</v>
      </c>
      <c r="W30" s="5" t="s">
        <v>5072</v>
      </c>
      <c r="X30" s="7" t="s">
        <v>4936</v>
      </c>
      <c r="Y30" s="5" t="b">
        <v>1</v>
      </c>
    </row>
    <row r="31" spans="1:25">
      <c r="A31" s="11" t="s">
        <v>5073</v>
      </c>
      <c r="B31" s="5" t="s">
        <v>5074</v>
      </c>
      <c r="C31" s="5" t="s">
        <v>4930</v>
      </c>
      <c r="D31" s="5" t="s">
        <v>4931</v>
      </c>
      <c r="E31" s="5" t="s">
        <v>4920</v>
      </c>
      <c r="F31" s="5" t="s">
        <v>539</v>
      </c>
      <c r="G31" s="5" t="s">
        <v>2826</v>
      </c>
      <c r="H31" s="5" t="s">
        <v>2842</v>
      </c>
      <c r="I31" s="5" t="s">
        <v>2826</v>
      </c>
      <c r="J31" s="5" t="s">
        <v>4940</v>
      </c>
      <c r="K31" s="5" t="s">
        <v>1343</v>
      </c>
      <c r="L31" s="5" t="s">
        <v>4898</v>
      </c>
      <c r="M31" s="5" t="s">
        <v>4899</v>
      </c>
      <c r="N31" s="5" t="s">
        <v>1218</v>
      </c>
      <c r="O31" s="8">
        <v>90</v>
      </c>
      <c r="P31" s="8">
        <v>1</v>
      </c>
      <c r="Q31" s="8">
        <v>3</v>
      </c>
      <c r="R31" s="5" t="s">
        <v>4913</v>
      </c>
      <c r="S31" s="5" t="s">
        <v>1266</v>
      </c>
      <c r="T31" s="5" t="s">
        <v>437</v>
      </c>
      <c r="U31" s="5" t="s">
        <v>4901</v>
      </c>
      <c r="V31" s="5" t="s">
        <v>5075</v>
      </c>
      <c r="W31" s="5" t="s">
        <v>5076</v>
      </c>
      <c r="X31" s="7" t="s">
        <v>1300</v>
      </c>
      <c r="Y31" s="5" t="b">
        <v>1</v>
      </c>
    </row>
    <row r="32" spans="1:25">
      <c r="A32" s="11" t="s">
        <v>5077</v>
      </c>
      <c r="B32" s="5" t="s">
        <v>5078</v>
      </c>
      <c r="C32" s="5" t="s">
        <v>4881</v>
      </c>
      <c r="D32" s="5" t="s">
        <v>4882</v>
      </c>
      <c r="E32" s="5" t="s">
        <v>4908</v>
      </c>
      <c r="F32" s="5" t="s">
        <v>497</v>
      </c>
      <c r="G32" s="5" t="s">
        <v>2826</v>
      </c>
      <c r="H32" s="5" t="s">
        <v>2842</v>
      </c>
      <c r="I32" s="5" t="s">
        <v>2842</v>
      </c>
      <c r="J32" s="5" t="s">
        <v>4884</v>
      </c>
      <c r="K32" s="5" t="s">
        <v>1297</v>
      </c>
      <c r="L32" s="5" t="s">
        <v>4911</v>
      </c>
      <c r="M32" s="5" t="s">
        <v>4912</v>
      </c>
      <c r="N32" s="5" t="s">
        <v>1256</v>
      </c>
      <c r="O32" s="8">
        <v>91</v>
      </c>
      <c r="P32" s="8">
        <v>1</v>
      </c>
      <c r="Q32" s="8">
        <v>3</v>
      </c>
      <c r="R32" s="5" t="s">
        <v>4887</v>
      </c>
      <c r="S32" s="5" t="s">
        <v>780</v>
      </c>
      <c r="T32" s="5" t="s">
        <v>493</v>
      </c>
      <c r="U32" s="5" t="s">
        <v>4888</v>
      </c>
      <c r="V32" s="5" t="s">
        <v>5079</v>
      </c>
      <c r="W32" s="5" t="s">
        <v>5080</v>
      </c>
      <c r="X32" s="7" t="s">
        <v>4951</v>
      </c>
      <c r="Y32" s="5" t="b">
        <v>1</v>
      </c>
    </row>
    <row r="33" spans="1:25">
      <c r="A33" s="11" t="s">
        <v>5081</v>
      </c>
      <c r="B33" s="5" t="s">
        <v>5082</v>
      </c>
      <c r="C33" s="5" t="s">
        <v>4881</v>
      </c>
      <c r="D33" s="5" t="s">
        <v>4894</v>
      </c>
      <c r="E33" s="5" t="s">
        <v>4920</v>
      </c>
      <c r="F33" s="5" t="s">
        <v>227</v>
      </c>
      <c r="G33" s="5" t="s">
        <v>2842</v>
      </c>
      <c r="H33" s="5" t="s">
        <v>2826</v>
      </c>
      <c r="I33" s="5" t="s">
        <v>2842</v>
      </c>
      <c r="J33" s="5" t="s">
        <v>4897</v>
      </c>
      <c r="K33" s="5" t="s">
        <v>1313</v>
      </c>
      <c r="L33" s="5" t="s">
        <v>4923</v>
      </c>
      <c r="M33" s="5" t="s">
        <v>4924</v>
      </c>
      <c r="N33" s="5" t="s">
        <v>1248</v>
      </c>
      <c r="O33" s="8">
        <v>92</v>
      </c>
      <c r="P33" s="8">
        <v>10</v>
      </c>
      <c r="Q33" s="8">
        <v>18</v>
      </c>
      <c r="R33" s="5" t="s">
        <v>4900</v>
      </c>
      <c r="S33" s="5" t="s">
        <v>780</v>
      </c>
      <c r="T33" s="5" t="s">
        <v>493</v>
      </c>
      <c r="U33" s="5" t="s">
        <v>4888</v>
      </c>
      <c r="V33" s="5" t="s">
        <v>5083</v>
      </c>
      <c r="W33" s="5" t="s">
        <v>5084</v>
      </c>
      <c r="X33" s="7" t="s">
        <v>4957</v>
      </c>
      <c r="Y33" s="5" t="b">
        <v>1</v>
      </c>
    </row>
    <row r="34" spans="1:25">
      <c r="A34" s="11" t="s">
        <v>5085</v>
      </c>
      <c r="B34" s="5" t="s">
        <v>5086</v>
      </c>
      <c r="C34" s="5" t="s">
        <v>4881</v>
      </c>
      <c r="D34" s="5" t="s">
        <v>4907</v>
      </c>
      <c r="E34" s="5" t="s">
        <v>4961</v>
      </c>
      <c r="F34" s="5" t="s">
        <v>4962</v>
      </c>
      <c r="G34" s="5" t="s">
        <v>2826</v>
      </c>
      <c r="H34" s="5" t="s">
        <v>2842</v>
      </c>
      <c r="I34" s="5" t="s">
        <v>2842</v>
      </c>
      <c r="J34" s="5" t="s">
        <v>4910</v>
      </c>
      <c r="K34" s="5" t="s">
        <v>1328</v>
      </c>
      <c r="L34" s="5" t="s">
        <v>4885</v>
      </c>
      <c r="M34" s="5" t="s">
        <v>4933</v>
      </c>
      <c r="N34" s="5" t="s">
        <v>1206</v>
      </c>
      <c r="O34" s="8">
        <v>93</v>
      </c>
      <c r="P34" s="8">
        <v>2</v>
      </c>
      <c r="Q34" s="8">
        <v>6</v>
      </c>
      <c r="R34" s="5" t="s">
        <v>4913</v>
      </c>
      <c r="S34" s="5" t="s">
        <v>780</v>
      </c>
      <c r="T34" s="5" t="s">
        <v>437</v>
      </c>
      <c r="U34" s="5" t="s">
        <v>4901</v>
      </c>
      <c r="V34" s="5" t="s">
        <v>5087</v>
      </c>
      <c r="W34" s="5" t="s">
        <v>5088</v>
      </c>
      <c r="X34" s="7" t="s">
        <v>4966</v>
      </c>
      <c r="Y34" s="5" t="b">
        <v>1</v>
      </c>
    </row>
    <row r="35" spans="1:25">
      <c r="A35" s="11" t="s">
        <v>5089</v>
      </c>
      <c r="B35" s="5" t="s">
        <v>5090</v>
      </c>
      <c r="C35" s="5" t="s">
        <v>4881</v>
      </c>
      <c r="D35" s="5" t="s">
        <v>4919</v>
      </c>
      <c r="E35" s="5" t="s">
        <v>4939</v>
      </c>
      <c r="F35" s="5" t="s">
        <v>4969</v>
      </c>
      <c r="G35" s="5" t="s">
        <v>2842</v>
      </c>
      <c r="H35" s="5" t="s">
        <v>2842</v>
      </c>
      <c r="I35" s="5" t="s">
        <v>2842</v>
      </c>
      <c r="J35" s="5" t="s">
        <v>4922</v>
      </c>
      <c r="K35" s="5" t="s">
        <v>1383</v>
      </c>
      <c r="L35" s="5" t="s">
        <v>4898</v>
      </c>
      <c r="M35" s="5" t="s">
        <v>4941</v>
      </c>
      <c r="N35" s="5" t="s">
        <v>1206</v>
      </c>
      <c r="O35" s="8">
        <v>94</v>
      </c>
      <c r="P35" s="8">
        <v>3</v>
      </c>
      <c r="Q35" s="8">
        <v>9</v>
      </c>
      <c r="R35" s="5" t="s">
        <v>4887</v>
      </c>
      <c r="S35" s="5" t="s">
        <v>780</v>
      </c>
      <c r="T35" s="5" t="s">
        <v>493</v>
      </c>
      <c r="U35" s="5" t="s">
        <v>4901</v>
      </c>
      <c r="V35" s="5" t="s">
        <v>5091</v>
      </c>
      <c r="W35" s="5" t="s">
        <v>5092</v>
      </c>
      <c r="X35" s="7" t="s">
        <v>4973</v>
      </c>
      <c r="Y35" s="5" t="b">
        <v>1</v>
      </c>
    </row>
    <row r="36" spans="1:25">
      <c r="A36" s="11" t="s">
        <v>5093</v>
      </c>
      <c r="B36" s="5" t="s">
        <v>5094</v>
      </c>
      <c r="C36" s="5" t="s">
        <v>4946</v>
      </c>
      <c r="D36" s="5" t="s">
        <v>4931</v>
      </c>
      <c r="E36" s="5" t="s">
        <v>4947</v>
      </c>
      <c r="F36" s="5" t="s">
        <v>4976</v>
      </c>
      <c r="G36" s="5" t="s">
        <v>2842</v>
      </c>
      <c r="H36" s="5" t="s">
        <v>2842</v>
      </c>
      <c r="I36" s="5" t="s">
        <v>2826</v>
      </c>
      <c r="J36" s="5" t="s">
        <v>4932</v>
      </c>
      <c r="K36" s="5" t="s">
        <v>1391</v>
      </c>
      <c r="L36" s="5" t="s">
        <v>4911</v>
      </c>
      <c r="M36" s="5" t="s">
        <v>4948</v>
      </c>
      <c r="N36" s="5" t="s">
        <v>1227</v>
      </c>
      <c r="O36" s="8">
        <v>95</v>
      </c>
      <c r="P36" s="8">
        <v>1</v>
      </c>
      <c r="Q36" s="8">
        <v>3</v>
      </c>
      <c r="R36" s="5" t="s">
        <v>4900</v>
      </c>
      <c r="S36" s="5" t="s">
        <v>780</v>
      </c>
      <c r="T36" s="5" t="s">
        <v>428</v>
      </c>
      <c r="U36" s="5" t="s">
        <v>4901</v>
      </c>
      <c r="V36" s="5" t="s">
        <v>5095</v>
      </c>
      <c r="W36" s="5" t="s">
        <v>5096</v>
      </c>
      <c r="X36" s="7" t="s">
        <v>4980</v>
      </c>
      <c r="Y36" s="5" t="b">
        <v>1</v>
      </c>
    </row>
    <row r="37" spans="1:25">
      <c r="A37" s="11" t="s">
        <v>5097</v>
      </c>
      <c r="B37" s="5" t="s">
        <v>5098</v>
      </c>
      <c r="C37" s="5" t="s">
        <v>4960</v>
      </c>
      <c r="D37" s="5" t="s">
        <v>4894</v>
      </c>
      <c r="E37" s="5" t="s">
        <v>4961</v>
      </c>
      <c r="F37" s="5" t="s">
        <v>4983</v>
      </c>
      <c r="G37" s="5" t="s">
        <v>2826</v>
      </c>
      <c r="H37" s="5" t="s">
        <v>2826</v>
      </c>
      <c r="I37" s="5" t="s">
        <v>2826</v>
      </c>
      <c r="J37" s="5" t="s">
        <v>4940</v>
      </c>
      <c r="K37" s="5" t="s">
        <v>1375</v>
      </c>
      <c r="L37" s="5" t="s">
        <v>4923</v>
      </c>
      <c r="M37" s="5" t="s">
        <v>4954</v>
      </c>
      <c r="N37" s="5" t="s">
        <v>1248</v>
      </c>
      <c r="O37" s="8">
        <v>90</v>
      </c>
      <c r="P37" s="8">
        <v>18</v>
      </c>
      <c r="Q37" s="8">
        <v>28</v>
      </c>
      <c r="R37" s="5" t="s">
        <v>4913</v>
      </c>
      <c r="S37" s="5" t="s">
        <v>780</v>
      </c>
      <c r="T37" s="5" t="s">
        <v>437</v>
      </c>
      <c r="U37" s="5" t="s">
        <v>4901</v>
      </c>
      <c r="V37" s="5" t="s">
        <v>5099</v>
      </c>
      <c r="W37" s="5" t="s">
        <v>5100</v>
      </c>
      <c r="X37" s="7" t="s">
        <v>4987</v>
      </c>
      <c r="Y37" s="5" t="b">
        <v>1</v>
      </c>
    </row>
    <row r="38" spans="1:25">
      <c r="A38" s="11" t="s">
        <v>5101</v>
      </c>
      <c r="B38" s="5" t="s">
        <v>5102</v>
      </c>
      <c r="C38" s="5" t="s">
        <v>4881</v>
      </c>
      <c r="D38" s="5" t="s">
        <v>4894</v>
      </c>
      <c r="E38" s="5" t="s">
        <v>4895</v>
      </c>
      <c r="F38" s="5" t="s">
        <v>430</v>
      </c>
      <c r="G38" s="5" t="s">
        <v>2842</v>
      </c>
      <c r="H38" s="5" t="s">
        <v>2826</v>
      </c>
      <c r="I38" s="5" t="s">
        <v>2842</v>
      </c>
      <c r="J38" s="5" t="s">
        <v>4884</v>
      </c>
      <c r="K38" s="5" t="s">
        <v>1343</v>
      </c>
      <c r="L38" s="5" t="s">
        <v>4885</v>
      </c>
      <c r="M38" s="5" t="s">
        <v>4963</v>
      </c>
      <c r="N38" s="5" t="s">
        <v>1184</v>
      </c>
      <c r="O38" s="8">
        <v>94</v>
      </c>
      <c r="P38" s="8">
        <v>15</v>
      </c>
      <c r="Q38" s="8">
        <v>30</v>
      </c>
      <c r="R38" s="5" t="s">
        <v>4887</v>
      </c>
      <c r="S38" s="5" t="s">
        <v>780</v>
      </c>
      <c r="T38" s="5" t="s">
        <v>493</v>
      </c>
      <c r="U38" s="5" t="s">
        <v>4888</v>
      </c>
      <c r="V38" s="5" t="s">
        <v>5103</v>
      </c>
      <c r="W38" s="5" t="s">
        <v>5104</v>
      </c>
      <c r="X38" s="7" t="s">
        <v>4891</v>
      </c>
      <c r="Y38" s="5" t="b">
        <v>1</v>
      </c>
    </row>
    <row r="39" spans="1:25">
      <c r="A39" s="11" t="s">
        <v>5105</v>
      </c>
      <c r="B39" s="5" t="s">
        <v>5106</v>
      </c>
      <c r="C39" s="5" t="s">
        <v>4881</v>
      </c>
      <c r="D39" s="5" t="s">
        <v>4907</v>
      </c>
      <c r="E39" s="5" t="s">
        <v>4908</v>
      </c>
      <c r="F39" s="5" t="s">
        <v>4896</v>
      </c>
      <c r="G39" s="5" t="s">
        <v>2826</v>
      </c>
      <c r="H39" s="5" t="s">
        <v>2842</v>
      </c>
      <c r="I39" s="5" t="s">
        <v>2842</v>
      </c>
      <c r="J39" s="5" t="s">
        <v>4897</v>
      </c>
      <c r="K39" s="5" t="s">
        <v>1297</v>
      </c>
      <c r="L39" s="5" t="s">
        <v>4898</v>
      </c>
      <c r="M39" s="5" t="s">
        <v>4970</v>
      </c>
      <c r="N39" s="5" t="s">
        <v>1184</v>
      </c>
      <c r="O39" s="8">
        <v>92</v>
      </c>
      <c r="P39" s="8">
        <v>2</v>
      </c>
      <c r="Q39" s="8">
        <v>6</v>
      </c>
      <c r="R39" s="5" t="s">
        <v>4900</v>
      </c>
      <c r="S39" s="5" t="s">
        <v>780</v>
      </c>
      <c r="T39" s="5" t="s">
        <v>493</v>
      </c>
      <c r="U39" s="5" t="s">
        <v>4901</v>
      </c>
      <c r="V39" s="5" t="s">
        <v>5107</v>
      </c>
      <c r="W39" s="5" t="s">
        <v>5108</v>
      </c>
      <c r="X39" s="7" t="s">
        <v>4904</v>
      </c>
      <c r="Y39" s="5" t="b">
        <v>1</v>
      </c>
    </row>
    <row r="40" spans="1:25">
      <c r="A40" s="11" t="s">
        <v>5109</v>
      </c>
      <c r="B40" s="5" t="s">
        <v>5110</v>
      </c>
      <c r="C40" s="5" t="s">
        <v>4881</v>
      </c>
      <c r="D40" s="5" t="s">
        <v>4919</v>
      </c>
      <c r="E40" s="5" t="s">
        <v>4920</v>
      </c>
      <c r="F40" s="5" t="s">
        <v>4909</v>
      </c>
      <c r="G40" s="5" t="s">
        <v>2826</v>
      </c>
      <c r="H40" s="5" t="s">
        <v>2842</v>
      </c>
      <c r="I40" s="5" t="s">
        <v>2842</v>
      </c>
      <c r="J40" s="5" t="s">
        <v>4910</v>
      </c>
      <c r="K40" s="5" t="s">
        <v>1313</v>
      </c>
      <c r="L40" s="5" t="s">
        <v>4911</v>
      </c>
      <c r="M40" s="5" t="s">
        <v>4977</v>
      </c>
      <c r="N40" s="5" t="s">
        <v>1184</v>
      </c>
      <c r="O40" s="8">
        <v>93</v>
      </c>
      <c r="P40" s="8">
        <v>3</v>
      </c>
      <c r="Q40" s="8">
        <v>9</v>
      </c>
      <c r="R40" s="5" t="s">
        <v>4913</v>
      </c>
      <c r="S40" s="5" t="s">
        <v>4991</v>
      </c>
      <c r="T40" s="5" t="s">
        <v>437</v>
      </c>
      <c r="U40" s="5" t="s">
        <v>4901</v>
      </c>
      <c r="V40" s="5" t="s">
        <v>5111</v>
      </c>
      <c r="W40" s="5" t="s">
        <v>5112</v>
      </c>
      <c r="X40" s="7" t="s">
        <v>4916</v>
      </c>
      <c r="Y40" s="5" t="b">
        <v>0</v>
      </c>
    </row>
    <row r="41" spans="1:25">
      <c r="A41" s="11" t="s">
        <v>5113</v>
      </c>
      <c r="B41" s="5" t="s">
        <v>5114</v>
      </c>
      <c r="C41" s="5" t="s">
        <v>4930</v>
      </c>
      <c r="D41" s="5" t="s">
        <v>4931</v>
      </c>
      <c r="E41" s="5" t="s">
        <v>4920</v>
      </c>
      <c r="F41" s="5" t="s">
        <v>4921</v>
      </c>
      <c r="G41" s="5" t="s">
        <v>2842</v>
      </c>
      <c r="H41" s="5" t="s">
        <v>2826</v>
      </c>
      <c r="I41" s="5" t="s">
        <v>2826</v>
      </c>
      <c r="J41" s="5" t="s">
        <v>4922</v>
      </c>
      <c r="K41" s="5" t="s">
        <v>1328</v>
      </c>
      <c r="L41" s="5" t="s">
        <v>4923</v>
      </c>
      <c r="M41" s="5" t="s">
        <v>4984</v>
      </c>
      <c r="N41" s="5" t="s">
        <v>1184</v>
      </c>
      <c r="O41" s="8">
        <v>94</v>
      </c>
      <c r="P41" s="8">
        <v>1</v>
      </c>
      <c r="Q41" s="8">
        <v>3</v>
      </c>
      <c r="R41" s="5" t="s">
        <v>4887</v>
      </c>
      <c r="S41" s="5" t="s">
        <v>1266</v>
      </c>
      <c r="T41" s="5" t="s">
        <v>493</v>
      </c>
      <c r="U41" s="5" t="s">
        <v>4888</v>
      </c>
      <c r="V41" s="5" t="s">
        <v>5115</v>
      </c>
      <c r="W41" s="5" t="s">
        <v>5116</v>
      </c>
      <c r="X41" s="7" t="s">
        <v>4927</v>
      </c>
      <c r="Y41" s="5" t="b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B79B-0523-C441-AFA7-A4EA209169DC}">
  <sheetPr>
    <tabColor rgb="FF92D050"/>
  </sheetPr>
  <dimension ref="A1:AA223"/>
  <sheetViews>
    <sheetView tabSelected="1" workbookViewId="0">
      <selection activeCell="A4" sqref="A4"/>
    </sheetView>
  </sheetViews>
  <sheetFormatPr defaultColWidth="11.5546875" defaultRowHeight="15.95"/>
  <cols>
    <col min="1" max="1" width="29.33203125" bestFit="1" customWidth="1"/>
    <col min="2" max="2" width="9.44140625" bestFit="1" customWidth="1"/>
    <col min="3" max="4" width="10.44140625" bestFit="1" customWidth="1"/>
    <col min="5" max="5" width="10.33203125" bestFit="1" customWidth="1"/>
    <col min="6" max="7" width="10.44140625" bestFit="1" customWidth="1"/>
    <col min="8" max="8" width="17.109375" bestFit="1" customWidth="1"/>
    <col min="9" max="9" width="21.6640625" bestFit="1" customWidth="1"/>
    <col min="10" max="10" width="21.44140625" customWidth="1"/>
    <col min="11" max="11" width="15.6640625" customWidth="1"/>
    <col min="12" max="12" width="28.44140625" customWidth="1"/>
    <col min="13" max="13" width="19.109375" customWidth="1"/>
    <col min="14" max="14" width="10.33203125" bestFit="1" customWidth="1"/>
    <col min="15" max="15" width="9.77734375" bestFit="1" customWidth="1"/>
    <col min="16" max="16" width="20" bestFit="1" customWidth="1"/>
    <col min="17" max="17" width="21.6640625" customWidth="1"/>
    <col min="18" max="18" width="75.109375" bestFit="1" customWidth="1"/>
    <col min="20" max="20" width="15.6640625" bestFit="1" customWidth="1"/>
    <col min="21" max="21" width="9.44140625" bestFit="1" customWidth="1"/>
    <col min="22" max="22" width="39.33203125" bestFit="1" customWidth="1"/>
    <col min="24" max="24" width="9.88671875" bestFit="1" customWidth="1"/>
    <col min="25" max="25" width="10.88671875" bestFit="1" customWidth="1"/>
    <col min="26" max="26" width="15.88671875" bestFit="1" customWidth="1"/>
  </cols>
  <sheetData>
    <row r="1" spans="1:27">
      <c r="A1" s="48" t="s">
        <v>5117</v>
      </c>
      <c r="B1" s="48">
        <v>220</v>
      </c>
    </row>
    <row r="2" spans="1:27">
      <c r="A2" s="77" t="s">
        <v>1268</v>
      </c>
      <c r="B2" s="78">
        <v>0.1</v>
      </c>
    </row>
    <row r="3" spans="1:27" ht="45.95" customHeight="1">
      <c r="A3" s="14" t="s">
        <v>5118</v>
      </c>
      <c r="B3" s="27" t="s">
        <v>5119</v>
      </c>
      <c r="C3" s="27" t="s">
        <v>2040</v>
      </c>
      <c r="D3" s="27" t="s">
        <v>2041</v>
      </c>
      <c r="E3" s="27" t="s">
        <v>5120</v>
      </c>
      <c r="F3" s="27" t="s">
        <v>5121</v>
      </c>
      <c r="G3" s="27" t="s">
        <v>5122</v>
      </c>
      <c r="H3" s="27" t="s">
        <v>5123</v>
      </c>
      <c r="I3" s="15" t="s">
        <v>5124</v>
      </c>
      <c r="J3" s="15" t="s">
        <v>5125</v>
      </c>
      <c r="K3" s="27" t="s">
        <v>5126</v>
      </c>
      <c r="L3" s="15" t="s">
        <v>5127</v>
      </c>
      <c r="M3" s="15" t="s">
        <v>5128</v>
      </c>
      <c r="N3" s="27" t="s">
        <v>5129</v>
      </c>
      <c r="O3" s="27" t="s">
        <v>5130</v>
      </c>
      <c r="P3" s="27" t="s">
        <v>5131</v>
      </c>
      <c r="Q3" s="27" t="s">
        <v>5132</v>
      </c>
      <c r="R3" s="27" t="s">
        <v>5133</v>
      </c>
      <c r="S3" s="15" t="s">
        <v>5134</v>
      </c>
      <c r="T3" s="27" t="s">
        <v>5135</v>
      </c>
      <c r="U3" s="27" t="s">
        <v>5136</v>
      </c>
      <c r="V3" s="27" t="s">
        <v>5137</v>
      </c>
      <c r="X3" s="96" t="s">
        <v>5129</v>
      </c>
      <c r="Y3" s="96" t="s">
        <v>5138</v>
      </c>
      <c r="Z3" s="96" t="s">
        <v>5139</v>
      </c>
      <c r="AA3" s="96" t="s">
        <v>5140</v>
      </c>
    </row>
    <row r="4" spans="1:27">
      <c r="A4" s="11" t="s">
        <v>5141</v>
      </c>
      <c r="B4" s="5" t="s">
        <v>5142</v>
      </c>
      <c r="C4" s="28">
        <v>46093</v>
      </c>
      <c r="D4" s="28">
        <v>46097</v>
      </c>
      <c r="E4" s="5" t="s">
        <v>5143</v>
      </c>
      <c r="F4" s="28">
        <v>46094</v>
      </c>
      <c r="G4" s="28"/>
      <c r="H4" s="5"/>
      <c r="I4" s="11" t="s">
        <v>1367</v>
      </c>
      <c r="J4" s="11" t="s">
        <v>234</v>
      </c>
      <c r="K4" s="5" t="s">
        <v>1045</v>
      </c>
      <c r="L4" s="11"/>
      <c r="M4" s="11"/>
      <c r="N4" s="5" t="s">
        <v>4919</v>
      </c>
      <c r="O4" s="5" t="s">
        <v>1197</v>
      </c>
      <c r="P4" s="5" t="s">
        <v>5144</v>
      </c>
      <c r="Q4" s="5" t="s">
        <v>5145</v>
      </c>
      <c r="R4" s="5" t="s">
        <v>5146</v>
      </c>
      <c r="S4" s="11" t="s">
        <v>5004</v>
      </c>
      <c r="T4" s="5" t="s">
        <v>5147</v>
      </c>
      <c r="U4" s="88" cm="1">
        <f t="array" ref="U4">ROUND(SUMIF(Movements!$B$5:$B$329,$A4,Movements!$F$5:$F$329)*INDEX($Z$4:$Z$13,MATCH($N4&amp;$Q4,$X$4:$X$13&amp;$Y$4:$Y$13,0))+INDEX($AA$4:$AA$13,MATCH($N4&amp;$Q4,$X$4:$X$13&amp;$Y$4:$Y$13,0)),2)</f>
        <v>49.72</v>
      </c>
      <c r="V4" s="2"/>
      <c r="X4" t="s">
        <v>4882</v>
      </c>
      <c r="Y4" t="s">
        <v>5145</v>
      </c>
      <c r="Z4">
        <v>0.08</v>
      </c>
      <c r="AA4">
        <v>50</v>
      </c>
    </row>
    <row r="5" spans="1:27">
      <c r="A5" s="11" t="s">
        <v>5148</v>
      </c>
      <c r="B5" s="5" t="s">
        <v>5142</v>
      </c>
      <c r="C5" s="28">
        <v>46110</v>
      </c>
      <c r="D5" s="28">
        <v>46128</v>
      </c>
      <c r="E5" s="5" t="s">
        <v>5143</v>
      </c>
      <c r="F5" s="28">
        <v>46112</v>
      </c>
      <c r="G5" s="28"/>
      <c r="H5" s="5"/>
      <c r="I5" s="11" t="s">
        <v>1375</v>
      </c>
      <c r="J5" s="11" t="s">
        <v>234</v>
      </c>
      <c r="K5" s="5" t="s">
        <v>783</v>
      </c>
      <c r="L5" s="11" t="s">
        <v>1313</v>
      </c>
      <c r="M5" s="11"/>
      <c r="N5" s="5" t="s">
        <v>4894</v>
      </c>
      <c r="O5" s="5" t="s">
        <v>5149</v>
      </c>
      <c r="P5" s="5" t="s">
        <v>5150</v>
      </c>
      <c r="Q5" s="5" t="s">
        <v>5151</v>
      </c>
      <c r="R5" s="5" t="s">
        <v>5152</v>
      </c>
      <c r="S5" s="11" t="s">
        <v>5073</v>
      </c>
      <c r="T5" s="5" t="s">
        <v>5153</v>
      </c>
      <c r="U5" s="88" cm="1">
        <f t="array" ref="U5">ROUND(SUMIF(Movements!$B$5:$B$329,$A5,Movements!$F$5:$F$329)*INDEX($Z$4:$Z$13,MATCH($N5&amp;$Q5,$X$4:$X$13&amp;$Y$4:$Y$13,0))+INDEX($AA$4:$AA$13,MATCH($N5&amp;$Q5,$X$4:$X$13&amp;$Y$4:$Y$13,0)),2)</f>
        <v>288</v>
      </c>
      <c r="V5" s="2"/>
      <c r="X5" t="s">
        <v>4882</v>
      </c>
      <c r="Y5" t="s">
        <v>5151</v>
      </c>
      <c r="Z5">
        <v>0.15</v>
      </c>
      <c r="AA5">
        <v>150</v>
      </c>
    </row>
    <row r="6" spans="1:27">
      <c r="A6" s="11" t="s">
        <v>5154</v>
      </c>
      <c r="B6" s="5" t="s">
        <v>5155</v>
      </c>
      <c r="C6" s="28">
        <v>46091</v>
      </c>
      <c r="D6" s="28">
        <v>46097</v>
      </c>
      <c r="E6" s="5" t="s">
        <v>1280</v>
      </c>
      <c r="F6" s="28">
        <v>46092</v>
      </c>
      <c r="G6" s="28">
        <v>46099</v>
      </c>
      <c r="H6" s="5" t="s">
        <v>5156</v>
      </c>
      <c r="I6" s="11"/>
      <c r="J6" s="11"/>
      <c r="K6" s="5"/>
      <c r="L6" s="11" t="s">
        <v>1351</v>
      </c>
      <c r="M6" s="11" t="s">
        <v>234</v>
      </c>
      <c r="N6" s="5" t="s">
        <v>4882</v>
      </c>
      <c r="O6" s="5" t="s">
        <v>5157</v>
      </c>
      <c r="P6" s="5" t="s">
        <v>5158</v>
      </c>
      <c r="Q6" s="5" t="s">
        <v>5145</v>
      </c>
      <c r="R6" s="5" t="s">
        <v>5159</v>
      </c>
      <c r="S6" s="11" t="s">
        <v>5081</v>
      </c>
      <c r="T6" s="5" t="s">
        <v>5160</v>
      </c>
      <c r="U6" s="88" cm="1">
        <f t="array" ref="U6">ROUND(SUMIF(Movements!$B$5:$B$329,$A6,Movements!$F$5:$F$329)*INDEX($Z$4:$Z$13,MATCH($N6&amp;$Q6,$X$4:$X$13&amp;$Y$4:$Y$13,0))+INDEX($AA$4:$AA$13,MATCH($N6&amp;$Q6,$X$4:$X$13&amp;$Y$4:$Y$13,0)),2)</f>
        <v>67.52</v>
      </c>
      <c r="V6" s="2"/>
      <c r="X6" t="s">
        <v>4919</v>
      </c>
      <c r="Y6" t="s">
        <v>5145</v>
      </c>
      <c r="Z6">
        <v>0.05</v>
      </c>
      <c r="AA6">
        <v>40</v>
      </c>
    </row>
    <row r="7" spans="1:27">
      <c r="A7" s="11" t="s">
        <v>5161</v>
      </c>
      <c r="B7" s="5" t="s">
        <v>5142</v>
      </c>
      <c r="C7" s="28">
        <v>46094</v>
      </c>
      <c r="D7" s="28">
        <v>46100</v>
      </c>
      <c r="E7" s="5" t="s">
        <v>1280</v>
      </c>
      <c r="F7" s="28">
        <v>46093</v>
      </c>
      <c r="G7" s="28">
        <v>46101</v>
      </c>
      <c r="H7" s="5"/>
      <c r="I7" s="11" t="s">
        <v>1367</v>
      </c>
      <c r="J7" s="11" t="s">
        <v>234</v>
      </c>
      <c r="K7" s="5" t="s">
        <v>1045</v>
      </c>
      <c r="L7" s="11"/>
      <c r="M7" s="11"/>
      <c r="N7" s="5" t="s">
        <v>4882</v>
      </c>
      <c r="O7" s="5" t="s">
        <v>5157</v>
      </c>
      <c r="P7" s="5" t="s">
        <v>5144</v>
      </c>
      <c r="Q7" s="5" t="s">
        <v>5145</v>
      </c>
      <c r="R7" s="5" t="s">
        <v>5146</v>
      </c>
      <c r="S7" s="11" t="s">
        <v>5009</v>
      </c>
      <c r="T7" s="5" t="s">
        <v>5162</v>
      </c>
      <c r="U7" s="88" cm="1">
        <f t="array" ref="U7">ROUND(SUMIF(Movements!$B$5:$B$329,$A7,Movements!$F$5:$F$329)*INDEX($Z$4:$Z$13,MATCH($N7&amp;$Q7,$X$4:$X$13&amp;$Y$4:$Y$13,0))+INDEX($AA$4:$AA$13,MATCH($N7&amp;$Q7,$X$4:$X$13&amp;$Y$4:$Y$13,0)),2)</f>
        <v>55.08</v>
      </c>
      <c r="V7" s="2" t="s">
        <v>5163</v>
      </c>
      <c r="X7" t="s">
        <v>4919</v>
      </c>
      <c r="Y7" t="s">
        <v>5151</v>
      </c>
      <c r="Z7">
        <v>0.1</v>
      </c>
      <c r="AA7">
        <v>120</v>
      </c>
    </row>
    <row r="8" spans="1:27">
      <c r="A8" s="11" t="s">
        <v>5164</v>
      </c>
      <c r="B8" s="5" t="s">
        <v>5142</v>
      </c>
      <c r="C8" s="28">
        <v>46105</v>
      </c>
      <c r="D8" s="28">
        <v>46110</v>
      </c>
      <c r="E8" s="5" t="s">
        <v>5143</v>
      </c>
      <c r="F8" s="28">
        <v>46104</v>
      </c>
      <c r="G8" s="28"/>
      <c r="H8" s="5"/>
      <c r="I8" s="11" t="s">
        <v>1375</v>
      </c>
      <c r="J8" s="11" t="s">
        <v>234</v>
      </c>
      <c r="K8" s="5" t="s">
        <v>1105</v>
      </c>
      <c r="L8" s="11" t="s">
        <v>1399</v>
      </c>
      <c r="M8" s="11"/>
      <c r="N8" s="5" t="s">
        <v>4907</v>
      </c>
      <c r="O8" s="5" t="s">
        <v>5165</v>
      </c>
      <c r="P8" s="5" t="s">
        <v>5150</v>
      </c>
      <c r="Q8" s="5" t="s">
        <v>5151</v>
      </c>
      <c r="R8" s="5" t="s">
        <v>5152</v>
      </c>
      <c r="S8" s="11" t="s">
        <v>5085</v>
      </c>
      <c r="T8" s="5" t="s">
        <v>5166</v>
      </c>
      <c r="U8" s="88" cm="1">
        <f t="array" ref="U8">ROUND(SUMIF(Movements!$B$5:$B$329,$A8,Movements!$F$5:$F$329)*INDEX($Z$4:$Z$13,MATCH($N8&amp;$Q8,$X$4:$X$13&amp;$Y$4:$Y$13,0))+INDEX($AA$4:$AA$13,MATCH($N8&amp;$Q8,$X$4:$X$13&amp;$Y$4:$Y$13,0)),2)</f>
        <v>986.39</v>
      </c>
      <c r="V8" s="2"/>
      <c r="X8" t="s">
        <v>4894</v>
      </c>
      <c r="Y8" t="s">
        <v>5145</v>
      </c>
      <c r="Z8">
        <v>0.03</v>
      </c>
      <c r="AA8">
        <v>75</v>
      </c>
    </row>
    <row r="9" spans="1:27">
      <c r="A9" s="11" t="s">
        <v>5167</v>
      </c>
      <c r="B9" s="5" t="s">
        <v>5155</v>
      </c>
      <c r="C9" s="28">
        <v>46106</v>
      </c>
      <c r="D9" s="28">
        <v>46110</v>
      </c>
      <c r="E9" s="5" t="s">
        <v>1266</v>
      </c>
      <c r="F9" s="28"/>
      <c r="G9" s="28"/>
      <c r="H9" s="5" t="s">
        <v>5168</v>
      </c>
      <c r="I9" s="11"/>
      <c r="J9" s="11"/>
      <c r="K9" s="5"/>
      <c r="L9" s="11" t="s">
        <v>1343</v>
      </c>
      <c r="M9" s="11" t="s">
        <v>220</v>
      </c>
      <c r="N9" s="5" t="s">
        <v>4907</v>
      </c>
      <c r="O9" s="5" t="s">
        <v>5149</v>
      </c>
      <c r="P9" s="5" t="s">
        <v>5158</v>
      </c>
      <c r="Q9" s="5" t="s">
        <v>5151</v>
      </c>
      <c r="R9" s="5" t="s">
        <v>5169</v>
      </c>
      <c r="S9" s="11" t="s">
        <v>5097</v>
      </c>
      <c r="T9" s="5" t="s">
        <v>5170</v>
      </c>
      <c r="U9" s="88" cm="1">
        <f t="array" ref="U9">ROUND(SUMIF(Movements!$B$5:$B$329,$A9,Movements!$F$5:$F$329)*INDEX($Z$4:$Z$13,MATCH($N9&amp;$Q9,$X$4:$X$13&amp;$Y$4:$Y$13,0))+INDEX($AA$4:$AA$13,MATCH($N9&amp;$Q9,$X$4:$X$13&amp;$Y$4:$Y$13,0)),2)</f>
        <v>964.66</v>
      </c>
      <c r="V9" s="2"/>
      <c r="X9" t="s">
        <v>4894</v>
      </c>
      <c r="Y9" t="s">
        <v>5151</v>
      </c>
      <c r="Z9">
        <v>0.12</v>
      </c>
      <c r="AA9">
        <v>250</v>
      </c>
    </row>
    <row r="10" spans="1:27">
      <c r="A10" s="11" t="s">
        <v>5171</v>
      </c>
      <c r="B10" s="5" t="s">
        <v>5142</v>
      </c>
      <c r="C10" s="28">
        <v>46095</v>
      </c>
      <c r="D10" s="28">
        <v>46107</v>
      </c>
      <c r="E10" s="5" t="s">
        <v>5143</v>
      </c>
      <c r="F10" s="28">
        <v>46096</v>
      </c>
      <c r="G10" s="28"/>
      <c r="H10" s="5"/>
      <c r="I10" s="11" t="s">
        <v>1375</v>
      </c>
      <c r="J10" s="11" t="s">
        <v>234</v>
      </c>
      <c r="K10" s="5" t="s">
        <v>1066</v>
      </c>
      <c r="L10" s="11"/>
      <c r="M10" s="11"/>
      <c r="N10" s="5" t="s">
        <v>4882</v>
      </c>
      <c r="O10" s="5" t="s">
        <v>5157</v>
      </c>
      <c r="P10" s="5" t="s">
        <v>5158</v>
      </c>
      <c r="Q10" s="5" t="s">
        <v>5145</v>
      </c>
      <c r="R10" s="5" t="s">
        <v>5159</v>
      </c>
      <c r="S10" s="11" t="s">
        <v>5034</v>
      </c>
      <c r="T10" s="5" t="s">
        <v>5172</v>
      </c>
      <c r="U10" s="88" cm="1">
        <f t="array" ref="U10">ROUND(SUMIF(Movements!$B$5:$B$329,$A10,Movements!$F$5:$F$329)*INDEX($Z$4:$Z$13,MATCH($N10&amp;$Q10,$X$4:$X$13&amp;$Y$4:$Y$13,0))+INDEX($AA$4:$AA$13,MATCH($N10&amp;$Q10,$X$4:$X$13&amp;$Y$4:$Y$13,0)),2)</f>
        <v>54.78</v>
      </c>
      <c r="V10" s="2"/>
      <c r="X10" t="s">
        <v>4907</v>
      </c>
      <c r="Y10" t="s">
        <v>5145</v>
      </c>
      <c r="Z10">
        <v>0.75</v>
      </c>
      <c r="AA10">
        <v>100</v>
      </c>
    </row>
    <row r="11" spans="1:27">
      <c r="A11" s="11" t="s">
        <v>5173</v>
      </c>
      <c r="B11" s="5" t="s">
        <v>5174</v>
      </c>
      <c r="C11" s="28">
        <v>46102</v>
      </c>
      <c r="D11" s="28">
        <v>46104</v>
      </c>
      <c r="E11" s="5" t="s">
        <v>5143</v>
      </c>
      <c r="F11" s="28">
        <v>46103</v>
      </c>
      <c r="G11" s="28"/>
      <c r="H11" s="5"/>
      <c r="I11" s="11" t="s">
        <v>1359</v>
      </c>
      <c r="J11" s="11"/>
      <c r="K11" s="5"/>
      <c r="L11" s="11" t="s">
        <v>1391</v>
      </c>
      <c r="M11" s="11"/>
      <c r="N11" s="5" t="s">
        <v>4894</v>
      </c>
      <c r="O11" s="5" t="s">
        <v>5165</v>
      </c>
      <c r="P11" s="5" t="s">
        <v>5175</v>
      </c>
      <c r="Q11" s="5" t="s">
        <v>5151</v>
      </c>
      <c r="R11" s="5" t="s">
        <v>5152</v>
      </c>
      <c r="S11" s="11" t="s">
        <v>5024</v>
      </c>
      <c r="T11" s="5" t="s">
        <v>5176</v>
      </c>
      <c r="U11" s="88" cm="1">
        <f t="array" ref="U11">ROUND(SUMIF(Movements!$B$5:$B$329,$A11,Movements!$F$5:$F$329)*INDEX($Z$4:$Z$13,MATCH($N11&amp;$Q11,$X$4:$X$13&amp;$Y$4:$Y$13,0))+INDEX($AA$4:$AA$13,MATCH($N11&amp;$Q11,$X$4:$X$13&amp;$Y$4:$Y$13,0)),2)</f>
        <v>258.89</v>
      </c>
      <c r="V11" s="2"/>
      <c r="X11" t="s">
        <v>4907</v>
      </c>
      <c r="Y11" t="s">
        <v>5151</v>
      </c>
      <c r="Z11">
        <v>4.5</v>
      </c>
      <c r="AA11">
        <v>350</v>
      </c>
    </row>
    <row r="12" spans="1:27">
      <c r="A12" s="11" t="s">
        <v>5177</v>
      </c>
      <c r="B12" s="5" t="s">
        <v>5142</v>
      </c>
      <c r="C12" s="28">
        <v>46085</v>
      </c>
      <c r="D12" s="28">
        <v>46101</v>
      </c>
      <c r="E12" s="5" t="s">
        <v>1280</v>
      </c>
      <c r="F12" s="28">
        <v>46084</v>
      </c>
      <c r="G12" s="28">
        <v>46102</v>
      </c>
      <c r="H12" s="5"/>
      <c r="I12" s="11" t="s">
        <v>1375</v>
      </c>
      <c r="J12" s="11" t="s">
        <v>244</v>
      </c>
      <c r="K12" s="5" t="s">
        <v>817</v>
      </c>
      <c r="L12" s="11"/>
      <c r="M12" s="11"/>
      <c r="N12" s="5" t="s">
        <v>4882</v>
      </c>
      <c r="O12" s="5" t="s">
        <v>5157</v>
      </c>
      <c r="P12" s="5" t="s">
        <v>5158</v>
      </c>
      <c r="Q12" s="5" t="s">
        <v>5145</v>
      </c>
      <c r="R12" s="5" t="s">
        <v>5159</v>
      </c>
      <c r="S12" s="11" t="s">
        <v>5085</v>
      </c>
      <c r="T12" s="5" t="s">
        <v>5178</v>
      </c>
      <c r="U12" s="88" cm="1">
        <f t="array" ref="U12">ROUND(SUMIF(Movements!$B$5:$B$329,$A12,Movements!$F$5:$F$329)*INDEX($Z$4:$Z$13,MATCH($N12&amp;$Q12,$X$4:$X$13&amp;$Y$4:$Y$13,0))+INDEX($AA$4:$AA$13,MATCH($N12&amp;$Q12,$X$4:$X$13&amp;$Y$4:$Y$13,0)),2)</f>
        <v>60.58</v>
      </c>
      <c r="V12" s="2"/>
      <c r="X12" t="s">
        <v>4931</v>
      </c>
      <c r="Y12" t="s">
        <v>5145</v>
      </c>
      <c r="Z12">
        <v>0.1</v>
      </c>
      <c r="AA12">
        <v>80</v>
      </c>
    </row>
    <row r="13" spans="1:27">
      <c r="A13" s="11" t="s">
        <v>5179</v>
      </c>
      <c r="B13" s="5" t="s">
        <v>5142</v>
      </c>
      <c r="C13" s="28">
        <v>46099</v>
      </c>
      <c r="D13" s="28">
        <v>46106</v>
      </c>
      <c r="E13" s="5" t="s">
        <v>1266</v>
      </c>
      <c r="F13" s="28"/>
      <c r="G13" s="28"/>
      <c r="H13" s="5"/>
      <c r="I13" s="11" t="s">
        <v>1351</v>
      </c>
      <c r="J13" s="11" t="s">
        <v>244</v>
      </c>
      <c r="K13" s="5" t="s">
        <v>891</v>
      </c>
      <c r="L13" s="11"/>
      <c r="M13" s="11"/>
      <c r="N13" s="5" t="s">
        <v>4882</v>
      </c>
      <c r="O13" s="5" t="s">
        <v>5157</v>
      </c>
      <c r="P13" s="5" t="s">
        <v>5158</v>
      </c>
      <c r="Q13" s="5" t="s">
        <v>5145</v>
      </c>
      <c r="R13" s="5" t="s">
        <v>5159</v>
      </c>
      <c r="S13" s="11" t="s">
        <v>4944</v>
      </c>
      <c r="T13" s="5" t="s">
        <v>5180</v>
      </c>
      <c r="U13" s="88" cm="1">
        <f t="array" ref="U13">ROUND(SUMIF(Movements!$B$5:$B$329,$A13,Movements!$F$5:$F$329)*INDEX($Z$4:$Z$13,MATCH($N13&amp;$Q13,$X$4:$X$13&amp;$Y$4:$Y$13,0))+INDEX($AA$4:$AA$13,MATCH($N13&amp;$Q13,$X$4:$X$13&amp;$Y$4:$Y$13,0)),2)</f>
        <v>65.11</v>
      </c>
      <c r="V13" s="2"/>
      <c r="X13" t="s">
        <v>4931</v>
      </c>
      <c r="Y13" t="s">
        <v>5151</v>
      </c>
      <c r="Z13">
        <v>0.3</v>
      </c>
      <c r="AA13">
        <v>200</v>
      </c>
    </row>
    <row r="14" spans="1:27">
      <c r="A14" s="11" t="s">
        <v>5181</v>
      </c>
      <c r="B14" s="5" t="s">
        <v>5142</v>
      </c>
      <c r="C14" s="28">
        <v>46111</v>
      </c>
      <c r="D14" s="28">
        <v>46112</v>
      </c>
      <c r="E14" s="5" t="s">
        <v>1266</v>
      </c>
      <c r="F14" s="28"/>
      <c r="G14" s="28"/>
      <c r="H14" s="5"/>
      <c r="I14" s="11" t="s">
        <v>1375</v>
      </c>
      <c r="J14" s="11" t="s">
        <v>244</v>
      </c>
      <c r="K14" s="5" t="s">
        <v>1069</v>
      </c>
      <c r="L14" s="11"/>
      <c r="M14" s="11"/>
      <c r="N14" s="5" t="s">
        <v>4931</v>
      </c>
      <c r="O14" s="5" t="s">
        <v>1197</v>
      </c>
      <c r="P14" s="5" t="s">
        <v>5175</v>
      </c>
      <c r="Q14" s="5" t="s">
        <v>5145</v>
      </c>
      <c r="R14" s="5" t="s">
        <v>5146</v>
      </c>
      <c r="S14" s="11" t="s">
        <v>5089</v>
      </c>
      <c r="T14" s="5" t="s">
        <v>5182</v>
      </c>
      <c r="U14" s="88" cm="1">
        <f t="array" ref="U14">ROUND(SUMIF(Movements!$B$5:$B$329,$A14,Movements!$F$5:$F$329)*INDEX($Z$4:$Z$13,MATCH($N14&amp;$Q14,$X$4:$X$13&amp;$Y$4:$Y$13,0))+INDEX($AA$4:$AA$13,MATCH($N14&amp;$Q14,$X$4:$X$13&amp;$Y$4:$Y$13,0)),2)</f>
        <v>99.44</v>
      </c>
      <c r="V14" s="2"/>
    </row>
    <row r="15" spans="1:27">
      <c r="A15" s="11" t="s">
        <v>5183</v>
      </c>
      <c r="B15" s="5" t="s">
        <v>5155</v>
      </c>
      <c r="C15" s="28">
        <v>46098</v>
      </c>
      <c r="D15" s="28">
        <v>46105</v>
      </c>
      <c r="E15" s="5" t="s">
        <v>5143</v>
      </c>
      <c r="F15" s="28">
        <v>46100</v>
      </c>
      <c r="G15" s="28"/>
      <c r="H15" s="5" t="s">
        <v>5184</v>
      </c>
      <c r="I15" s="11"/>
      <c r="J15" s="11"/>
      <c r="K15" s="5"/>
      <c r="L15" s="11" t="s">
        <v>1359</v>
      </c>
      <c r="M15" s="11" t="s">
        <v>244</v>
      </c>
      <c r="N15" s="5" t="s">
        <v>4894</v>
      </c>
      <c r="O15" s="5" t="s">
        <v>5149</v>
      </c>
      <c r="P15" s="5" t="s">
        <v>5158</v>
      </c>
      <c r="Q15" s="5" t="s">
        <v>5151</v>
      </c>
      <c r="R15" s="5" t="s">
        <v>5169</v>
      </c>
      <c r="S15" s="11" t="s">
        <v>5039</v>
      </c>
      <c r="T15" s="5" t="s">
        <v>5185</v>
      </c>
      <c r="U15" s="88" cm="1">
        <f t="array" ref="U15">ROUND(SUMIF(Movements!$B$5:$B$329,$A15,Movements!$F$5:$F$329)*INDEX($Z$4:$Z$13,MATCH($N15&amp;$Q15,$X$4:$X$13&amp;$Y$4:$Y$13,0))+INDEX($AA$4:$AA$13,MATCH($N15&amp;$Q15,$X$4:$X$13&amp;$Y$4:$Y$13,0)),2)</f>
        <v>281.82</v>
      </c>
      <c r="V15" s="2"/>
    </row>
    <row r="16" spans="1:27">
      <c r="A16" s="11" t="s">
        <v>5186</v>
      </c>
      <c r="B16" s="5" t="s">
        <v>5142</v>
      </c>
      <c r="C16" s="28">
        <v>46105</v>
      </c>
      <c r="D16" s="28">
        <v>46110</v>
      </c>
      <c r="E16" s="5" t="s">
        <v>1266</v>
      </c>
      <c r="F16" s="28"/>
      <c r="G16" s="28"/>
      <c r="H16" s="5"/>
      <c r="I16" s="11" t="s">
        <v>1359</v>
      </c>
      <c r="J16" s="11" t="s">
        <v>244</v>
      </c>
      <c r="K16" s="5" t="s">
        <v>825</v>
      </c>
      <c r="L16" s="11"/>
      <c r="M16" s="11"/>
      <c r="N16" s="5" t="s">
        <v>4882</v>
      </c>
      <c r="O16" s="5" t="s">
        <v>1197</v>
      </c>
      <c r="P16" s="5" t="s">
        <v>5175</v>
      </c>
      <c r="Q16" s="5" t="s">
        <v>5145</v>
      </c>
      <c r="R16" s="5" t="s">
        <v>5146</v>
      </c>
      <c r="S16" s="11" t="s">
        <v>4892</v>
      </c>
      <c r="T16" s="5" t="s">
        <v>5187</v>
      </c>
      <c r="U16" s="88" cm="1">
        <f t="array" ref="U16">ROUND(SUMIF(Movements!$B$5:$B$329,$A16,Movements!$F$5:$F$329)*INDEX($Z$4:$Z$13,MATCH($N16&amp;$Q16,$X$4:$X$13&amp;$Y$4:$Y$13,0))+INDEX($AA$4:$AA$13,MATCH($N16&amp;$Q16,$X$4:$X$13&amp;$Y$4:$Y$13,0)),2)</f>
        <v>61.81</v>
      </c>
      <c r="V16" s="2"/>
    </row>
    <row r="17" spans="1:22">
      <c r="A17" s="11" t="s">
        <v>5188</v>
      </c>
      <c r="B17" s="5" t="s">
        <v>5142</v>
      </c>
      <c r="C17" s="28">
        <v>46109</v>
      </c>
      <c r="D17" s="28">
        <v>46114</v>
      </c>
      <c r="E17" s="5" t="s">
        <v>1266</v>
      </c>
      <c r="F17" s="28"/>
      <c r="G17" s="28"/>
      <c r="H17" s="5"/>
      <c r="I17" s="11" t="s">
        <v>1343</v>
      </c>
      <c r="J17" s="11" t="s">
        <v>234</v>
      </c>
      <c r="K17" s="5" t="s">
        <v>1088</v>
      </c>
      <c r="L17" s="11"/>
      <c r="M17" s="11"/>
      <c r="N17" s="5" t="s">
        <v>4882</v>
      </c>
      <c r="O17" s="5" t="s">
        <v>1197</v>
      </c>
      <c r="P17" s="5" t="s">
        <v>5175</v>
      </c>
      <c r="Q17" s="5" t="s">
        <v>5145</v>
      </c>
      <c r="R17" s="5" t="s">
        <v>5146</v>
      </c>
      <c r="S17" s="11" t="s">
        <v>4937</v>
      </c>
      <c r="T17" s="5" t="s">
        <v>5189</v>
      </c>
      <c r="U17" s="88" cm="1">
        <f t="array" ref="U17">ROUND(SUMIF(Movements!$B$5:$B$329,$A17,Movements!$F$5:$F$329)*INDEX($Z$4:$Z$13,MATCH($N17&amp;$Q17,$X$4:$X$13&amp;$Y$4:$Y$13,0))+INDEX($AA$4:$AA$13,MATCH($N17&amp;$Q17,$X$4:$X$13&amp;$Y$4:$Y$13,0)),2)</f>
        <v>50</v>
      </c>
      <c r="V17" s="2"/>
    </row>
    <row r="18" spans="1:22">
      <c r="A18" s="11" t="s">
        <v>5190</v>
      </c>
      <c r="B18" s="5" t="s">
        <v>5174</v>
      </c>
      <c r="C18" s="28">
        <v>46110</v>
      </c>
      <c r="D18" s="28">
        <v>46122</v>
      </c>
      <c r="E18" s="5" t="s">
        <v>1266</v>
      </c>
      <c r="F18" s="28"/>
      <c r="G18" s="28"/>
      <c r="H18" s="5"/>
      <c r="I18" s="11" t="s">
        <v>1367</v>
      </c>
      <c r="J18" s="11" t="s">
        <v>244</v>
      </c>
      <c r="K18" s="5"/>
      <c r="L18" s="11" t="s">
        <v>1328</v>
      </c>
      <c r="M18" s="11"/>
      <c r="N18" s="5" t="s">
        <v>4894</v>
      </c>
      <c r="O18" s="5" t="s">
        <v>5149</v>
      </c>
      <c r="P18" s="5" t="s">
        <v>5175</v>
      </c>
      <c r="Q18" s="5" t="s">
        <v>5151</v>
      </c>
      <c r="R18" s="5" t="s">
        <v>5152</v>
      </c>
      <c r="S18" s="11" t="s">
        <v>5081</v>
      </c>
      <c r="T18" s="5" t="s">
        <v>5191</v>
      </c>
      <c r="U18" s="88" cm="1">
        <f t="array" ref="U18">ROUND(SUMIF(Movements!$B$5:$B$329,$A18,Movements!$F$5:$F$329)*INDEX($Z$4:$Z$13,MATCH($N18&amp;$Q18,$X$4:$X$13&amp;$Y$4:$Y$13,0))+INDEX($AA$4:$AA$13,MATCH($N18&amp;$Q18,$X$4:$X$13&amp;$Y$4:$Y$13,0)),2)</f>
        <v>265.55</v>
      </c>
      <c r="V18" s="2"/>
    </row>
    <row r="19" spans="1:22">
      <c r="A19" s="11" t="s">
        <v>5192</v>
      </c>
      <c r="B19" s="5" t="s">
        <v>5174</v>
      </c>
      <c r="C19" s="28">
        <v>46109</v>
      </c>
      <c r="D19" s="28">
        <v>46120</v>
      </c>
      <c r="E19" s="5" t="s">
        <v>5143</v>
      </c>
      <c r="F19" s="28">
        <v>46109</v>
      </c>
      <c r="G19" s="28"/>
      <c r="H19" s="5"/>
      <c r="I19" s="11" t="s">
        <v>1359</v>
      </c>
      <c r="J19" s="11"/>
      <c r="K19" s="5"/>
      <c r="L19" s="11" t="s">
        <v>1313</v>
      </c>
      <c r="M19" s="11"/>
      <c r="N19" s="5" t="s">
        <v>4907</v>
      </c>
      <c r="O19" s="5" t="s">
        <v>5193</v>
      </c>
      <c r="P19" s="5" t="s">
        <v>5158</v>
      </c>
      <c r="Q19" s="5" t="s">
        <v>5151</v>
      </c>
      <c r="R19" s="5" t="s">
        <v>5169</v>
      </c>
      <c r="S19" s="11" t="s">
        <v>4917</v>
      </c>
      <c r="T19" s="5" t="s">
        <v>5194</v>
      </c>
      <c r="U19" s="88" cm="1">
        <f t="array" ref="U19">ROUND(SUMIF(Movements!$B$5:$B$329,$A19,Movements!$F$5:$F$329)*INDEX($Z$4:$Z$13,MATCH($N19&amp;$Q19,$X$4:$X$13&amp;$Y$4:$Y$13,0))+INDEX($AA$4:$AA$13,MATCH($N19&amp;$Q19,$X$4:$X$13&amp;$Y$4:$Y$13,0)),2)</f>
        <v>644.29999999999995</v>
      </c>
      <c r="V19" s="2"/>
    </row>
    <row r="20" spans="1:22">
      <c r="A20" s="11" t="s">
        <v>5195</v>
      </c>
      <c r="B20" s="5" t="s">
        <v>5155</v>
      </c>
      <c r="C20" s="28">
        <v>46092</v>
      </c>
      <c r="D20" s="28">
        <v>46093</v>
      </c>
      <c r="E20" s="5" t="s">
        <v>1280</v>
      </c>
      <c r="F20" s="28">
        <v>46091</v>
      </c>
      <c r="G20" s="28">
        <v>46093</v>
      </c>
      <c r="H20" s="5" t="s">
        <v>5196</v>
      </c>
      <c r="I20" s="11"/>
      <c r="J20" s="11"/>
      <c r="K20" s="5"/>
      <c r="L20" s="11" t="s">
        <v>1359</v>
      </c>
      <c r="M20" s="11" t="s">
        <v>244</v>
      </c>
      <c r="N20" s="5" t="s">
        <v>4894</v>
      </c>
      <c r="O20" s="5" t="s">
        <v>5149</v>
      </c>
      <c r="P20" s="5" t="s">
        <v>5175</v>
      </c>
      <c r="Q20" s="5" t="s">
        <v>5151</v>
      </c>
      <c r="R20" s="5" t="s">
        <v>5152</v>
      </c>
      <c r="S20" s="11" t="s">
        <v>4958</v>
      </c>
      <c r="T20" s="5" t="s">
        <v>5197</v>
      </c>
      <c r="U20" s="88" cm="1">
        <f t="array" ref="U20">ROUND(SUMIF(Movements!$B$5:$B$329,$A20,Movements!$F$5:$F$329)*INDEX($Z$4:$Z$13,MATCH($N20&amp;$Q20,$X$4:$X$13&amp;$Y$4:$Y$13,0))+INDEX($AA$4:$AA$13,MATCH($N20&amp;$Q20,$X$4:$X$13&amp;$Y$4:$Y$13,0)),2)</f>
        <v>281.70999999999998</v>
      </c>
      <c r="V20" s="2"/>
    </row>
    <row r="21" spans="1:22">
      <c r="A21" s="11" t="s">
        <v>5198</v>
      </c>
      <c r="B21" s="5" t="s">
        <v>5142</v>
      </c>
      <c r="C21" s="28">
        <v>46095</v>
      </c>
      <c r="D21" s="28">
        <v>46096</v>
      </c>
      <c r="E21" s="5" t="s">
        <v>5143</v>
      </c>
      <c r="F21" s="28">
        <v>46097</v>
      </c>
      <c r="G21" s="28"/>
      <c r="H21" s="5"/>
      <c r="I21" s="11" t="s">
        <v>1343</v>
      </c>
      <c r="J21" s="11" t="s">
        <v>234</v>
      </c>
      <c r="K21" s="5" t="s">
        <v>1082</v>
      </c>
      <c r="L21" s="11"/>
      <c r="M21" s="11"/>
      <c r="N21" s="5" t="s">
        <v>4919</v>
      </c>
      <c r="O21" s="5" t="s">
        <v>5157</v>
      </c>
      <c r="P21" s="5" t="s">
        <v>5175</v>
      </c>
      <c r="Q21" s="5" t="s">
        <v>5145</v>
      </c>
      <c r="R21" s="5" t="s">
        <v>5146</v>
      </c>
      <c r="S21" s="11" t="s">
        <v>5073</v>
      </c>
      <c r="T21" s="5" t="s">
        <v>5199</v>
      </c>
      <c r="U21" s="88" cm="1">
        <f t="array" ref="U21">ROUND(SUMIF(Movements!$B$5:$B$329,$A21,Movements!$F$5:$F$329)*INDEX($Z$4:$Z$13,MATCH($N21&amp;$Q21,$X$4:$X$13&amp;$Y$4:$Y$13,0))+INDEX($AA$4:$AA$13,MATCH($N21&amp;$Q21,$X$4:$X$13&amp;$Y$4:$Y$13,0)),2)</f>
        <v>40</v>
      </c>
      <c r="V21" s="2"/>
    </row>
    <row r="22" spans="1:22">
      <c r="A22" s="11" t="s">
        <v>5200</v>
      </c>
      <c r="B22" s="5" t="s">
        <v>5142</v>
      </c>
      <c r="C22" s="28">
        <v>46091</v>
      </c>
      <c r="D22" s="28">
        <v>46096</v>
      </c>
      <c r="E22" s="5" t="s">
        <v>1280</v>
      </c>
      <c r="F22" s="28">
        <v>46091</v>
      </c>
      <c r="G22" s="28">
        <v>46095</v>
      </c>
      <c r="H22" s="5"/>
      <c r="I22" s="11" t="s">
        <v>1351</v>
      </c>
      <c r="J22" s="11" t="s">
        <v>234</v>
      </c>
      <c r="K22" s="5" t="s">
        <v>876</v>
      </c>
      <c r="L22" s="11" t="s">
        <v>1313</v>
      </c>
      <c r="M22" s="11"/>
      <c r="N22" s="5" t="s">
        <v>4894</v>
      </c>
      <c r="O22" s="5" t="s">
        <v>5193</v>
      </c>
      <c r="P22" s="5" t="s">
        <v>5144</v>
      </c>
      <c r="Q22" s="5" t="s">
        <v>5151</v>
      </c>
      <c r="R22" s="5" t="s">
        <v>5152</v>
      </c>
      <c r="S22" s="11" t="s">
        <v>5014</v>
      </c>
      <c r="T22" s="5" t="s">
        <v>5201</v>
      </c>
      <c r="U22" s="88" cm="1">
        <f t="array" ref="U22">ROUND(SUMIF(Movements!$B$5:$B$329,$A22,Movements!$F$5:$F$329)*INDEX($Z$4:$Z$13,MATCH($N22&amp;$Q22,$X$4:$X$13&amp;$Y$4:$Y$13,0))+INDEX($AA$4:$AA$13,MATCH($N22&amp;$Q22,$X$4:$X$13&amp;$Y$4:$Y$13,0)),2)</f>
        <v>266.64</v>
      </c>
      <c r="V22" s="2" t="s">
        <v>5202</v>
      </c>
    </row>
    <row r="23" spans="1:22">
      <c r="A23" s="11" t="s">
        <v>5203</v>
      </c>
      <c r="B23" s="5" t="s">
        <v>5142</v>
      </c>
      <c r="C23" s="28">
        <v>46091</v>
      </c>
      <c r="D23" s="28">
        <v>46094</v>
      </c>
      <c r="E23" s="5" t="s">
        <v>1280</v>
      </c>
      <c r="F23" s="28">
        <v>46093</v>
      </c>
      <c r="G23" s="28">
        <v>46095</v>
      </c>
      <c r="H23" s="5"/>
      <c r="I23" s="11" t="s">
        <v>1375</v>
      </c>
      <c r="J23" s="11" t="s">
        <v>234</v>
      </c>
      <c r="K23" s="5" t="s">
        <v>1033</v>
      </c>
      <c r="L23" s="11"/>
      <c r="M23" s="11"/>
      <c r="N23" s="5" t="s">
        <v>4931</v>
      </c>
      <c r="O23" s="5" t="s">
        <v>5157</v>
      </c>
      <c r="P23" s="5" t="s">
        <v>5175</v>
      </c>
      <c r="Q23" s="5" t="s">
        <v>5145</v>
      </c>
      <c r="R23" s="5" t="s">
        <v>5146</v>
      </c>
      <c r="S23" s="11" t="s">
        <v>5069</v>
      </c>
      <c r="T23" s="5" t="s">
        <v>5204</v>
      </c>
      <c r="U23" s="88" cm="1">
        <f t="array" ref="U23">ROUND(SUMIF(Movements!$B$5:$B$329,$A23,Movements!$F$5:$F$329)*INDEX($Z$4:$Z$13,MATCH($N23&amp;$Q23,$X$4:$X$13&amp;$Y$4:$Y$13,0))+INDEX($AA$4:$AA$13,MATCH($N23&amp;$Q23,$X$4:$X$13&amp;$Y$4:$Y$13,0)),2)</f>
        <v>80</v>
      </c>
      <c r="V23" s="2" t="s">
        <v>5205</v>
      </c>
    </row>
    <row r="24" spans="1:22">
      <c r="A24" s="11" t="s">
        <v>5206</v>
      </c>
      <c r="B24" s="5" t="s">
        <v>5142</v>
      </c>
      <c r="C24" s="28">
        <v>46101</v>
      </c>
      <c r="D24" s="28">
        <v>46106</v>
      </c>
      <c r="E24" s="5" t="s">
        <v>5143</v>
      </c>
      <c r="F24" s="28">
        <v>46101</v>
      </c>
      <c r="G24" s="28"/>
      <c r="H24" s="5"/>
      <c r="I24" s="11" t="s">
        <v>1375</v>
      </c>
      <c r="J24" s="11" t="s">
        <v>234</v>
      </c>
      <c r="K24" s="5" t="s">
        <v>891</v>
      </c>
      <c r="L24" s="11" t="s">
        <v>1399</v>
      </c>
      <c r="M24" s="11"/>
      <c r="N24" s="5" t="s">
        <v>4894</v>
      </c>
      <c r="O24" s="5" t="s">
        <v>5193</v>
      </c>
      <c r="P24" s="5" t="s">
        <v>5158</v>
      </c>
      <c r="Q24" s="5" t="s">
        <v>5151</v>
      </c>
      <c r="R24" s="5" t="s">
        <v>5169</v>
      </c>
      <c r="S24" s="11" t="s">
        <v>4879</v>
      </c>
      <c r="T24" s="5" t="s">
        <v>5207</v>
      </c>
      <c r="U24" s="88" cm="1">
        <f t="array" ref="U24">ROUND(SUMIF(Movements!$B$5:$B$329,$A24,Movements!$F$5:$F$329)*INDEX($Z$4:$Z$13,MATCH($N24&amp;$Q24,$X$4:$X$13&amp;$Y$4:$Y$13,0))+INDEX($AA$4:$AA$13,MATCH($N24&amp;$Q24,$X$4:$X$13&amp;$Y$4:$Y$13,0)),2)</f>
        <v>250</v>
      </c>
      <c r="V24" s="2"/>
    </row>
    <row r="25" spans="1:22">
      <c r="A25" s="11" t="s">
        <v>5208</v>
      </c>
      <c r="B25" s="5" t="s">
        <v>5142</v>
      </c>
      <c r="C25" s="28">
        <v>46098</v>
      </c>
      <c r="D25" s="28">
        <v>46112</v>
      </c>
      <c r="E25" s="5" t="s">
        <v>5143</v>
      </c>
      <c r="F25" s="28">
        <v>46098</v>
      </c>
      <c r="G25" s="28"/>
      <c r="H25" s="5"/>
      <c r="I25" s="11" t="s">
        <v>1375</v>
      </c>
      <c r="J25" s="11" t="s">
        <v>244</v>
      </c>
      <c r="K25" s="5" t="s">
        <v>904</v>
      </c>
      <c r="L25" s="11"/>
      <c r="M25" s="11"/>
      <c r="N25" s="5" t="s">
        <v>4882</v>
      </c>
      <c r="O25" s="5" t="s">
        <v>5157</v>
      </c>
      <c r="P25" s="5" t="s">
        <v>5175</v>
      </c>
      <c r="Q25" s="5" t="s">
        <v>5145</v>
      </c>
      <c r="R25" s="5" t="s">
        <v>5146</v>
      </c>
      <c r="S25" s="11" t="s">
        <v>5097</v>
      </c>
      <c r="T25" s="5" t="s">
        <v>5209</v>
      </c>
      <c r="U25" s="88" cm="1">
        <f t="array" ref="U25">ROUND(SUMIF(Movements!$B$5:$B$329,$A25,Movements!$F$5:$F$329)*INDEX($Z$4:$Z$13,MATCH($N25&amp;$Q25,$X$4:$X$13&amp;$Y$4:$Y$13,0))+INDEX($AA$4:$AA$13,MATCH($N25&amp;$Q25,$X$4:$X$13&amp;$Y$4:$Y$13,0)),2)</f>
        <v>58.85</v>
      </c>
      <c r="V25" s="2"/>
    </row>
    <row r="26" spans="1:22">
      <c r="A26" s="11" t="s">
        <v>5210</v>
      </c>
      <c r="B26" s="5" t="s">
        <v>5142</v>
      </c>
      <c r="C26" s="28">
        <v>46086</v>
      </c>
      <c r="D26" s="28">
        <v>46100</v>
      </c>
      <c r="E26" s="5" t="s">
        <v>5143</v>
      </c>
      <c r="F26" s="28">
        <v>46085</v>
      </c>
      <c r="G26" s="28"/>
      <c r="H26" s="5"/>
      <c r="I26" s="11" t="s">
        <v>1367</v>
      </c>
      <c r="J26" s="11" t="s">
        <v>234</v>
      </c>
      <c r="K26" s="5" t="s">
        <v>1121</v>
      </c>
      <c r="L26" s="11"/>
      <c r="M26" s="11"/>
      <c r="N26" s="5" t="s">
        <v>4919</v>
      </c>
      <c r="O26" s="5" t="s">
        <v>5157</v>
      </c>
      <c r="P26" s="5" t="s">
        <v>5175</v>
      </c>
      <c r="Q26" s="5" t="s">
        <v>5145</v>
      </c>
      <c r="R26" s="5" t="s">
        <v>5146</v>
      </c>
      <c r="S26" s="11" t="s">
        <v>5034</v>
      </c>
      <c r="T26" s="5" t="s">
        <v>5211</v>
      </c>
      <c r="U26" s="88" cm="1">
        <f t="array" ref="U26">ROUND(SUMIF(Movements!$B$5:$B$329,$A26,Movements!$F$5:$F$329)*INDEX($Z$4:$Z$13,MATCH($N26&amp;$Q26,$X$4:$X$13&amp;$Y$4:$Y$13,0))+INDEX($AA$4:$AA$13,MATCH($N26&amp;$Q26,$X$4:$X$13&amp;$Y$4:$Y$13,0)),2)</f>
        <v>40</v>
      </c>
      <c r="V26" s="2"/>
    </row>
    <row r="27" spans="1:22">
      <c r="A27" s="11" t="s">
        <v>5212</v>
      </c>
      <c r="B27" s="5" t="s">
        <v>5174</v>
      </c>
      <c r="C27" s="28">
        <v>46084</v>
      </c>
      <c r="D27" s="28">
        <v>46096</v>
      </c>
      <c r="E27" s="5" t="s">
        <v>5143</v>
      </c>
      <c r="F27" s="28">
        <v>46084</v>
      </c>
      <c r="G27" s="28"/>
      <c r="H27" s="5"/>
      <c r="I27" s="11" t="s">
        <v>1351</v>
      </c>
      <c r="J27" s="11"/>
      <c r="K27" s="5"/>
      <c r="L27" s="11" t="s">
        <v>1391</v>
      </c>
      <c r="M27" s="11"/>
      <c r="N27" s="5" t="s">
        <v>4931</v>
      </c>
      <c r="O27" s="5" t="s">
        <v>5165</v>
      </c>
      <c r="P27" s="5" t="s">
        <v>5175</v>
      </c>
      <c r="Q27" s="5" t="s">
        <v>5151</v>
      </c>
      <c r="R27" s="5" t="s">
        <v>5152</v>
      </c>
      <c r="S27" s="11" t="s">
        <v>5014</v>
      </c>
      <c r="T27" s="5" t="s">
        <v>5213</v>
      </c>
      <c r="U27" s="88" cm="1">
        <f t="array" ref="U27">ROUND(SUMIF(Movements!$B$5:$B$329,$A27,Movements!$F$5:$F$329)*INDEX($Z$4:$Z$13,MATCH($N27&amp;$Q27,$X$4:$X$13&amp;$Y$4:$Y$13,0))+INDEX($AA$4:$AA$13,MATCH($N27&amp;$Q27,$X$4:$X$13&amp;$Y$4:$Y$13,0)),2)</f>
        <v>220.65</v>
      </c>
      <c r="V27" s="2"/>
    </row>
    <row r="28" spans="1:22">
      <c r="A28" s="11" t="s">
        <v>5214</v>
      </c>
      <c r="B28" s="5" t="s">
        <v>5155</v>
      </c>
      <c r="C28" s="28">
        <v>46107</v>
      </c>
      <c r="D28" s="28">
        <v>46113</v>
      </c>
      <c r="E28" s="5" t="s">
        <v>5143</v>
      </c>
      <c r="F28" s="28">
        <v>46109</v>
      </c>
      <c r="G28" s="28"/>
      <c r="H28" s="5" t="s">
        <v>5168</v>
      </c>
      <c r="I28" s="11"/>
      <c r="J28" s="11"/>
      <c r="K28" s="5"/>
      <c r="L28" s="11" t="s">
        <v>1351</v>
      </c>
      <c r="M28" s="11" t="s">
        <v>234</v>
      </c>
      <c r="N28" s="5" t="s">
        <v>4894</v>
      </c>
      <c r="O28" s="5" t="s">
        <v>5149</v>
      </c>
      <c r="P28" s="5" t="s">
        <v>5158</v>
      </c>
      <c r="Q28" s="5" t="s">
        <v>5151</v>
      </c>
      <c r="R28" s="5" t="s">
        <v>5169</v>
      </c>
      <c r="S28" s="11" t="s">
        <v>5054</v>
      </c>
      <c r="T28" s="5" t="s">
        <v>5215</v>
      </c>
      <c r="U28" s="88" cm="1">
        <f t="array" ref="U28">ROUND(SUMIF(Movements!$B$5:$B$329,$A28,Movements!$F$5:$F$329)*INDEX($Z$4:$Z$13,MATCH($N28&amp;$Q28,$X$4:$X$13&amp;$Y$4:$Y$13,0))+INDEX($AA$4:$AA$13,MATCH($N28&amp;$Q28,$X$4:$X$13&amp;$Y$4:$Y$13,0)),2)</f>
        <v>264.02999999999997</v>
      </c>
      <c r="V28" s="2"/>
    </row>
    <row r="29" spans="1:22">
      <c r="A29" s="11" t="s">
        <v>5216</v>
      </c>
      <c r="B29" s="5" t="s">
        <v>5142</v>
      </c>
      <c r="C29" s="28">
        <v>46092</v>
      </c>
      <c r="D29" s="28">
        <v>46110</v>
      </c>
      <c r="E29" s="5" t="s">
        <v>1280</v>
      </c>
      <c r="F29" s="28">
        <v>46091</v>
      </c>
      <c r="G29" s="28">
        <v>46112</v>
      </c>
      <c r="H29" s="5"/>
      <c r="I29" s="11" t="s">
        <v>1375</v>
      </c>
      <c r="J29" s="11" t="s">
        <v>234</v>
      </c>
      <c r="K29" s="5" t="s">
        <v>860</v>
      </c>
      <c r="L29" s="11"/>
      <c r="M29" s="11"/>
      <c r="N29" s="5" t="s">
        <v>4882</v>
      </c>
      <c r="O29" s="5" t="s">
        <v>5157</v>
      </c>
      <c r="P29" s="5" t="s">
        <v>5158</v>
      </c>
      <c r="Q29" s="5" t="s">
        <v>5145</v>
      </c>
      <c r="R29" s="5" t="s">
        <v>5159</v>
      </c>
      <c r="S29" s="11" t="s">
        <v>5085</v>
      </c>
      <c r="T29" s="5" t="s">
        <v>5217</v>
      </c>
      <c r="U29" s="88" cm="1">
        <f t="array" ref="U29">ROUND(SUMIF(Movements!$B$5:$B$329,$A29,Movements!$F$5:$F$329)*INDEX($Z$4:$Z$13,MATCH($N29&amp;$Q29,$X$4:$X$13&amp;$Y$4:$Y$13,0))+INDEX($AA$4:$AA$13,MATCH($N29&amp;$Q29,$X$4:$X$13&amp;$Y$4:$Y$13,0)),2)</f>
        <v>59.95</v>
      </c>
      <c r="V29" s="2"/>
    </row>
    <row r="30" spans="1:22">
      <c r="A30" s="11" t="s">
        <v>5218</v>
      </c>
      <c r="B30" s="5" t="s">
        <v>5174</v>
      </c>
      <c r="C30" s="28">
        <v>46111</v>
      </c>
      <c r="D30" s="28">
        <v>46121</v>
      </c>
      <c r="E30" s="5" t="s">
        <v>1266</v>
      </c>
      <c r="F30" s="28"/>
      <c r="G30" s="28"/>
      <c r="H30" s="5"/>
      <c r="I30" s="11" t="s">
        <v>1343</v>
      </c>
      <c r="J30" s="11"/>
      <c r="K30" s="5"/>
      <c r="L30" s="11" t="s">
        <v>1359</v>
      </c>
      <c r="M30" s="11"/>
      <c r="N30" s="5" t="s">
        <v>4882</v>
      </c>
      <c r="O30" s="5" t="s">
        <v>5157</v>
      </c>
      <c r="P30" s="5" t="s">
        <v>5175</v>
      </c>
      <c r="Q30" s="5" t="s">
        <v>5145</v>
      </c>
      <c r="R30" s="5" t="s">
        <v>5146</v>
      </c>
      <c r="S30" s="11" t="s">
        <v>4892</v>
      </c>
      <c r="T30" s="5" t="s">
        <v>5219</v>
      </c>
      <c r="U30" s="88" cm="1">
        <f t="array" ref="U30">ROUND(SUMIF(Movements!$B$5:$B$329,$A30,Movements!$F$5:$F$329)*INDEX($Z$4:$Z$13,MATCH($N30&amp;$Q30,$X$4:$X$13&amp;$Y$4:$Y$13,0))+INDEX($AA$4:$AA$13,MATCH($N30&amp;$Q30,$X$4:$X$13&amp;$Y$4:$Y$13,0)),2)</f>
        <v>55.12</v>
      </c>
      <c r="V30" s="2"/>
    </row>
    <row r="31" spans="1:22">
      <c r="A31" s="11" t="s">
        <v>5220</v>
      </c>
      <c r="B31" s="5" t="s">
        <v>5142</v>
      </c>
      <c r="C31" s="28">
        <v>46104</v>
      </c>
      <c r="D31" s="28">
        <v>46108</v>
      </c>
      <c r="E31" s="5" t="s">
        <v>1266</v>
      </c>
      <c r="F31" s="28"/>
      <c r="G31" s="28"/>
      <c r="H31" s="5"/>
      <c r="I31" s="11" t="s">
        <v>1375</v>
      </c>
      <c r="J31" s="11" t="s">
        <v>234</v>
      </c>
      <c r="K31" s="5" t="s">
        <v>976</v>
      </c>
      <c r="L31" s="11"/>
      <c r="M31" s="11"/>
      <c r="N31" s="5" t="s">
        <v>4882</v>
      </c>
      <c r="O31" s="5" t="s">
        <v>5157</v>
      </c>
      <c r="P31" s="5" t="s">
        <v>5158</v>
      </c>
      <c r="Q31" s="5" t="s">
        <v>5145</v>
      </c>
      <c r="R31" s="5" t="s">
        <v>5159</v>
      </c>
      <c r="S31" s="11" t="s">
        <v>4892</v>
      </c>
      <c r="T31" s="5" t="s">
        <v>5221</v>
      </c>
      <c r="U31" s="88" cm="1">
        <f t="array" ref="U31">ROUND(SUMIF(Movements!$B$5:$B$329,$A31,Movements!$F$5:$F$329)*INDEX($Z$4:$Z$13,MATCH($N31&amp;$Q31,$X$4:$X$13&amp;$Y$4:$Y$13,0))+INDEX($AA$4:$AA$13,MATCH($N31&amp;$Q31,$X$4:$X$13&amp;$Y$4:$Y$13,0)),2)</f>
        <v>54.74</v>
      </c>
      <c r="V31" s="2"/>
    </row>
    <row r="32" spans="1:22">
      <c r="A32" s="11" t="s">
        <v>5222</v>
      </c>
      <c r="B32" s="5" t="s">
        <v>5142</v>
      </c>
      <c r="C32" s="28">
        <v>46111</v>
      </c>
      <c r="D32" s="28">
        <v>46121</v>
      </c>
      <c r="E32" s="5" t="s">
        <v>5143</v>
      </c>
      <c r="F32" s="28">
        <v>46111</v>
      </c>
      <c r="G32" s="28"/>
      <c r="H32" s="5"/>
      <c r="I32" s="11" t="s">
        <v>1351</v>
      </c>
      <c r="J32" s="11" t="s">
        <v>234</v>
      </c>
      <c r="K32" s="5" t="s">
        <v>894</v>
      </c>
      <c r="L32" s="11"/>
      <c r="M32" s="11"/>
      <c r="N32" s="5" t="s">
        <v>4882</v>
      </c>
      <c r="O32" s="5" t="s">
        <v>5157</v>
      </c>
      <c r="P32" s="5" t="s">
        <v>5175</v>
      </c>
      <c r="Q32" s="5" t="s">
        <v>5145</v>
      </c>
      <c r="R32" s="5" t="s">
        <v>5146</v>
      </c>
      <c r="S32" s="11" t="s">
        <v>4928</v>
      </c>
      <c r="T32" s="5" t="s">
        <v>5223</v>
      </c>
      <c r="U32" s="88" cm="1">
        <f t="array" ref="U32">ROUND(SUMIF(Movements!$B$5:$B$329,$A32,Movements!$F$5:$F$329)*INDEX($Z$4:$Z$13,MATCH($N32&amp;$Q32,$X$4:$X$13&amp;$Y$4:$Y$13,0))+INDEX($AA$4:$AA$13,MATCH($N32&amp;$Q32,$X$4:$X$13&amp;$Y$4:$Y$13,0)),2)</f>
        <v>71.16</v>
      </c>
      <c r="V32" s="2"/>
    </row>
    <row r="33" spans="1:22">
      <c r="A33" s="11" t="s">
        <v>5224</v>
      </c>
      <c r="B33" s="5" t="s">
        <v>5142</v>
      </c>
      <c r="C33" s="28">
        <v>46107</v>
      </c>
      <c r="D33" s="28">
        <v>46116</v>
      </c>
      <c r="E33" s="5" t="s">
        <v>1266</v>
      </c>
      <c r="F33" s="28"/>
      <c r="G33" s="28"/>
      <c r="H33" s="5"/>
      <c r="I33" s="11" t="s">
        <v>1375</v>
      </c>
      <c r="J33" s="11" t="s">
        <v>244</v>
      </c>
      <c r="K33" s="5" t="s">
        <v>891</v>
      </c>
      <c r="L33" s="11"/>
      <c r="M33" s="11"/>
      <c r="N33" s="5" t="s">
        <v>4882</v>
      </c>
      <c r="O33" s="5" t="s">
        <v>5157</v>
      </c>
      <c r="P33" s="5" t="s">
        <v>5175</v>
      </c>
      <c r="Q33" s="5" t="s">
        <v>5145</v>
      </c>
      <c r="R33" s="5" t="s">
        <v>5146</v>
      </c>
      <c r="S33" s="11" t="s">
        <v>5029</v>
      </c>
      <c r="T33" s="5" t="s">
        <v>5225</v>
      </c>
      <c r="U33" s="88" cm="1">
        <f t="array" ref="U33">ROUND(SUMIF(Movements!$B$5:$B$329,$A33,Movements!$F$5:$F$329)*INDEX($Z$4:$Z$13,MATCH($N33&amp;$Q33,$X$4:$X$13&amp;$Y$4:$Y$13,0))+INDEX($AA$4:$AA$13,MATCH($N33&amp;$Q33,$X$4:$X$13&amp;$Y$4:$Y$13,0)),2)</f>
        <v>55.19</v>
      </c>
      <c r="V33" s="2"/>
    </row>
    <row r="34" spans="1:22">
      <c r="A34" s="11" t="s">
        <v>5226</v>
      </c>
      <c r="B34" s="5" t="s">
        <v>5155</v>
      </c>
      <c r="C34" s="28">
        <v>46107</v>
      </c>
      <c r="D34" s="28">
        <v>46115</v>
      </c>
      <c r="E34" s="5" t="s">
        <v>1266</v>
      </c>
      <c r="F34" s="28"/>
      <c r="G34" s="28"/>
      <c r="H34" s="5" t="s">
        <v>5156</v>
      </c>
      <c r="I34" s="11"/>
      <c r="J34" s="11"/>
      <c r="K34" s="5"/>
      <c r="L34" s="11" t="s">
        <v>1351</v>
      </c>
      <c r="M34" s="11" t="s">
        <v>234</v>
      </c>
      <c r="N34" s="5" t="s">
        <v>4919</v>
      </c>
      <c r="O34" s="5" t="s">
        <v>5157</v>
      </c>
      <c r="P34" s="5" t="s">
        <v>5175</v>
      </c>
      <c r="Q34" s="5" t="s">
        <v>5145</v>
      </c>
      <c r="R34" s="5" t="s">
        <v>5146</v>
      </c>
      <c r="S34" s="11" t="s">
        <v>5009</v>
      </c>
      <c r="T34" s="5" t="s">
        <v>5227</v>
      </c>
      <c r="U34" s="88" cm="1">
        <f t="array" ref="U34">ROUND(SUMIF(Movements!$B$5:$B$329,$A34,Movements!$F$5:$F$329)*INDEX($Z$4:$Z$13,MATCH($N34&amp;$Q34,$X$4:$X$13&amp;$Y$4:$Y$13,0))+INDEX($AA$4:$AA$13,MATCH($N34&amp;$Q34,$X$4:$X$13&amp;$Y$4:$Y$13,0)),2)</f>
        <v>43.1</v>
      </c>
      <c r="V34" s="2"/>
    </row>
    <row r="35" spans="1:22">
      <c r="A35" s="11" t="s">
        <v>5228</v>
      </c>
      <c r="B35" s="5" t="s">
        <v>5142</v>
      </c>
      <c r="C35" s="28">
        <v>46084</v>
      </c>
      <c r="D35" s="28">
        <v>46085</v>
      </c>
      <c r="E35" s="5" t="s">
        <v>1280</v>
      </c>
      <c r="F35" s="28">
        <v>46085</v>
      </c>
      <c r="G35" s="28">
        <v>46084</v>
      </c>
      <c r="H35" s="5"/>
      <c r="I35" s="11" t="s">
        <v>1375</v>
      </c>
      <c r="J35" s="11" t="s">
        <v>244</v>
      </c>
      <c r="K35" s="5" t="s">
        <v>946</v>
      </c>
      <c r="L35" s="11"/>
      <c r="M35" s="11"/>
      <c r="N35" s="5" t="s">
        <v>4882</v>
      </c>
      <c r="O35" s="5" t="s">
        <v>5157</v>
      </c>
      <c r="P35" s="5" t="s">
        <v>5158</v>
      </c>
      <c r="Q35" s="5" t="s">
        <v>5145</v>
      </c>
      <c r="R35" s="5" t="s">
        <v>5159</v>
      </c>
      <c r="S35" s="11" t="s">
        <v>4905</v>
      </c>
      <c r="T35" s="5" t="s">
        <v>5229</v>
      </c>
      <c r="U35" s="88" cm="1">
        <f t="array" ref="U35">ROUND(SUMIF(Movements!$B$5:$B$329,$A35,Movements!$F$5:$F$329)*INDEX($Z$4:$Z$13,MATCH($N35&amp;$Q35,$X$4:$X$13&amp;$Y$4:$Y$13,0))+INDEX($AA$4:$AA$13,MATCH($N35&amp;$Q35,$X$4:$X$13&amp;$Y$4:$Y$13,0)),2)</f>
        <v>67.8</v>
      </c>
      <c r="V35" s="2"/>
    </row>
    <row r="36" spans="1:22">
      <c r="A36" s="11" t="s">
        <v>5230</v>
      </c>
      <c r="B36" s="5" t="s">
        <v>5155</v>
      </c>
      <c r="C36" s="28">
        <v>46093</v>
      </c>
      <c r="D36" s="28">
        <v>46101</v>
      </c>
      <c r="E36" s="5" t="s">
        <v>5143</v>
      </c>
      <c r="F36" s="28">
        <v>46093</v>
      </c>
      <c r="G36" s="28"/>
      <c r="H36" s="5" t="s">
        <v>5156</v>
      </c>
      <c r="I36" s="11"/>
      <c r="J36" s="11"/>
      <c r="K36" s="5"/>
      <c r="L36" s="11" t="s">
        <v>1343</v>
      </c>
      <c r="M36" s="11" t="s">
        <v>234</v>
      </c>
      <c r="N36" s="5" t="s">
        <v>4882</v>
      </c>
      <c r="O36" s="5" t="s">
        <v>5157</v>
      </c>
      <c r="P36" s="5" t="s">
        <v>5175</v>
      </c>
      <c r="Q36" s="5" t="s">
        <v>5145</v>
      </c>
      <c r="R36" s="5" t="s">
        <v>5146</v>
      </c>
      <c r="S36" s="11" t="s">
        <v>5089</v>
      </c>
      <c r="T36" s="5" t="s">
        <v>5231</v>
      </c>
      <c r="U36" s="88" cm="1">
        <f t="array" ref="U36">ROUND(SUMIF(Movements!$B$5:$B$329,$A36,Movements!$F$5:$F$329)*INDEX($Z$4:$Z$13,MATCH($N36&amp;$Q36,$X$4:$X$13&amp;$Y$4:$Y$13,0))+INDEX($AA$4:$AA$13,MATCH($N36&amp;$Q36,$X$4:$X$13&amp;$Y$4:$Y$13,0)),2)</f>
        <v>65.17</v>
      </c>
      <c r="V36" s="2"/>
    </row>
    <row r="37" spans="1:22">
      <c r="A37" s="11" t="s">
        <v>5232</v>
      </c>
      <c r="B37" s="5" t="s">
        <v>5142</v>
      </c>
      <c r="C37" s="28">
        <v>46111</v>
      </c>
      <c r="D37" s="28">
        <v>46125</v>
      </c>
      <c r="E37" s="5" t="s">
        <v>5143</v>
      </c>
      <c r="F37" s="28">
        <v>46110</v>
      </c>
      <c r="G37" s="28"/>
      <c r="H37" s="5"/>
      <c r="I37" s="11" t="s">
        <v>1375</v>
      </c>
      <c r="J37" s="11" t="s">
        <v>234</v>
      </c>
      <c r="K37" s="5" t="s">
        <v>864</v>
      </c>
      <c r="L37" s="11"/>
      <c r="M37" s="11"/>
      <c r="N37" s="5" t="s">
        <v>4882</v>
      </c>
      <c r="O37" s="5" t="s">
        <v>5157</v>
      </c>
      <c r="P37" s="5" t="s">
        <v>5175</v>
      </c>
      <c r="Q37" s="5" t="s">
        <v>5145</v>
      </c>
      <c r="R37" s="5" t="s">
        <v>5146</v>
      </c>
      <c r="S37" s="11" t="s">
        <v>5049</v>
      </c>
      <c r="T37" s="5" t="s">
        <v>5233</v>
      </c>
      <c r="U37" s="88" cm="1">
        <f t="array" ref="U37">ROUND(SUMIF(Movements!$B$5:$B$329,$A37,Movements!$F$5:$F$329)*INDEX($Z$4:$Z$13,MATCH($N37&amp;$Q37,$X$4:$X$13&amp;$Y$4:$Y$13,0))+INDEX($AA$4:$AA$13,MATCH($N37&amp;$Q37,$X$4:$X$13&amp;$Y$4:$Y$13,0)),2)</f>
        <v>77.52</v>
      </c>
      <c r="V37" s="2"/>
    </row>
    <row r="38" spans="1:22">
      <c r="A38" s="11" t="s">
        <v>5234</v>
      </c>
      <c r="B38" s="5" t="s">
        <v>5142</v>
      </c>
      <c r="C38" s="28">
        <v>46107</v>
      </c>
      <c r="D38" s="28">
        <v>46125</v>
      </c>
      <c r="E38" s="5" t="s">
        <v>1266</v>
      </c>
      <c r="F38" s="28"/>
      <c r="G38" s="28"/>
      <c r="H38" s="5"/>
      <c r="I38" s="11" t="s">
        <v>1375</v>
      </c>
      <c r="J38" s="11" t="s">
        <v>244</v>
      </c>
      <c r="K38" s="5" t="s">
        <v>1069</v>
      </c>
      <c r="L38" s="11"/>
      <c r="M38" s="11"/>
      <c r="N38" s="5" t="s">
        <v>4882</v>
      </c>
      <c r="O38" s="5" t="s">
        <v>1197</v>
      </c>
      <c r="P38" s="5" t="s">
        <v>5175</v>
      </c>
      <c r="Q38" s="5" t="s">
        <v>5145</v>
      </c>
      <c r="R38" s="5" t="s">
        <v>5146</v>
      </c>
      <c r="S38" s="11" t="s">
        <v>4937</v>
      </c>
      <c r="T38" s="5" t="s">
        <v>5235</v>
      </c>
      <c r="U38" s="88" cm="1">
        <f t="array" ref="U38">ROUND(SUMIF(Movements!$B$5:$B$329,$A38,Movements!$F$5:$F$329)*INDEX($Z$4:$Z$13,MATCH($N38&amp;$Q38,$X$4:$X$13&amp;$Y$4:$Y$13,0))+INDEX($AA$4:$AA$13,MATCH($N38&amp;$Q38,$X$4:$X$13&amp;$Y$4:$Y$13,0)),2)</f>
        <v>61.19</v>
      </c>
      <c r="V38" s="2"/>
    </row>
    <row r="39" spans="1:22">
      <c r="A39" s="11" t="s">
        <v>5236</v>
      </c>
      <c r="B39" s="5" t="s">
        <v>5155</v>
      </c>
      <c r="C39" s="28">
        <v>46106</v>
      </c>
      <c r="D39" s="28">
        <v>46108</v>
      </c>
      <c r="E39" s="5" t="s">
        <v>1266</v>
      </c>
      <c r="F39" s="28"/>
      <c r="G39" s="28"/>
      <c r="H39" s="5" t="s">
        <v>5156</v>
      </c>
      <c r="I39" s="11"/>
      <c r="J39" s="11"/>
      <c r="K39" s="5"/>
      <c r="L39" s="11" t="s">
        <v>1351</v>
      </c>
      <c r="M39" s="11" t="s">
        <v>220</v>
      </c>
      <c r="N39" s="5" t="s">
        <v>4882</v>
      </c>
      <c r="O39" s="5" t="s">
        <v>5157</v>
      </c>
      <c r="P39" s="5" t="s">
        <v>5175</v>
      </c>
      <c r="Q39" s="5" t="s">
        <v>5145</v>
      </c>
      <c r="R39" s="5" t="s">
        <v>5146</v>
      </c>
      <c r="S39" s="11" t="s">
        <v>4967</v>
      </c>
      <c r="T39" s="5" t="s">
        <v>5237</v>
      </c>
      <c r="U39" s="88" cm="1">
        <f t="array" ref="U39">ROUND(SUMIF(Movements!$B$5:$B$329,$A39,Movements!$F$5:$F$329)*INDEX($Z$4:$Z$13,MATCH($N39&amp;$Q39,$X$4:$X$13&amp;$Y$4:$Y$13,0))+INDEX($AA$4:$AA$13,MATCH($N39&amp;$Q39,$X$4:$X$13&amp;$Y$4:$Y$13,0)),2)</f>
        <v>70.89</v>
      </c>
      <c r="V39" s="2"/>
    </row>
    <row r="40" spans="1:22">
      <c r="A40" s="11" t="s">
        <v>5238</v>
      </c>
      <c r="B40" s="5" t="s">
        <v>5142</v>
      </c>
      <c r="C40" s="28">
        <v>46111</v>
      </c>
      <c r="D40" s="28">
        <v>46118</v>
      </c>
      <c r="E40" s="5" t="s">
        <v>1266</v>
      </c>
      <c r="F40" s="28"/>
      <c r="G40" s="28"/>
      <c r="H40" s="5"/>
      <c r="I40" s="11" t="s">
        <v>1375</v>
      </c>
      <c r="J40" s="11" t="s">
        <v>234</v>
      </c>
      <c r="K40" s="5" t="s">
        <v>830</v>
      </c>
      <c r="L40" s="11"/>
      <c r="M40" s="11"/>
      <c r="N40" s="5" t="s">
        <v>4919</v>
      </c>
      <c r="O40" s="5" t="s">
        <v>1197</v>
      </c>
      <c r="P40" s="5" t="s">
        <v>5175</v>
      </c>
      <c r="Q40" s="5" t="s">
        <v>5145</v>
      </c>
      <c r="R40" s="5" t="s">
        <v>5146</v>
      </c>
      <c r="S40" s="11" t="s">
        <v>5085</v>
      </c>
      <c r="T40" s="5" t="s">
        <v>5239</v>
      </c>
      <c r="U40" s="88" cm="1">
        <f t="array" ref="U40">ROUND(SUMIF(Movements!$B$5:$B$329,$A40,Movements!$F$5:$F$329)*INDEX($Z$4:$Z$13,MATCH($N40&amp;$Q40,$X$4:$X$13&amp;$Y$4:$Y$13,0))+INDEX($AA$4:$AA$13,MATCH($N40&amp;$Q40,$X$4:$X$13&amp;$Y$4:$Y$13,0)),2)</f>
        <v>50.23</v>
      </c>
      <c r="V40" s="2"/>
    </row>
    <row r="41" spans="1:22">
      <c r="A41" s="11" t="s">
        <v>5240</v>
      </c>
      <c r="B41" s="5" t="s">
        <v>5142</v>
      </c>
      <c r="C41" s="28">
        <v>46097</v>
      </c>
      <c r="D41" s="28">
        <v>46101</v>
      </c>
      <c r="E41" s="5" t="s">
        <v>1266</v>
      </c>
      <c r="F41" s="28"/>
      <c r="G41" s="28"/>
      <c r="H41" s="5"/>
      <c r="I41" s="11" t="s">
        <v>1367</v>
      </c>
      <c r="J41" s="11" t="s">
        <v>244</v>
      </c>
      <c r="K41" s="5" t="s">
        <v>1002</v>
      </c>
      <c r="L41" s="11"/>
      <c r="M41" s="11"/>
      <c r="N41" s="5" t="s">
        <v>4882</v>
      </c>
      <c r="O41" s="5" t="s">
        <v>5157</v>
      </c>
      <c r="P41" s="5" t="s">
        <v>5158</v>
      </c>
      <c r="Q41" s="5" t="s">
        <v>5145</v>
      </c>
      <c r="R41" s="5" t="s">
        <v>5159</v>
      </c>
      <c r="S41" s="11" t="s">
        <v>4937</v>
      </c>
      <c r="T41" s="5" t="s">
        <v>5241</v>
      </c>
      <c r="U41" s="88" cm="1">
        <f t="array" ref="U41">ROUND(SUMIF(Movements!$B$5:$B$329,$A41,Movements!$F$5:$F$329)*INDEX($Z$4:$Z$13,MATCH($N41&amp;$Q41,$X$4:$X$13&amp;$Y$4:$Y$13,0))+INDEX($AA$4:$AA$13,MATCH($N41&amp;$Q41,$X$4:$X$13&amp;$Y$4:$Y$13,0)),2)</f>
        <v>55.88</v>
      </c>
      <c r="V41" s="2"/>
    </row>
    <row r="42" spans="1:22">
      <c r="A42" s="11" t="s">
        <v>5242</v>
      </c>
      <c r="B42" s="5" t="s">
        <v>5142</v>
      </c>
      <c r="C42" s="28">
        <v>46107</v>
      </c>
      <c r="D42" s="28">
        <v>46114</v>
      </c>
      <c r="E42" s="5" t="s">
        <v>5143</v>
      </c>
      <c r="F42" s="28">
        <v>46107</v>
      </c>
      <c r="G42" s="28"/>
      <c r="H42" s="5"/>
      <c r="I42" s="11" t="s">
        <v>1375</v>
      </c>
      <c r="J42" s="11" t="s">
        <v>244</v>
      </c>
      <c r="K42" s="5" t="s">
        <v>835</v>
      </c>
      <c r="L42" s="11" t="s">
        <v>1383</v>
      </c>
      <c r="M42" s="11"/>
      <c r="N42" s="5" t="s">
        <v>4894</v>
      </c>
      <c r="O42" s="5" t="s">
        <v>5149</v>
      </c>
      <c r="P42" s="5" t="s">
        <v>5175</v>
      </c>
      <c r="Q42" s="5" t="s">
        <v>5151</v>
      </c>
      <c r="R42" s="5" t="s">
        <v>5152</v>
      </c>
      <c r="S42" s="11" t="s">
        <v>4879</v>
      </c>
      <c r="T42" s="5" t="s">
        <v>5243</v>
      </c>
      <c r="U42" s="88" cm="1">
        <f t="array" ref="U42">ROUND(SUMIF(Movements!$B$5:$B$329,$A42,Movements!$F$5:$F$329)*INDEX($Z$4:$Z$13,MATCH($N42&amp;$Q42,$X$4:$X$13&amp;$Y$4:$Y$13,0))+INDEX($AA$4:$AA$13,MATCH($N42&amp;$Q42,$X$4:$X$13&amp;$Y$4:$Y$13,0)),2)</f>
        <v>258.89</v>
      </c>
      <c r="V42" s="2"/>
    </row>
    <row r="43" spans="1:22">
      <c r="A43" s="11" t="s">
        <v>5244</v>
      </c>
      <c r="B43" s="5" t="s">
        <v>5142</v>
      </c>
      <c r="C43" s="28">
        <v>46089</v>
      </c>
      <c r="D43" s="28">
        <v>46103</v>
      </c>
      <c r="E43" s="5" t="s">
        <v>1280</v>
      </c>
      <c r="F43" s="28">
        <v>46089</v>
      </c>
      <c r="G43" s="28">
        <v>46104</v>
      </c>
      <c r="H43" s="5"/>
      <c r="I43" s="11" t="s">
        <v>1367</v>
      </c>
      <c r="J43" s="11" t="s">
        <v>244</v>
      </c>
      <c r="K43" s="5" t="s">
        <v>853</v>
      </c>
      <c r="L43" s="11"/>
      <c r="M43" s="11"/>
      <c r="N43" s="5" t="s">
        <v>4882</v>
      </c>
      <c r="O43" s="5" t="s">
        <v>5157</v>
      </c>
      <c r="P43" s="5" t="s">
        <v>5144</v>
      </c>
      <c r="Q43" s="5" t="s">
        <v>5145</v>
      </c>
      <c r="R43" s="5" t="s">
        <v>5146</v>
      </c>
      <c r="S43" s="11" t="s">
        <v>5059</v>
      </c>
      <c r="T43" s="5" t="s">
        <v>5245</v>
      </c>
      <c r="U43" s="88" cm="1">
        <f t="array" ref="U43">ROUND(SUMIF(Movements!$B$5:$B$329,$A43,Movements!$F$5:$F$329)*INDEX($Z$4:$Z$13,MATCH($N43&amp;$Q43,$X$4:$X$13&amp;$Y$4:$Y$13,0))+INDEX($AA$4:$AA$13,MATCH($N43&amp;$Q43,$X$4:$X$13&amp;$Y$4:$Y$13,0)),2)</f>
        <v>55.63</v>
      </c>
      <c r="V43" s="2"/>
    </row>
    <row r="44" spans="1:22">
      <c r="A44" s="11" t="s">
        <v>5246</v>
      </c>
      <c r="B44" s="5" t="s">
        <v>5142</v>
      </c>
      <c r="C44" s="28">
        <v>46112</v>
      </c>
      <c r="D44" s="28">
        <v>46115</v>
      </c>
      <c r="E44" s="5" t="s">
        <v>5143</v>
      </c>
      <c r="F44" s="28">
        <v>46114</v>
      </c>
      <c r="G44" s="28"/>
      <c r="H44" s="5"/>
      <c r="I44" s="11" t="s">
        <v>1343</v>
      </c>
      <c r="J44" s="11" t="s">
        <v>234</v>
      </c>
      <c r="K44" s="5" t="s">
        <v>1060</v>
      </c>
      <c r="L44" s="11"/>
      <c r="M44" s="11"/>
      <c r="N44" s="5" t="s">
        <v>4882</v>
      </c>
      <c r="O44" s="5" t="s">
        <v>1197</v>
      </c>
      <c r="P44" s="5" t="s">
        <v>5175</v>
      </c>
      <c r="Q44" s="5" t="s">
        <v>5145</v>
      </c>
      <c r="R44" s="5" t="s">
        <v>5146</v>
      </c>
      <c r="S44" s="11" t="s">
        <v>5014</v>
      </c>
      <c r="T44" s="5" t="s">
        <v>5247</v>
      </c>
      <c r="U44" s="88" cm="1">
        <f t="array" ref="U44">ROUND(SUMIF(Movements!$B$5:$B$329,$A44,Movements!$F$5:$F$329)*INDEX($Z$4:$Z$13,MATCH($N44&amp;$Q44,$X$4:$X$13&amp;$Y$4:$Y$13,0))+INDEX($AA$4:$AA$13,MATCH($N44&amp;$Q44,$X$4:$X$13&amp;$Y$4:$Y$13,0)),2)</f>
        <v>55.02</v>
      </c>
      <c r="V44" s="2"/>
    </row>
    <row r="45" spans="1:22">
      <c r="A45" s="11" t="s">
        <v>5248</v>
      </c>
      <c r="B45" s="5" t="s">
        <v>5155</v>
      </c>
      <c r="C45" s="28">
        <v>46108</v>
      </c>
      <c r="D45" s="28">
        <v>46110</v>
      </c>
      <c r="E45" s="5" t="s">
        <v>1266</v>
      </c>
      <c r="F45" s="28"/>
      <c r="G45" s="28"/>
      <c r="H45" s="5" t="s">
        <v>5196</v>
      </c>
      <c r="I45" s="11"/>
      <c r="J45" s="11"/>
      <c r="K45" s="5"/>
      <c r="L45" s="11" t="s">
        <v>1343</v>
      </c>
      <c r="M45" s="11" t="s">
        <v>244</v>
      </c>
      <c r="N45" s="5" t="s">
        <v>4907</v>
      </c>
      <c r="O45" s="5" t="s">
        <v>5149</v>
      </c>
      <c r="P45" s="5" t="s">
        <v>5249</v>
      </c>
      <c r="Q45" s="5" t="s">
        <v>5151</v>
      </c>
      <c r="R45" s="5" t="s">
        <v>5169</v>
      </c>
      <c r="S45" s="11" t="s">
        <v>5034</v>
      </c>
      <c r="T45" s="5" t="s">
        <v>5250</v>
      </c>
      <c r="U45" s="88" cm="1">
        <f t="array" ref="U45">ROUND(SUMIF(Movements!$B$5:$B$329,$A45,Movements!$F$5:$F$329)*INDEX($Z$4:$Z$13,MATCH($N45&amp;$Q45,$X$4:$X$13&amp;$Y$4:$Y$13,0))+INDEX($AA$4:$AA$13,MATCH($N45&amp;$Q45,$X$4:$X$13&amp;$Y$4:$Y$13,0)),2)</f>
        <v>685.21</v>
      </c>
      <c r="V45" s="2"/>
    </row>
    <row r="46" spans="1:22">
      <c r="A46" s="11" t="s">
        <v>5251</v>
      </c>
      <c r="B46" s="5" t="s">
        <v>5142</v>
      </c>
      <c r="C46" s="28">
        <v>46112</v>
      </c>
      <c r="D46" s="28">
        <v>46116</v>
      </c>
      <c r="E46" s="5" t="s">
        <v>5143</v>
      </c>
      <c r="F46" s="28">
        <v>46111</v>
      </c>
      <c r="G46" s="28"/>
      <c r="H46" s="5"/>
      <c r="I46" s="11" t="s">
        <v>1343</v>
      </c>
      <c r="J46" s="11" t="s">
        <v>234</v>
      </c>
      <c r="K46" s="5" t="s">
        <v>1108</v>
      </c>
      <c r="L46" s="11" t="s">
        <v>1313</v>
      </c>
      <c r="M46" s="11"/>
      <c r="N46" s="5" t="s">
        <v>4907</v>
      </c>
      <c r="O46" s="5" t="s">
        <v>5193</v>
      </c>
      <c r="P46" s="5" t="s">
        <v>5175</v>
      </c>
      <c r="Q46" s="5" t="s">
        <v>5151</v>
      </c>
      <c r="R46" s="5" t="s">
        <v>5152</v>
      </c>
      <c r="S46" s="11" t="s">
        <v>4958</v>
      </c>
      <c r="T46" s="5" t="s">
        <v>5252</v>
      </c>
      <c r="U46" s="88" cm="1">
        <f t="array" ref="U46">ROUND(SUMIF(Movements!$B$5:$B$329,$A46,Movements!$F$5:$F$329)*INDEX($Z$4:$Z$13,MATCH($N46&amp;$Q46,$X$4:$X$13&amp;$Y$4:$Y$13,0))+INDEX($AA$4:$AA$13,MATCH($N46&amp;$Q46,$X$4:$X$13&amp;$Y$4:$Y$13,0)),2)</f>
        <v>350</v>
      </c>
      <c r="V46" s="2"/>
    </row>
    <row r="47" spans="1:22">
      <c r="A47" s="11" t="s">
        <v>5253</v>
      </c>
      <c r="B47" s="5" t="s">
        <v>5155</v>
      </c>
      <c r="C47" s="28">
        <v>46108</v>
      </c>
      <c r="D47" s="28">
        <v>46111</v>
      </c>
      <c r="E47" s="5" t="s">
        <v>5143</v>
      </c>
      <c r="F47" s="28">
        <v>46108</v>
      </c>
      <c r="G47" s="28"/>
      <c r="H47" s="5" t="s">
        <v>5156</v>
      </c>
      <c r="I47" s="11"/>
      <c r="J47" s="11"/>
      <c r="K47" s="5"/>
      <c r="L47" s="11" t="s">
        <v>1367</v>
      </c>
      <c r="M47" s="11" t="s">
        <v>220</v>
      </c>
      <c r="N47" s="5" t="s">
        <v>4882</v>
      </c>
      <c r="O47" s="5" t="s">
        <v>5157</v>
      </c>
      <c r="P47" s="5" t="s">
        <v>5175</v>
      </c>
      <c r="Q47" s="5" t="s">
        <v>5145</v>
      </c>
      <c r="R47" s="5" t="s">
        <v>5146</v>
      </c>
      <c r="S47" s="11" t="s">
        <v>4928</v>
      </c>
      <c r="T47" s="5" t="s">
        <v>5254</v>
      </c>
      <c r="U47" s="88" cm="1">
        <f t="array" ref="U47">ROUND(SUMIF(Movements!$B$5:$B$329,$A47,Movements!$F$5:$F$329)*INDEX($Z$4:$Z$13,MATCH($N47&amp;$Q47,$X$4:$X$13&amp;$Y$4:$Y$13,0))+INDEX($AA$4:$AA$13,MATCH($N47&amp;$Q47,$X$4:$X$13&amp;$Y$4:$Y$13,0)),2)</f>
        <v>55.16</v>
      </c>
      <c r="V47" s="2"/>
    </row>
    <row r="48" spans="1:22">
      <c r="A48" s="11" t="s">
        <v>5255</v>
      </c>
      <c r="B48" s="5" t="s">
        <v>5155</v>
      </c>
      <c r="C48" s="28">
        <v>46088</v>
      </c>
      <c r="D48" s="28">
        <v>46091</v>
      </c>
      <c r="E48" s="5" t="s">
        <v>1280</v>
      </c>
      <c r="F48" s="28">
        <v>46090</v>
      </c>
      <c r="G48" s="28">
        <v>46093</v>
      </c>
      <c r="H48" s="5" t="s">
        <v>5156</v>
      </c>
      <c r="I48" s="11"/>
      <c r="J48" s="11"/>
      <c r="K48" s="5"/>
      <c r="L48" s="11" t="s">
        <v>1343</v>
      </c>
      <c r="M48" s="11" t="s">
        <v>234</v>
      </c>
      <c r="N48" s="5" t="s">
        <v>4882</v>
      </c>
      <c r="O48" s="5" t="s">
        <v>5157</v>
      </c>
      <c r="P48" s="5" t="s">
        <v>5175</v>
      </c>
      <c r="Q48" s="5" t="s">
        <v>5145</v>
      </c>
      <c r="R48" s="5" t="s">
        <v>5146</v>
      </c>
      <c r="S48" s="11" t="s">
        <v>5085</v>
      </c>
      <c r="T48" s="5" t="s">
        <v>5256</v>
      </c>
      <c r="U48" s="88" cm="1">
        <f t="array" ref="U48">ROUND(SUMIF(Movements!$B$5:$B$329,$A48,Movements!$F$5:$F$329)*INDEX($Z$4:$Z$13,MATCH($N48&amp;$Q48,$X$4:$X$13&amp;$Y$4:$Y$13,0))+INDEX($AA$4:$AA$13,MATCH($N48&amp;$Q48,$X$4:$X$13&amp;$Y$4:$Y$13,0)),2)</f>
        <v>60.62</v>
      </c>
      <c r="V48" s="2" t="s">
        <v>5257</v>
      </c>
    </row>
    <row r="49" spans="1:22">
      <c r="A49" s="11" t="s">
        <v>5258</v>
      </c>
      <c r="B49" s="5" t="s">
        <v>5142</v>
      </c>
      <c r="C49" s="28">
        <v>46092</v>
      </c>
      <c r="D49" s="28">
        <v>46110</v>
      </c>
      <c r="E49" s="5" t="s">
        <v>1280</v>
      </c>
      <c r="F49" s="28">
        <v>46091</v>
      </c>
      <c r="G49" s="28">
        <v>46108</v>
      </c>
      <c r="H49" s="5"/>
      <c r="I49" s="11" t="s">
        <v>1343</v>
      </c>
      <c r="J49" s="11" t="s">
        <v>244</v>
      </c>
      <c r="K49" s="5" t="s">
        <v>1072</v>
      </c>
      <c r="L49" s="11" t="s">
        <v>1328</v>
      </c>
      <c r="M49" s="11"/>
      <c r="N49" s="5" t="s">
        <v>4894</v>
      </c>
      <c r="O49" s="5" t="s">
        <v>5165</v>
      </c>
      <c r="P49" s="5" t="s">
        <v>5158</v>
      </c>
      <c r="Q49" s="5" t="s">
        <v>5151</v>
      </c>
      <c r="R49" s="5" t="s">
        <v>5169</v>
      </c>
      <c r="S49" s="11" t="s">
        <v>5089</v>
      </c>
      <c r="T49" s="5" t="s">
        <v>5259</v>
      </c>
      <c r="U49" s="88" cm="1">
        <f t="array" ref="U49">ROUND(SUMIF(Movements!$B$5:$B$329,$A49,Movements!$F$5:$F$329)*INDEX($Z$4:$Z$13,MATCH($N49&amp;$Q49,$X$4:$X$13&amp;$Y$4:$Y$13,0))+INDEX($AA$4:$AA$13,MATCH($N49&amp;$Q49,$X$4:$X$13&amp;$Y$4:$Y$13,0)),2)</f>
        <v>273.77999999999997</v>
      </c>
      <c r="V49" s="2"/>
    </row>
    <row r="50" spans="1:22">
      <c r="A50" s="11" t="s">
        <v>5260</v>
      </c>
      <c r="B50" s="5" t="s">
        <v>5155</v>
      </c>
      <c r="C50" s="28">
        <v>46108</v>
      </c>
      <c r="D50" s="28">
        <v>46114</v>
      </c>
      <c r="E50" s="5" t="s">
        <v>1266</v>
      </c>
      <c r="F50" s="28"/>
      <c r="G50" s="28"/>
      <c r="H50" s="5" t="s">
        <v>5156</v>
      </c>
      <c r="I50" s="11"/>
      <c r="J50" s="11"/>
      <c r="K50" s="5"/>
      <c r="L50" s="11" t="s">
        <v>1343</v>
      </c>
      <c r="M50" s="11" t="s">
        <v>244</v>
      </c>
      <c r="N50" s="5" t="s">
        <v>4882</v>
      </c>
      <c r="O50" s="5" t="s">
        <v>5157</v>
      </c>
      <c r="P50" s="5" t="s">
        <v>5175</v>
      </c>
      <c r="Q50" s="5" t="s">
        <v>5145</v>
      </c>
      <c r="R50" s="5" t="s">
        <v>5146</v>
      </c>
      <c r="S50" s="11" t="s">
        <v>5049</v>
      </c>
      <c r="T50" s="5" t="s">
        <v>5261</v>
      </c>
      <c r="U50" s="88" cm="1">
        <f t="array" ref="U50">ROUND(SUMIF(Movements!$B$5:$B$329,$A50,Movements!$F$5:$F$329)*INDEX($Z$4:$Z$13,MATCH($N50&amp;$Q50,$X$4:$X$13&amp;$Y$4:$Y$13,0))+INDEX($AA$4:$AA$13,MATCH($N50&amp;$Q50,$X$4:$X$13&amp;$Y$4:$Y$13,0)),2)</f>
        <v>60.29</v>
      </c>
      <c r="V50" s="2"/>
    </row>
    <row r="51" spans="1:22">
      <c r="A51" s="11" t="s">
        <v>5262</v>
      </c>
      <c r="B51" s="5" t="s">
        <v>5155</v>
      </c>
      <c r="C51" s="28">
        <v>46097</v>
      </c>
      <c r="D51" s="28">
        <v>46099</v>
      </c>
      <c r="E51" s="5" t="s">
        <v>5143</v>
      </c>
      <c r="F51" s="28">
        <v>46097</v>
      </c>
      <c r="G51" s="28"/>
      <c r="H51" s="5" t="s">
        <v>5156</v>
      </c>
      <c r="I51" s="11"/>
      <c r="J51" s="11"/>
      <c r="K51" s="5"/>
      <c r="L51" s="11" t="s">
        <v>1375</v>
      </c>
      <c r="M51" s="11" t="s">
        <v>244</v>
      </c>
      <c r="N51" s="5" t="s">
        <v>4882</v>
      </c>
      <c r="O51" s="5" t="s">
        <v>5157</v>
      </c>
      <c r="P51" s="5" t="s">
        <v>5175</v>
      </c>
      <c r="Q51" s="5" t="s">
        <v>5145</v>
      </c>
      <c r="R51" s="5" t="s">
        <v>5146</v>
      </c>
      <c r="S51" s="11" t="s">
        <v>5059</v>
      </c>
      <c r="T51" s="5" t="s">
        <v>5263</v>
      </c>
      <c r="U51" s="88" cm="1">
        <f t="array" ref="U51">ROUND(SUMIF(Movements!$B$5:$B$329,$A51,Movements!$F$5:$F$329)*INDEX($Z$4:$Z$13,MATCH($N51&amp;$Q51,$X$4:$X$13&amp;$Y$4:$Y$13,0))+INDEX($AA$4:$AA$13,MATCH($N51&amp;$Q51,$X$4:$X$13&amp;$Y$4:$Y$13,0)),2)</f>
        <v>50</v>
      </c>
      <c r="V51" s="2"/>
    </row>
    <row r="52" spans="1:22">
      <c r="A52" s="11" t="s">
        <v>5264</v>
      </c>
      <c r="B52" s="5" t="s">
        <v>5142</v>
      </c>
      <c r="C52" s="28">
        <v>46083</v>
      </c>
      <c r="D52" s="28">
        <v>46090</v>
      </c>
      <c r="E52" s="5" t="s">
        <v>1280</v>
      </c>
      <c r="F52" s="28">
        <v>46085</v>
      </c>
      <c r="G52" s="28">
        <v>46089</v>
      </c>
      <c r="H52" s="5"/>
      <c r="I52" s="11" t="s">
        <v>1375</v>
      </c>
      <c r="J52" s="11" t="s">
        <v>244</v>
      </c>
      <c r="K52" s="5" t="s">
        <v>989</v>
      </c>
      <c r="L52" s="11"/>
      <c r="M52" s="11"/>
      <c r="N52" s="5" t="s">
        <v>4919</v>
      </c>
      <c r="O52" s="5" t="s">
        <v>5157</v>
      </c>
      <c r="P52" s="5" t="s">
        <v>5175</v>
      </c>
      <c r="Q52" s="5" t="s">
        <v>5145</v>
      </c>
      <c r="R52" s="5" t="s">
        <v>5146</v>
      </c>
      <c r="S52" s="11" t="s">
        <v>4892</v>
      </c>
      <c r="T52" s="5" t="s">
        <v>5265</v>
      </c>
      <c r="U52" s="88" cm="1">
        <f t="array" ref="U52">ROUND(SUMIF(Movements!$B$5:$B$329,$A52,Movements!$F$5:$F$329)*INDEX($Z$4:$Z$13,MATCH($N52&amp;$Q52,$X$4:$X$13&amp;$Y$4:$Y$13,0))+INDEX($AA$4:$AA$13,MATCH($N52&amp;$Q52,$X$4:$X$13&amp;$Y$4:$Y$13,0)),2)</f>
        <v>40</v>
      </c>
      <c r="V52" s="2" t="s">
        <v>5266</v>
      </c>
    </row>
    <row r="53" spans="1:22">
      <c r="A53" s="11" t="s">
        <v>5267</v>
      </c>
      <c r="B53" s="5" t="s">
        <v>5142</v>
      </c>
      <c r="C53" s="28">
        <v>46085</v>
      </c>
      <c r="D53" s="28">
        <v>46096</v>
      </c>
      <c r="E53" s="5" t="s">
        <v>5143</v>
      </c>
      <c r="F53" s="28">
        <v>46087</v>
      </c>
      <c r="G53" s="28"/>
      <c r="H53" s="5"/>
      <c r="I53" s="11" t="s">
        <v>1375</v>
      </c>
      <c r="J53" s="11" t="s">
        <v>234</v>
      </c>
      <c r="K53" s="5" t="s">
        <v>888</v>
      </c>
      <c r="L53" s="11"/>
      <c r="M53" s="11"/>
      <c r="N53" s="5" t="s">
        <v>4919</v>
      </c>
      <c r="O53" s="5" t="s">
        <v>5157</v>
      </c>
      <c r="P53" s="5" t="s">
        <v>5175</v>
      </c>
      <c r="Q53" s="5" t="s">
        <v>5145</v>
      </c>
      <c r="R53" s="5" t="s">
        <v>5146</v>
      </c>
      <c r="S53" s="11" t="s">
        <v>5049</v>
      </c>
      <c r="T53" s="5" t="s">
        <v>5268</v>
      </c>
      <c r="U53" s="88" cm="1">
        <f t="array" ref="U53">ROUND(SUMIF(Movements!$B$5:$B$329,$A53,Movements!$F$5:$F$329)*INDEX($Z$4:$Z$13,MATCH($N53&amp;$Q53,$X$4:$X$13&amp;$Y$4:$Y$13,0))+INDEX($AA$4:$AA$13,MATCH($N53&amp;$Q53,$X$4:$X$13&amp;$Y$4:$Y$13,0)),2)</f>
        <v>46.76</v>
      </c>
      <c r="V53" s="2"/>
    </row>
    <row r="54" spans="1:22">
      <c r="A54" s="11" t="s">
        <v>5269</v>
      </c>
      <c r="B54" s="5" t="s">
        <v>5155</v>
      </c>
      <c r="C54" s="28">
        <v>46102</v>
      </c>
      <c r="D54" s="28">
        <v>46104</v>
      </c>
      <c r="E54" s="5" t="s">
        <v>5143</v>
      </c>
      <c r="F54" s="28">
        <v>46101</v>
      </c>
      <c r="G54" s="28"/>
      <c r="H54" s="5" t="s">
        <v>5156</v>
      </c>
      <c r="I54" s="11"/>
      <c r="J54" s="11"/>
      <c r="K54" s="5"/>
      <c r="L54" s="11" t="s">
        <v>1367</v>
      </c>
      <c r="M54" s="11" t="s">
        <v>220</v>
      </c>
      <c r="N54" s="5" t="s">
        <v>4882</v>
      </c>
      <c r="O54" s="5" t="s">
        <v>5157</v>
      </c>
      <c r="P54" s="5" t="s">
        <v>5175</v>
      </c>
      <c r="Q54" s="5" t="s">
        <v>5145</v>
      </c>
      <c r="R54" s="5" t="s">
        <v>5146</v>
      </c>
      <c r="S54" s="11" t="s">
        <v>5034</v>
      </c>
      <c r="T54" s="5" t="s">
        <v>5270</v>
      </c>
      <c r="U54" s="88" cm="1">
        <f t="array" ref="U54">ROUND(SUMIF(Movements!$B$5:$B$329,$A54,Movements!$F$5:$F$329)*INDEX($Z$4:$Z$13,MATCH($N54&amp;$Q54,$X$4:$X$13&amp;$Y$4:$Y$13,0))+INDEX($AA$4:$AA$13,MATCH($N54&amp;$Q54,$X$4:$X$13&amp;$Y$4:$Y$13,0)),2)</f>
        <v>70.75</v>
      </c>
      <c r="V54" s="2"/>
    </row>
    <row r="55" spans="1:22">
      <c r="A55" s="11" t="s">
        <v>5271</v>
      </c>
      <c r="B55" s="5" t="s">
        <v>5142</v>
      </c>
      <c r="C55" s="28">
        <v>46092</v>
      </c>
      <c r="D55" s="28">
        <v>46093</v>
      </c>
      <c r="E55" s="5" t="s">
        <v>1266</v>
      </c>
      <c r="F55" s="28"/>
      <c r="G55" s="28"/>
      <c r="H55" s="5"/>
      <c r="I55" s="11" t="s">
        <v>1343</v>
      </c>
      <c r="J55" s="11" t="s">
        <v>244</v>
      </c>
      <c r="K55" s="5" t="s">
        <v>835</v>
      </c>
      <c r="L55" s="11"/>
      <c r="M55" s="11"/>
      <c r="N55" s="5" t="s">
        <v>4919</v>
      </c>
      <c r="O55" s="5" t="s">
        <v>5157</v>
      </c>
      <c r="P55" s="5" t="s">
        <v>5175</v>
      </c>
      <c r="Q55" s="5" t="s">
        <v>5145</v>
      </c>
      <c r="R55" s="5" t="s">
        <v>5146</v>
      </c>
      <c r="S55" s="11" t="s">
        <v>5014</v>
      </c>
      <c r="T55" s="5" t="s">
        <v>5272</v>
      </c>
      <c r="U55" s="88" cm="1">
        <f t="array" ref="U55">ROUND(SUMIF(Movements!$B$5:$B$329,$A55,Movements!$F$5:$F$329)*INDEX($Z$4:$Z$13,MATCH($N55&amp;$Q55,$X$4:$X$13&amp;$Y$4:$Y$13,0))+INDEX($AA$4:$AA$13,MATCH($N55&amp;$Q55,$X$4:$X$13&amp;$Y$4:$Y$13,0)),2)</f>
        <v>43.55</v>
      </c>
      <c r="V55" s="2"/>
    </row>
    <row r="56" spans="1:22">
      <c r="A56" s="11" t="s">
        <v>5273</v>
      </c>
      <c r="B56" s="5" t="s">
        <v>5142</v>
      </c>
      <c r="C56" s="28">
        <v>46100</v>
      </c>
      <c r="D56" s="28">
        <v>46107</v>
      </c>
      <c r="E56" s="5" t="s">
        <v>5143</v>
      </c>
      <c r="F56" s="28">
        <v>46100</v>
      </c>
      <c r="G56" s="28"/>
      <c r="H56" s="5"/>
      <c r="I56" s="11" t="s">
        <v>1343</v>
      </c>
      <c r="J56" s="11" t="s">
        <v>244</v>
      </c>
      <c r="K56" s="5" t="s">
        <v>1023</v>
      </c>
      <c r="L56" s="11"/>
      <c r="M56" s="11"/>
      <c r="N56" s="5" t="s">
        <v>4882</v>
      </c>
      <c r="O56" s="5" t="s">
        <v>5157</v>
      </c>
      <c r="P56" s="5" t="s">
        <v>5158</v>
      </c>
      <c r="Q56" s="5" t="s">
        <v>5145</v>
      </c>
      <c r="R56" s="5" t="s">
        <v>5159</v>
      </c>
      <c r="S56" s="11" t="s">
        <v>5077</v>
      </c>
      <c r="T56" s="5" t="s">
        <v>5274</v>
      </c>
      <c r="U56" s="88" cm="1">
        <f t="array" ref="U56">ROUND(SUMIF(Movements!$B$5:$B$329,$A56,Movements!$F$5:$F$329)*INDEX($Z$4:$Z$13,MATCH($N56&amp;$Q56,$X$4:$X$13&amp;$Y$4:$Y$13,0))+INDEX($AA$4:$AA$13,MATCH($N56&amp;$Q56,$X$4:$X$13&amp;$Y$4:$Y$13,0)),2)</f>
        <v>54.75</v>
      </c>
      <c r="V56" s="2"/>
    </row>
    <row r="57" spans="1:22">
      <c r="A57" s="11" t="s">
        <v>5275</v>
      </c>
      <c r="B57" s="5" t="s">
        <v>5142</v>
      </c>
      <c r="C57" s="28">
        <v>46103</v>
      </c>
      <c r="D57" s="28">
        <v>46109</v>
      </c>
      <c r="E57" s="5" t="s">
        <v>5143</v>
      </c>
      <c r="F57" s="28">
        <v>46105</v>
      </c>
      <c r="G57" s="28"/>
      <c r="H57" s="5"/>
      <c r="I57" s="11" t="s">
        <v>1375</v>
      </c>
      <c r="J57" s="11" t="s">
        <v>244</v>
      </c>
      <c r="K57" s="5" t="s">
        <v>1033</v>
      </c>
      <c r="L57" s="11" t="s">
        <v>1391</v>
      </c>
      <c r="M57" s="11"/>
      <c r="N57" s="5" t="s">
        <v>4894</v>
      </c>
      <c r="O57" s="5" t="s">
        <v>5149</v>
      </c>
      <c r="P57" s="5" t="s">
        <v>5175</v>
      </c>
      <c r="Q57" s="5" t="s">
        <v>5151</v>
      </c>
      <c r="R57" s="5" t="s">
        <v>5152</v>
      </c>
      <c r="S57" s="11" t="s">
        <v>4974</v>
      </c>
      <c r="T57" s="5" t="s">
        <v>5276</v>
      </c>
      <c r="U57" s="88" cm="1">
        <f t="array" ref="U57">ROUND(SUMIF(Movements!$B$5:$B$329,$A57,Movements!$F$5:$F$329)*INDEX($Z$4:$Z$13,MATCH($N57&amp;$Q57,$X$4:$X$13&amp;$Y$4:$Y$13,0))+INDEX($AA$4:$AA$13,MATCH($N57&amp;$Q57,$X$4:$X$13&amp;$Y$4:$Y$13,0)),2)</f>
        <v>266.36</v>
      </c>
      <c r="V57" s="2"/>
    </row>
    <row r="58" spans="1:22">
      <c r="A58" s="11" t="s">
        <v>5277</v>
      </c>
      <c r="B58" s="5" t="s">
        <v>5142</v>
      </c>
      <c r="C58" s="28">
        <v>46095</v>
      </c>
      <c r="D58" s="28">
        <v>46108</v>
      </c>
      <c r="E58" s="5" t="s">
        <v>1280</v>
      </c>
      <c r="F58" s="28">
        <v>46094</v>
      </c>
      <c r="G58" s="28">
        <v>46107</v>
      </c>
      <c r="H58" s="5"/>
      <c r="I58" s="11" t="s">
        <v>1359</v>
      </c>
      <c r="J58" s="11" t="s">
        <v>234</v>
      </c>
      <c r="K58" s="5" t="s">
        <v>1042</v>
      </c>
      <c r="L58" s="11"/>
      <c r="M58" s="11"/>
      <c r="N58" s="5" t="s">
        <v>4931</v>
      </c>
      <c r="O58" s="5" t="s">
        <v>1197</v>
      </c>
      <c r="P58" s="5" t="s">
        <v>5175</v>
      </c>
      <c r="Q58" s="5" t="s">
        <v>5145</v>
      </c>
      <c r="R58" s="5" t="s">
        <v>5146</v>
      </c>
      <c r="S58" s="11" t="s">
        <v>4952</v>
      </c>
      <c r="T58" s="5" t="s">
        <v>5278</v>
      </c>
      <c r="U58" s="88" cm="1">
        <f t="array" ref="U58">ROUND(SUMIF(Movements!$B$5:$B$329,$A58,Movements!$F$5:$F$329)*INDEX($Z$4:$Z$13,MATCH($N58&amp;$Q58,$X$4:$X$13&amp;$Y$4:$Y$13,0))+INDEX($AA$4:$AA$13,MATCH($N58&amp;$Q58,$X$4:$X$13&amp;$Y$4:$Y$13,0)),2)</f>
        <v>86.56</v>
      </c>
      <c r="V58" s="2" t="s">
        <v>5279</v>
      </c>
    </row>
    <row r="59" spans="1:22">
      <c r="A59" s="11" t="s">
        <v>5280</v>
      </c>
      <c r="B59" s="5" t="s">
        <v>5142</v>
      </c>
      <c r="C59" s="28">
        <v>46101</v>
      </c>
      <c r="D59" s="28">
        <v>46102</v>
      </c>
      <c r="E59" s="5" t="s">
        <v>1266</v>
      </c>
      <c r="F59" s="28"/>
      <c r="G59" s="28"/>
      <c r="H59" s="5"/>
      <c r="I59" s="11" t="s">
        <v>1343</v>
      </c>
      <c r="J59" s="11" t="s">
        <v>234</v>
      </c>
      <c r="K59" s="5" t="s">
        <v>806</v>
      </c>
      <c r="L59" s="11" t="s">
        <v>1328</v>
      </c>
      <c r="M59" s="11"/>
      <c r="N59" s="5" t="s">
        <v>4907</v>
      </c>
      <c r="O59" s="5" t="s">
        <v>5165</v>
      </c>
      <c r="P59" s="5" t="s">
        <v>5281</v>
      </c>
      <c r="Q59" s="5" t="s">
        <v>5151</v>
      </c>
      <c r="R59" s="5" t="s">
        <v>5169</v>
      </c>
      <c r="S59" s="11" t="s">
        <v>4994</v>
      </c>
      <c r="T59" s="5" t="s">
        <v>5282</v>
      </c>
      <c r="U59" s="88" cm="1">
        <f t="array" ref="U59">ROUND(SUMIF(Movements!$B$5:$B$329,$A59,Movements!$F$5:$F$329)*INDEX($Z$4:$Z$13,MATCH($N59&amp;$Q59,$X$4:$X$13&amp;$Y$4:$Y$13,0))+INDEX($AA$4:$AA$13,MATCH($N59&amp;$Q59,$X$4:$X$13&amp;$Y$4:$Y$13,0)),2)</f>
        <v>1505.29</v>
      </c>
      <c r="V59" s="2"/>
    </row>
    <row r="60" spans="1:22">
      <c r="A60" s="11" t="s">
        <v>5283</v>
      </c>
      <c r="B60" s="5" t="s">
        <v>5142</v>
      </c>
      <c r="C60" s="28">
        <v>46083</v>
      </c>
      <c r="D60" s="28">
        <v>46101</v>
      </c>
      <c r="E60" s="5" t="s">
        <v>5143</v>
      </c>
      <c r="F60" s="28">
        <v>46083</v>
      </c>
      <c r="G60" s="28"/>
      <c r="H60" s="5"/>
      <c r="I60" s="11" t="s">
        <v>1367</v>
      </c>
      <c r="J60" s="11" t="s">
        <v>244</v>
      </c>
      <c r="K60" s="5" t="s">
        <v>1057</v>
      </c>
      <c r="L60" s="11"/>
      <c r="M60" s="11"/>
      <c r="N60" s="5" t="s">
        <v>4882</v>
      </c>
      <c r="O60" s="5" t="s">
        <v>5157</v>
      </c>
      <c r="P60" s="5" t="s">
        <v>5175</v>
      </c>
      <c r="Q60" s="5" t="s">
        <v>5145</v>
      </c>
      <c r="R60" s="5" t="s">
        <v>5146</v>
      </c>
      <c r="S60" s="11" t="s">
        <v>4974</v>
      </c>
      <c r="T60" s="5" t="s">
        <v>5284</v>
      </c>
      <c r="U60" s="88" cm="1">
        <f t="array" ref="U60">ROUND(SUMIF(Movements!$B$5:$B$329,$A60,Movements!$F$5:$F$329)*INDEX($Z$4:$Z$13,MATCH($N60&amp;$Q60,$X$4:$X$13&amp;$Y$4:$Y$13,0))+INDEX($AA$4:$AA$13,MATCH($N60&amp;$Q60,$X$4:$X$13&amp;$Y$4:$Y$13,0)),2)</f>
        <v>54.59</v>
      </c>
      <c r="V60" s="2"/>
    </row>
    <row r="61" spans="1:22">
      <c r="A61" s="11" t="s">
        <v>5285</v>
      </c>
      <c r="B61" s="5" t="s">
        <v>5142</v>
      </c>
      <c r="C61" s="28">
        <v>46083</v>
      </c>
      <c r="D61" s="28">
        <v>46098</v>
      </c>
      <c r="E61" s="5" t="s">
        <v>1280</v>
      </c>
      <c r="F61" s="28">
        <v>46083</v>
      </c>
      <c r="G61" s="28">
        <v>46098</v>
      </c>
      <c r="H61" s="5"/>
      <c r="I61" s="11" t="s">
        <v>1359</v>
      </c>
      <c r="J61" s="11" t="s">
        <v>244</v>
      </c>
      <c r="K61" s="5" t="s">
        <v>1069</v>
      </c>
      <c r="L61" s="11" t="s">
        <v>1399</v>
      </c>
      <c r="M61" s="11"/>
      <c r="N61" s="5" t="s">
        <v>4894</v>
      </c>
      <c r="O61" s="5" t="s">
        <v>5193</v>
      </c>
      <c r="P61" s="5" t="s">
        <v>5175</v>
      </c>
      <c r="Q61" s="5" t="s">
        <v>5151</v>
      </c>
      <c r="R61" s="5" t="s">
        <v>5152</v>
      </c>
      <c r="S61" s="11" t="s">
        <v>5029</v>
      </c>
      <c r="T61" s="5" t="s">
        <v>5286</v>
      </c>
      <c r="U61" s="88" cm="1">
        <f t="array" ref="U61">ROUND(SUMIF(Movements!$B$5:$B$329,$A61,Movements!$F$5:$F$329)*INDEX($Z$4:$Z$13,MATCH($N61&amp;$Q61,$X$4:$X$13&amp;$Y$4:$Y$13,0))+INDEX($AA$4:$AA$13,MATCH($N61&amp;$Q61,$X$4:$X$13&amp;$Y$4:$Y$13,0)),2)</f>
        <v>259.74</v>
      </c>
      <c r="V61" s="2"/>
    </row>
    <row r="62" spans="1:22">
      <c r="A62" s="11" t="s">
        <v>5287</v>
      </c>
      <c r="B62" s="5" t="s">
        <v>5155</v>
      </c>
      <c r="C62" s="28">
        <v>46092</v>
      </c>
      <c r="D62" s="28">
        <v>46100</v>
      </c>
      <c r="E62" s="5" t="s">
        <v>1280</v>
      </c>
      <c r="F62" s="28">
        <v>46091</v>
      </c>
      <c r="G62" s="28">
        <v>46102</v>
      </c>
      <c r="H62" s="5" t="s">
        <v>5156</v>
      </c>
      <c r="I62" s="11"/>
      <c r="J62" s="11"/>
      <c r="K62" s="5"/>
      <c r="L62" s="11" t="s">
        <v>1343</v>
      </c>
      <c r="M62" s="11" t="s">
        <v>244</v>
      </c>
      <c r="N62" s="5" t="s">
        <v>4882</v>
      </c>
      <c r="O62" s="5" t="s">
        <v>5157</v>
      </c>
      <c r="P62" s="5" t="s">
        <v>5158</v>
      </c>
      <c r="Q62" s="5" t="s">
        <v>5145</v>
      </c>
      <c r="R62" s="5" t="s">
        <v>5159</v>
      </c>
      <c r="S62" s="11" t="s">
        <v>5085</v>
      </c>
      <c r="T62" s="5" t="s">
        <v>5288</v>
      </c>
      <c r="U62" s="88" cm="1">
        <f t="array" ref="U62">ROUND(SUMIF(Movements!$B$5:$B$329,$A62,Movements!$F$5:$F$329)*INDEX($Z$4:$Z$13,MATCH($N62&amp;$Q62,$X$4:$X$13&amp;$Y$4:$Y$13,0))+INDEX($AA$4:$AA$13,MATCH($N62&amp;$Q62,$X$4:$X$13&amp;$Y$4:$Y$13,0)),2)</f>
        <v>59.77</v>
      </c>
      <c r="V62" s="2"/>
    </row>
    <row r="63" spans="1:22">
      <c r="A63" s="11" t="s">
        <v>5289</v>
      </c>
      <c r="B63" s="5" t="s">
        <v>5142</v>
      </c>
      <c r="C63" s="28">
        <v>46106</v>
      </c>
      <c r="D63" s="28">
        <v>46110</v>
      </c>
      <c r="E63" s="5" t="s">
        <v>1266</v>
      </c>
      <c r="F63" s="28"/>
      <c r="G63" s="28"/>
      <c r="H63" s="5"/>
      <c r="I63" s="11" t="s">
        <v>1375</v>
      </c>
      <c r="J63" s="11" t="s">
        <v>244</v>
      </c>
      <c r="K63" s="5" t="s">
        <v>1054</v>
      </c>
      <c r="L63" s="11"/>
      <c r="M63" s="11"/>
      <c r="N63" s="5" t="s">
        <v>4882</v>
      </c>
      <c r="O63" s="5" t="s">
        <v>1197</v>
      </c>
      <c r="P63" s="5" t="s">
        <v>5175</v>
      </c>
      <c r="Q63" s="5" t="s">
        <v>5145</v>
      </c>
      <c r="R63" s="5" t="s">
        <v>5146</v>
      </c>
      <c r="S63" s="11" t="s">
        <v>4974</v>
      </c>
      <c r="T63" s="5" t="s">
        <v>5290</v>
      </c>
      <c r="U63" s="88" cm="1">
        <f t="array" ref="U63">ROUND(SUMIF(Movements!$B$5:$B$329,$A63,Movements!$F$5:$F$329)*INDEX($Z$4:$Z$13,MATCH($N63&amp;$Q63,$X$4:$X$13&amp;$Y$4:$Y$13,0))+INDEX($AA$4:$AA$13,MATCH($N63&amp;$Q63,$X$4:$X$13&amp;$Y$4:$Y$13,0)),2)</f>
        <v>60.11</v>
      </c>
      <c r="V63" s="2"/>
    </row>
    <row r="64" spans="1:22">
      <c r="A64" s="11" t="s">
        <v>5291</v>
      </c>
      <c r="B64" s="5" t="s">
        <v>5142</v>
      </c>
      <c r="C64" s="28">
        <v>46092</v>
      </c>
      <c r="D64" s="28">
        <v>46104</v>
      </c>
      <c r="E64" s="5" t="s">
        <v>5143</v>
      </c>
      <c r="F64" s="28">
        <v>46093</v>
      </c>
      <c r="G64" s="28"/>
      <c r="H64" s="5"/>
      <c r="I64" s="11" t="s">
        <v>1343</v>
      </c>
      <c r="J64" s="11" t="s">
        <v>244</v>
      </c>
      <c r="K64" s="5" t="s">
        <v>992</v>
      </c>
      <c r="L64" s="11" t="s">
        <v>1328</v>
      </c>
      <c r="M64" s="11"/>
      <c r="N64" s="5" t="s">
        <v>4894</v>
      </c>
      <c r="O64" s="5" t="s">
        <v>5193</v>
      </c>
      <c r="P64" s="5" t="s">
        <v>5158</v>
      </c>
      <c r="Q64" s="5" t="s">
        <v>5151</v>
      </c>
      <c r="R64" s="5" t="s">
        <v>5169</v>
      </c>
      <c r="S64" s="11" t="s">
        <v>5039</v>
      </c>
      <c r="T64" s="5" t="s">
        <v>5292</v>
      </c>
      <c r="U64" s="88" cm="1">
        <f t="array" ref="U64">ROUND(SUMIF(Movements!$B$5:$B$329,$A64,Movements!$F$5:$F$329)*INDEX($Z$4:$Z$13,MATCH($N64&amp;$Q64,$X$4:$X$13&amp;$Y$4:$Y$13,0))+INDEX($AA$4:$AA$13,MATCH($N64&amp;$Q64,$X$4:$X$13&amp;$Y$4:$Y$13,0)),2)</f>
        <v>258.66000000000003</v>
      </c>
      <c r="V64" s="2"/>
    </row>
    <row r="65" spans="1:22">
      <c r="A65" s="11" t="s">
        <v>5293</v>
      </c>
      <c r="B65" s="5" t="s">
        <v>5155</v>
      </c>
      <c r="C65" s="28">
        <v>46111</v>
      </c>
      <c r="D65" s="28">
        <v>46119</v>
      </c>
      <c r="E65" s="5" t="s">
        <v>1266</v>
      </c>
      <c r="F65" s="28"/>
      <c r="G65" s="28"/>
      <c r="H65" s="5" t="s">
        <v>5156</v>
      </c>
      <c r="I65" s="11"/>
      <c r="J65" s="11"/>
      <c r="K65" s="5"/>
      <c r="L65" s="11" t="s">
        <v>1375</v>
      </c>
      <c r="M65" s="11" t="s">
        <v>244</v>
      </c>
      <c r="N65" s="5" t="s">
        <v>4919</v>
      </c>
      <c r="O65" s="5" t="s">
        <v>5157</v>
      </c>
      <c r="P65" s="5" t="s">
        <v>5175</v>
      </c>
      <c r="Q65" s="5" t="s">
        <v>5145</v>
      </c>
      <c r="R65" s="5" t="s">
        <v>5146</v>
      </c>
      <c r="S65" s="11" t="s">
        <v>5059</v>
      </c>
      <c r="T65" s="5" t="s">
        <v>5294</v>
      </c>
      <c r="U65" s="88" cm="1">
        <f t="array" ref="U65">ROUND(SUMIF(Movements!$B$5:$B$329,$A65,Movements!$F$5:$F$329)*INDEX($Z$4:$Z$13,MATCH($N65&amp;$Q65,$X$4:$X$13&amp;$Y$4:$Y$13,0))+INDEX($AA$4:$AA$13,MATCH($N65&amp;$Q65,$X$4:$X$13&amp;$Y$4:$Y$13,0)),2)</f>
        <v>40</v>
      </c>
      <c r="V65" s="2"/>
    </row>
    <row r="66" spans="1:22">
      <c r="A66" s="11" t="s">
        <v>5295</v>
      </c>
      <c r="B66" s="5" t="s">
        <v>5155</v>
      </c>
      <c r="C66" s="28">
        <v>46098</v>
      </c>
      <c r="D66" s="28">
        <v>46102</v>
      </c>
      <c r="E66" s="5" t="s">
        <v>5143</v>
      </c>
      <c r="F66" s="28">
        <v>46100</v>
      </c>
      <c r="G66" s="28"/>
      <c r="H66" s="5" t="s">
        <v>5156</v>
      </c>
      <c r="I66" s="11"/>
      <c r="J66" s="11"/>
      <c r="K66" s="5"/>
      <c r="L66" s="11" t="s">
        <v>1343</v>
      </c>
      <c r="M66" s="11" t="s">
        <v>244</v>
      </c>
      <c r="N66" s="5" t="s">
        <v>4882</v>
      </c>
      <c r="O66" s="5" t="s">
        <v>5157</v>
      </c>
      <c r="P66" s="5" t="s">
        <v>5175</v>
      </c>
      <c r="Q66" s="5" t="s">
        <v>5145</v>
      </c>
      <c r="R66" s="5" t="s">
        <v>5146</v>
      </c>
      <c r="S66" s="11" t="s">
        <v>5064</v>
      </c>
      <c r="T66" s="5" t="s">
        <v>5296</v>
      </c>
      <c r="U66" s="88" cm="1">
        <f t="array" ref="U66">ROUND(SUMIF(Movements!$B$5:$B$329,$A66,Movements!$F$5:$F$329)*INDEX($Z$4:$Z$13,MATCH($N66&amp;$Q66,$X$4:$X$13&amp;$Y$4:$Y$13,0))+INDEX($AA$4:$AA$13,MATCH($N66&amp;$Q66,$X$4:$X$13&amp;$Y$4:$Y$13,0)),2)</f>
        <v>50</v>
      </c>
      <c r="V66" s="2"/>
    </row>
    <row r="67" spans="1:22">
      <c r="A67" s="11" t="s">
        <v>5297</v>
      </c>
      <c r="B67" s="5" t="s">
        <v>5142</v>
      </c>
      <c r="C67" s="28">
        <v>46091</v>
      </c>
      <c r="D67" s="28">
        <v>46098</v>
      </c>
      <c r="E67" s="5" t="s">
        <v>5143</v>
      </c>
      <c r="F67" s="28">
        <v>46092</v>
      </c>
      <c r="G67" s="28"/>
      <c r="H67" s="5"/>
      <c r="I67" s="11" t="s">
        <v>1367</v>
      </c>
      <c r="J67" s="11" t="s">
        <v>244</v>
      </c>
      <c r="K67" s="5" t="s">
        <v>1130</v>
      </c>
      <c r="L67" s="11"/>
      <c r="M67" s="11"/>
      <c r="N67" s="5" t="s">
        <v>4882</v>
      </c>
      <c r="O67" s="5" t="s">
        <v>5157</v>
      </c>
      <c r="P67" s="5" t="s">
        <v>5175</v>
      </c>
      <c r="Q67" s="5" t="s">
        <v>5145</v>
      </c>
      <c r="R67" s="5" t="s">
        <v>5146</v>
      </c>
      <c r="S67" s="11" t="s">
        <v>5029</v>
      </c>
      <c r="T67" s="5" t="s">
        <v>5298</v>
      </c>
      <c r="U67" s="88" cm="1">
        <f t="array" ref="U67">ROUND(SUMIF(Movements!$B$5:$B$329,$A67,Movements!$F$5:$F$329)*INDEX($Z$4:$Z$13,MATCH($N67&amp;$Q67,$X$4:$X$13&amp;$Y$4:$Y$13,0))+INDEX($AA$4:$AA$13,MATCH($N67&amp;$Q67,$X$4:$X$13&amp;$Y$4:$Y$13,0)),2)</f>
        <v>77.16</v>
      </c>
      <c r="V67" s="2"/>
    </row>
    <row r="68" spans="1:22">
      <c r="A68" s="11" t="s">
        <v>5299</v>
      </c>
      <c r="B68" s="5" t="s">
        <v>5174</v>
      </c>
      <c r="C68" s="28">
        <v>46110</v>
      </c>
      <c r="D68" s="28">
        <v>46116</v>
      </c>
      <c r="E68" s="5" t="s">
        <v>1266</v>
      </c>
      <c r="F68" s="28"/>
      <c r="G68" s="28"/>
      <c r="H68" s="5"/>
      <c r="I68" s="11" t="s">
        <v>1359</v>
      </c>
      <c r="J68" s="11"/>
      <c r="K68" s="5"/>
      <c r="L68" s="11" t="s">
        <v>1383</v>
      </c>
      <c r="M68" s="11"/>
      <c r="N68" s="5" t="s">
        <v>4931</v>
      </c>
      <c r="O68" s="5" t="s">
        <v>5165</v>
      </c>
      <c r="P68" s="5" t="s">
        <v>5158</v>
      </c>
      <c r="Q68" s="5" t="s">
        <v>5151</v>
      </c>
      <c r="R68" s="5" t="s">
        <v>5169</v>
      </c>
      <c r="S68" s="11" t="s">
        <v>5069</v>
      </c>
      <c r="T68" s="5" t="s">
        <v>5300</v>
      </c>
      <c r="U68" s="88" cm="1">
        <f t="array" ref="U68">ROUND(SUMIF(Movements!$B$5:$B$329,$A68,Movements!$F$5:$F$329)*INDEX($Z$4:$Z$13,MATCH($N68&amp;$Q68,$X$4:$X$13&amp;$Y$4:$Y$13,0))+INDEX($AA$4:$AA$13,MATCH($N68&amp;$Q68,$X$4:$X$13&amp;$Y$4:$Y$13,0)),2)</f>
        <v>221.77</v>
      </c>
      <c r="V68" s="2"/>
    </row>
    <row r="69" spans="1:22">
      <c r="A69" s="11" t="s">
        <v>5301</v>
      </c>
      <c r="B69" s="5" t="s">
        <v>5155</v>
      </c>
      <c r="C69" s="28">
        <v>46093</v>
      </c>
      <c r="D69" s="28">
        <v>46099</v>
      </c>
      <c r="E69" s="5" t="s">
        <v>5143</v>
      </c>
      <c r="F69" s="28">
        <v>46092</v>
      </c>
      <c r="G69" s="28"/>
      <c r="H69" s="5" t="s">
        <v>5156</v>
      </c>
      <c r="I69" s="11"/>
      <c r="J69" s="11"/>
      <c r="K69" s="5"/>
      <c r="L69" s="11" t="s">
        <v>1375</v>
      </c>
      <c r="M69" s="11" t="s">
        <v>244</v>
      </c>
      <c r="N69" s="5" t="s">
        <v>4931</v>
      </c>
      <c r="O69" s="5" t="s">
        <v>5157</v>
      </c>
      <c r="P69" s="5" t="s">
        <v>5175</v>
      </c>
      <c r="Q69" s="5" t="s">
        <v>5145</v>
      </c>
      <c r="R69" s="5" t="s">
        <v>5146</v>
      </c>
      <c r="S69" s="11" t="s">
        <v>5014</v>
      </c>
      <c r="T69" s="5" t="s">
        <v>5302</v>
      </c>
      <c r="U69" s="88" cm="1">
        <f t="array" ref="U69">ROUND(SUMIF(Movements!$B$5:$B$329,$A69,Movements!$F$5:$F$329)*INDEX($Z$4:$Z$13,MATCH($N69&amp;$Q69,$X$4:$X$13&amp;$Y$4:$Y$13,0))+INDEX($AA$4:$AA$13,MATCH($N69&amp;$Q69,$X$4:$X$13&amp;$Y$4:$Y$13,0)),2)</f>
        <v>80</v>
      </c>
      <c r="V69" s="2"/>
    </row>
    <row r="70" spans="1:22">
      <c r="A70" s="11" t="s">
        <v>5303</v>
      </c>
      <c r="B70" s="5" t="s">
        <v>5142</v>
      </c>
      <c r="C70" s="28">
        <v>46092</v>
      </c>
      <c r="D70" s="28">
        <v>46093</v>
      </c>
      <c r="E70" s="5" t="s">
        <v>1266</v>
      </c>
      <c r="F70" s="28"/>
      <c r="G70" s="28"/>
      <c r="H70" s="5"/>
      <c r="I70" s="11" t="s">
        <v>1359</v>
      </c>
      <c r="J70" s="11" t="s">
        <v>244</v>
      </c>
      <c r="K70" s="5" t="s">
        <v>999</v>
      </c>
      <c r="L70" s="11" t="s">
        <v>1297</v>
      </c>
      <c r="M70" s="11"/>
      <c r="N70" s="5" t="s">
        <v>4931</v>
      </c>
      <c r="O70" s="5" t="s">
        <v>5304</v>
      </c>
      <c r="P70" s="5" t="s">
        <v>5175</v>
      </c>
      <c r="Q70" s="5" t="s">
        <v>5151</v>
      </c>
      <c r="R70" s="5" t="s">
        <v>5305</v>
      </c>
      <c r="S70" s="11" t="s">
        <v>4937</v>
      </c>
      <c r="T70" s="5" t="s">
        <v>5306</v>
      </c>
      <c r="U70" s="88" cm="1">
        <f t="array" ref="U70">ROUND(SUMIF(Movements!$B$5:$B$329,$A70,Movements!$F$5:$F$329)*INDEX($Z$4:$Z$13,MATCH($N70&amp;$Q70,$X$4:$X$13&amp;$Y$4:$Y$13,0))+INDEX($AA$4:$AA$13,MATCH($N70&amp;$Q70,$X$4:$X$13&amp;$Y$4:$Y$13,0)),2)</f>
        <v>222.89</v>
      </c>
      <c r="V70" s="2"/>
    </row>
    <row r="71" spans="1:22">
      <c r="A71" s="11" t="s">
        <v>5307</v>
      </c>
      <c r="B71" s="5" t="s">
        <v>5142</v>
      </c>
      <c r="C71" s="28">
        <v>46098</v>
      </c>
      <c r="D71" s="28">
        <v>46112</v>
      </c>
      <c r="E71" s="5" t="s">
        <v>1280</v>
      </c>
      <c r="F71" s="28">
        <v>46100</v>
      </c>
      <c r="G71" s="28">
        <v>46111</v>
      </c>
      <c r="H71" s="5"/>
      <c r="I71" s="11" t="s">
        <v>1359</v>
      </c>
      <c r="J71" s="11" t="s">
        <v>244</v>
      </c>
      <c r="K71" s="5" t="s">
        <v>935</v>
      </c>
      <c r="L71" s="11"/>
      <c r="M71" s="11"/>
      <c r="N71" s="5" t="s">
        <v>4882</v>
      </c>
      <c r="O71" s="5" t="s">
        <v>5157</v>
      </c>
      <c r="P71" s="5" t="s">
        <v>5175</v>
      </c>
      <c r="Q71" s="5" t="s">
        <v>5145</v>
      </c>
      <c r="R71" s="5" t="s">
        <v>5146</v>
      </c>
      <c r="S71" s="11" t="s">
        <v>4905</v>
      </c>
      <c r="T71" s="5" t="s">
        <v>5308</v>
      </c>
      <c r="U71" s="88" cm="1">
        <f t="array" ref="U71">ROUND(SUMIF(Movements!$B$5:$B$329,$A71,Movements!$F$5:$F$329)*INDEX($Z$4:$Z$13,MATCH($N71&amp;$Q71,$X$4:$X$13&amp;$Y$4:$Y$13,0))+INDEX($AA$4:$AA$13,MATCH($N71&amp;$Q71,$X$4:$X$13&amp;$Y$4:$Y$13,0)),2)</f>
        <v>50</v>
      </c>
      <c r="V71" s="2" t="s">
        <v>5309</v>
      </c>
    </row>
    <row r="72" spans="1:22">
      <c r="A72" s="11" t="s">
        <v>5310</v>
      </c>
      <c r="B72" s="5" t="s">
        <v>5142</v>
      </c>
      <c r="C72" s="28">
        <v>46096</v>
      </c>
      <c r="D72" s="28">
        <v>46103</v>
      </c>
      <c r="E72" s="5" t="s">
        <v>5143</v>
      </c>
      <c r="F72" s="28">
        <v>46096</v>
      </c>
      <c r="G72" s="28"/>
      <c r="H72" s="5"/>
      <c r="I72" s="11" t="s">
        <v>1359</v>
      </c>
      <c r="J72" s="11" t="s">
        <v>244</v>
      </c>
      <c r="K72" s="5" t="s">
        <v>853</v>
      </c>
      <c r="L72" s="11"/>
      <c r="M72" s="11"/>
      <c r="N72" s="5" t="s">
        <v>4882</v>
      </c>
      <c r="O72" s="5" t="s">
        <v>5157</v>
      </c>
      <c r="P72" s="5" t="s">
        <v>5175</v>
      </c>
      <c r="Q72" s="5" t="s">
        <v>5145</v>
      </c>
      <c r="R72" s="5" t="s">
        <v>5146</v>
      </c>
      <c r="S72" s="11" t="s">
        <v>4967</v>
      </c>
      <c r="T72" s="5" t="s">
        <v>5311</v>
      </c>
      <c r="U72" s="88" cm="1">
        <f t="array" ref="U72">ROUND(SUMIF(Movements!$B$5:$B$329,$A72,Movements!$F$5:$F$329)*INDEX($Z$4:$Z$13,MATCH($N72&amp;$Q72,$X$4:$X$13&amp;$Y$4:$Y$13,0))+INDEX($AA$4:$AA$13,MATCH($N72&amp;$Q72,$X$4:$X$13&amp;$Y$4:$Y$13,0)),2)</f>
        <v>61.49</v>
      </c>
      <c r="V72" s="2"/>
    </row>
    <row r="73" spans="1:22">
      <c r="A73" s="11" t="s">
        <v>5312</v>
      </c>
      <c r="B73" s="5" t="s">
        <v>5142</v>
      </c>
      <c r="C73" s="28">
        <v>46085</v>
      </c>
      <c r="D73" s="28">
        <v>46090</v>
      </c>
      <c r="E73" s="5" t="s">
        <v>1280</v>
      </c>
      <c r="F73" s="28">
        <v>46085</v>
      </c>
      <c r="G73" s="28">
        <v>46091</v>
      </c>
      <c r="H73" s="5"/>
      <c r="I73" s="11" t="s">
        <v>1375</v>
      </c>
      <c r="J73" s="11" t="s">
        <v>244</v>
      </c>
      <c r="K73" s="5" t="s">
        <v>1023</v>
      </c>
      <c r="L73" s="11" t="s">
        <v>1328</v>
      </c>
      <c r="M73" s="11"/>
      <c r="N73" s="5" t="s">
        <v>4894</v>
      </c>
      <c r="O73" s="5" t="s">
        <v>5193</v>
      </c>
      <c r="P73" s="5" t="s">
        <v>5158</v>
      </c>
      <c r="Q73" s="5" t="s">
        <v>5151</v>
      </c>
      <c r="R73" s="5" t="s">
        <v>5169</v>
      </c>
      <c r="S73" s="11" t="s">
        <v>5024</v>
      </c>
      <c r="T73" s="5" t="s">
        <v>5313</v>
      </c>
      <c r="U73" s="88" cm="1">
        <f t="array" ref="U73">ROUND(SUMIF(Movements!$B$5:$B$329,$A73,Movements!$F$5:$F$329)*INDEX($Z$4:$Z$13,MATCH($N73&amp;$Q73,$X$4:$X$13&amp;$Y$4:$Y$13,0))+INDEX($AA$4:$AA$13,MATCH($N73&amp;$Q73,$X$4:$X$13&amp;$Y$4:$Y$13,0)),2)</f>
        <v>250</v>
      </c>
      <c r="V73" s="2" t="s">
        <v>5314</v>
      </c>
    </row>
    <row r="74" spans="1:22">
      <c r="A74" s="11" t="s">
        <v>5315</v>
      </c>
      <c r="B74" s="5" t="s">
        <v>5142</v>
      </c>
      <c r="C74" s="28">
        <v>46102</v>
      </c>
      <c r="D74" s="28">
        <v>46117</v>
      </c>
      <c r="E74" s="5" t="s">
        <v>5143</v>
      </c>
      <c r="F74" s="28">
        <v>46101</v>
      </c>
      <c r="G74" s="28"/>
      <c r="H74" s="5"/>
      <c r="I74" s="11" t="s">
        <v>1375</v>
      </c>
      <c r="J74" s="11" t="s">
        <v>244</v>
      </c>
      <c r="K74" s="5" t="s">
        <v>1078</v>
      </c>
      <c r="L74" s="11"/>
      <c r="M74" s="11"/>
      <c r="N74" s="5" t="s">
        <v>4882</v>
      </c>
      <c r="O74" s="5" t="s">
        <v>5157</v>
      </c>
      <c r="P74" s="5" t="s">
        <v>5158</v>
      </c>
      <c r="Q74" s="5" t="s">
        <v>5145</v>
      </c>
      <c r="R74" s="5" t="s">
        <v>5159</v>
      </c>
      <c r="S74" s="11" t="s">
        <v>4928</v>
      </c>
      <c r="T74" s="5" t="s">
        <v>5316</v>
      </c>
      <c r="U74" s="88" cm="1">
        <f t="array" ref="U74">ROUND(SUMIF(Movements!$B$5:$B$329,$A74,Movements!$F$5:$F$329)*INDEX($Z$4:$Z$13,MATCH($N74&amp;$Q74,$X$4:$X$13&amp;$Y$4:$Y$13,0))+INDEX($AA$4:$AA$13,MATCH($N74&amp;$Q74,$X$4:$X$13&amp;$Y$4:$Y$13,0)),2)</f>
        <v>60.87</v>
      </c>
      <c r="V74" s="2"/>
    </row>
    <row r="75" spans="1:22">
      <c r="A75" s="11" t="s">
        <v>5317</v>
      </c>
      <c r="B75" s="5" t="s">
        <v>5142</v>
      </c>
      <c r="C75" s="28">
        <v>46104</v>
      </c>
      <c r="D75" s="28">
        <v>46109</v>
      </c>
      <c r="E75" s="5" t="s">
        <v>1266</v>
      </c>
      <c r="F75" s="28"/>
      <c r="G75" s="28"/>
      <c r="H75" s="5"/>
      <c r="I75" s="11" t="s">
        <v>1359</v>
      </c>
      <c r="J75" s="11" t="s">
        <v>234</v>
      </c>
      <c r="K75" s="5" t="s">
        <v>856</v>
      </c>
      <c r="L75" s="11" t="s">
        <v>1383</v>
      </c>
      <c r="M75" s="11"/>
      <c r="N75" s="5" t="s">
        <v>4894</v>
      </c>
      <c r="O75" s="5" t="s">
        <v>5149</v>
      </c>
      <c r="P75" s="5" t="s">
        <v>5281</v>
      </c>
      <c r="Q75" s="5" t="s">
        <v>5151</v>
      </c>
      <c r="R75" s="5" t="s">
        <v>5169</v>
      </c>
      <c r="S75" s="11" t="s">
        <v>4892</v>
      </c>
      <c r="T75" s="5" t="s">
        <v>5318</v>
      </c>
      <c r="U75" s="88" cm="1">
        <f t="array" ref="U75">ROUND(SUMIF(Movements!$B$5:$B$329,$A75,Movements!$F$5:$F$329)*INDEX($Z$4:$Z$13,MATCH($N75&amp;$Q75,$X$4:$X$13&amp;$Y$4:$Y$13,0))+INDEX($AA$4:$AA$13,MATCH($N75&amp;$Q75,$X$4:$X$13&amp;$Y$4:$Y$13,0)),2)</f>
        <v>281.95</v>
      </c>
      <c r="V75" s="2"/>
    </row>
    <row r="76" spans="1:22">
      <c r="A76" s="11" t="s">
        <v>5319</v>
      </c>
      <c r="B76" s="5" t="s">
        <v>5142</v>
      </c>
      <c r="C76" s="28">
        <v>46102</v>
      </c>
      <c r="D76" s="28">
        <v>46105</v>
      </c>
      <c r="E76" s="5" t="s">
        <v>1266</v>
      </c>
      <c r="F76" s="28"/>
      <c r="G76" s="28"/>
      <c r="H76" s="5"/>
      <c r="I76" s="11" t="s">
        <v>1375</v>
      </c>
      <c r="J76" s="11" t="s">
        <v>244</v>
      </c>
      <c r="K76" s="5" t="s">
        <v>1013</v>
      </c>
      <c r="L76" s="11" t="s">
        <v>1313</v>
      </c>
      <c r="M76" s="11"/>
      <c r="N76" s="5" t="s">
        <v>4894</v>
      </c>
      <c r="O76" s="5" t="s">
        <v>5165</v>
      </c>
      <c r="P76" s="5" t="s">
        <v>5175</v>
      </c>
      <c r="Q76" s="5" t="s">
        <v>5151</v>
      </c>
      <c r="R76" s="5" t="s">
        <v>5152</v>
      </c>
      <c r="S76" s="11" t="s">
        <v>5004</v>
      </c>
      <c r="T76" s="5" t="s">
        <v>5320</v>
      </c>
      <c r="U76" s="88" cm="1">
        <f t="array" ref="U76">ROUND(SUMIF(Movements!$B$5:$B$329,$A76,Movements!$F$5:$F$329)*INDEX($Z$4:$Z$13,MATCH($N76&amp;$Q76,$X$4:$X$13&amp;$Y$4:$Y$13,0))+INDEX($AA$4:$AA$13,MATCH($N76&amp;$Q76,$X$4:$X$13&amp;$Y$4:$Y$13,0)),2)</f>
        <v>259.33</v>
      </c>
      <c r="V76" s="2"/>
    </row>
    <row r="77" spans="1:22">
      <c r="A77" s="11" t="s">
        <v>5321</v>
      </c>
      <c r="B77" s="5" t="s">
        <v>5142</v>
      </c>
      <c r="C77" s="28">
        <v>46097</v>
      </c>
      <c r="D77" s="28">
        <v>46103</v>
      </c>
      <c r="E77" s="5" t="s">
        <v>1266</v>
      </c>
      <c r="F77" s="28"/>
      <c r="G77" s="28"/>
      <c r="H77" s="5"/>
      <c r="I77" s="11" t="s">
        <v>1343</v>
      </c>
      <c r="J77" s="11" t="s">
        <v>234</v>
      </c>
      <c r="K77" s="5" t="s">
        <v>1099</v>
      </c>
      <c r="L77" s="11" t="s">
        <v>1391</v>
      </c>
      <c r="M77" s="11"/>
      <c r="N77" s="5" t="s">
        <v>4894</v>
      </c>
      <c r="O77" s="5" t="s">
        <v>5304</v>
      </c>
      <c r="P77" s="5" t="s">
        <v>5281</v>
      </c>
      <c r="Q77" s="5" t="s">
        <v>5151</v>
      </c>
      <c r="R77" s="5" t="s">
        <v>5322</v>
      </c>
      <c r="S77" s="11" t="s">
        <v>5034</v>
      </c>
      <c r="T77" s="5" t="s">
        <v>5323</v>
      </c>
      <c r="U77" s="88" cm="1">
        <f t="array" ref="U77">ROUND(SUMIF(Movements!$B$5:$B$329,$A77,Movements!$F$5:$F$329)*INDEX($Z$4:$Z$13,MATCH($N77&amp;$Q77,$X$4:$X$13&amp;$Y$4:$Y$13,0))+INDEX($AA$4:$AA$13,MATCH($N77&amp;$Q77,$X$4:$X$13&amp;$Y$4:$Y$13,0)),2)</f>
        <v>267.3</v>
      </c>
      <c r="V77" s="2"/>
    </row>
    <row r="78" spans="1:22">
      <c r="A78" s="11" t="s">
        <v>5324</v>
      </c>
      <c r="B78" s="5" t="s">
        <v>5155</v>
      </c>
      <c r="C78" s="28">
        <v>46105</v>
      </c>
      <c r="D78" s="28">
        <v>46109</v>
      </c>
      <c r="E78" s="5" t="s">
        <v>1266</v>
      </c>
      <c r="F78" s="28"/>
      <c r="G78" s="28"/>
      <c r="H78" s="5" t="s">
        <v>5156</v>
      </c>
      <c r="I78" s="11"/>
      <c r="J78" s="11"/>
      <c r="K78" s="5"/>
      <c r="L78" s="11" t="s">
        <v>1367</v>
      </c>
      <c r="M78" s="11" t="s">
        <v>234</v>
      </c>
      <c r="N78" s="5" t="s">
        <v>4882</v>
      </c>
      <c r="O78" s="5" t="s">
        <v>5157</v>
      </c>
      <c r="P78" s="5" t="s">
        <v>5175</v>
      </c>
      <c r="Q78" s="5" t="s">
        <v>5145</v>
      </c>
      <c r="R78" s="5" t="s">
        <v>5146</v>
      </c>
      <c r="S78" s="11" t="s">
        <v>5089</v>
      </c>
      <c r="T78" s="5" t="s">
        <v>5325</v>
      </c>
      <c r="U78" s="88" cm="1">
        <f t="array" ref="U78">ROUND(SUMIF(Movements!$B$5:$B$329,$A78,Movements!$F$5:$F$329)*INDEX($Z$4:$Z$13,MATCH($N78&amp;$Q78,$X$4:$X$13&amp;$Y$4:$Y$13,0))+INDEX($AA$4:$AA$13,MATCH($N78&amp;$Q78,$X$4:$X$13&amp;$Y$4:$Y$13,0)),2)</f>
        <v>54.58</v>
      </c>
      <c r="V78" s="2"/>
    </row>
    <row r="79" spans="1:22">
      <c r="A79" s="11" t="s">
        <v>5326</v>
      </c>
      <c r="B79" s="5" t="s">
        <v>5142</v>
      </c>
      <c r="C79" s="28">
        <v>46100</v>
      </c>
      <c r="D79" s="28">
        <v>46102</v>
      </c>
      <c r="E79" s="5" t="s">
        <v>5143</v>
      </c>
      <c r="F79" s="28">
        <v>46102</v>
      </c>
      <c r="G79" s="28"/>
      <c r="H79" s="5"/>
      <c r="I79" s="11" t="s">
        <v>1359</v>
      </c>
      <c r="J79" s="11" t="s">
        <v>234</v>
      </c>
      <c r="K79" s="5" t="s">
        <v>1133</v>
      </c>
      <c r="L79" s="11"/>
      <c r="M79" s="11"/>
      <c r="N79" s="5" t="s">
        <v>4882</v>
      </c>
      <c r="O79" s="5" t="s">
        <v>1197</v>
      </c>
      <c r="P79" s="5" t="s">
        <v>5175</v>
      </c>
      <c r="Q79" s="5" t="s">
        <v>5145</v>
      </c>
      <c r="R79" s="5" t="s">
        <v>5146</v>
      </c>
      <c r="S79" s="11" t="s">
        <v>5039</v>
      </c>
      <c r="T79" s="5" t="s">
        <v>5327</v>
      </c>
      <c r="U79" s="88" cm="1">
        <f t="array" ref="U79">ROUND(SUMIF(Movements!$B$5:$B$329,$A79,Movements!$F$5:$F$329)*INDEX($Z$4:$Z$13,MATCH($N79&amp;$Q79,$X$4:$X$13&amp;$Y$4:$Y$13,0))+INDEX($AA$4:$AA$13,MATCH($N79&amp;$Q79,$X$4:$X$13&amp;$Y$4:$Y$13,0)),2)</f>
        <v>60.92</v>
      </c>
      <c r="V79" s="2"/>
    </row>
    <row r="80" spans="1:22">
      <c r="A80" s="11" t="s">
        <v>5328</v>
      </c>
      <c r="B80" s="5" t="s">
        <v>5142</v>
      </c>
      <c r="C80" s="28">
        <v>46107</v>
      </c>
      <c r="D80" s="28">
        <v>46112</v>
      </c>
      <c r="E80" s="5" t="s">
        <v>1266</v>
      </c>
      <c r="F80" s="28"/>
      <c r="G80" s="28"/>
      <c r="H80" s="5"/>
      <c r="I80" s="11" t="s">
        <v>1375</v>
      </c>
      <c r="J80" s="11" t="s">
        <v>234</v>
      </c>
      <c r="K80" s="5" t="s">
        <v>783</v>
      </c>
      <c r="L80" s="11" t="s">
        <v>1399</v>
      </c>
      <c r="M80" s="11"/>
      <c r="N80" s="5" t="s">
        <v>4894</v>
      </c>
      <c r="O80" s="5" t="s">
        <v>5165</v>
      </c>
      <c r="P80" s="5" t="s">
        <v>5175</v>
      </c>
      <c r="Q80" s="5" t="s">
        <v>5151</v>
      </c>
      <c r="R80" s="5" t="s">
        <v>5152</v>
      </c>
      <c r="S80" s="11" t="s">
        <v>4958</v>
      </c>
      <c r="T80" s="5" t="s">
        <v>5329</v>
      </c>
      <c r="U80" s="88" cm="1">
        <f t="array" ref="U80">ROUND(SUMIF(Movements!$B$5:$B$329,$A80,Movements!$F$5:$F$329)*INDEX($Z$4:$Z$13,MATCH($N80&amp;$Q80,$X$4:$X$13&amp;$Y$4:$Y$13,0))+INDEX($AA$4:$AA$13,MATCH($N80&amp;$Q80,$X$4:$X$13&amp;$Y$4:$Y$13,0)),2)</f>
        <v>250</v>
      </c>
      <c r="V80" s="2"/>
    </row>
    <row r="81" spans="1:22">
      <c r="A81" s="11" t="s">
        <v>5330</v>
      </c>
      <c r="B81" s="5" t="s">
        <v>5155</v>
      </c>
      <c r="C81" s="28">
        <v>46098</v>
      </c>
      <c r="D81" s="28">
        <v>46101</v>
      </c>
      <c r="E81" s="5" t="s">
        <v>5143</v>
      </c>
      <c r="F81" s="28">
        <v>46097</v>
      </c>
      <c r="G81" s="28"/>
      <c r="H81" s="5" t="s">
        <v>5156</v>
      </c>
      <c r="I81" s="11"/>
      <c r="J81" s="11"/>
      <c r="K81" s="5"/>
      <c r="L81" s="11" t="s">
        <v>1375</v>
      </c>
      <c r="M81" s="11" t="s">
        <v>244</v>
      </c>
      <c r="N81" s="5" t="s">
        <v>4882</v>
      </c>
      <c r="O81" s="5" t="s">
        <v>5157</v>
      </c>
      <c r="P81" s="5" t="s">
        <v>5175</v>
      </c>
      <c r="Q81" s="5" t="s">
        <v>5145</v>
      </c>
      <c r="R81" s="5" t="s">
        <v>5146</v>
      </c>
      <c r="S81" s="11" t="s">
        <v>5009</v>
      </c>
      <c r="T81" s="5" t="s">
        <v>5331</v>
      </c>
      <c r="U81" s="88" cm="1">
        <f t="array" ref="U81">ROUND(SUMIF(Movements!$B$5:$B$329,$A81,Movements!$F$5:$F$329)*INDEX($Z$4:$Z$13,MATCH($N81&amp;$Q81,$X$4:$X$13&amp;$Y$4:$Y$13,0))+INDEX($AA$4:$AA$13,MATCH($N81&amp;$Q81,$X$4:$X$13&amp;$Y$4:$Y$13,0)),2)</f>
        <v>61.04</v>
      </c>
      <c r="V81" s="2"/>
    </row>
    <row r="82" spans="1:22">
      <c r="A82" s="11" t="s">
        <v>5332</v>
      </c>
      <c r="B82" s="5" t="s">
        <v>5142</v>
      </c>
      <c r="C82" s="28">
        <v>46101</v>
      </c>
      <c r="D82" s="28">
        <v>46108</v>
      </c>
      <c r="E82" s="5" t="s">
        <v>1266</v>
      </c>
      <c r="F82" s="28"/>
      <c r="G82" s="28"/>
      <c r="H82" s="5"/>
      <c r="I82" s="11" t="s">
        <v>1375</v>
      </c>
      <c r="J82" s="11" t="s">
        <v>234</v>
      </c>
      <c r="K82" s="5" t="s">
        <v>1057</v>
      </c>
      <c r="L82" s="11"/>
      <c r="M82" s="11"/>
      <c r="N82" s="5" t="s">
        <v>4931</v>
      </c>
      <c r="O82" s="5" t="s">
        <v>5157</v>
      </c>
      <c r="P82" s="5" t="s">
        <v>5175</v>
      </c>
      <c r="Q82" s="5" t="s">
        <v>5145</v>
      </c>
      <c r="R82" s="5" t="s">
        <v>5146</v>
      </c>
      <c r="S82" s="11" t="s">
        <v>5009</v>
      </c>
      <c r="T82" s="5" t="s">
        <v>5333</v>
      </c>
      <c r="U82" s="88" cm="1">
        <f t="array" ref="U82">ROUND(SUMIF(Movements!$B$5:$B$329,$A82,Movements!$F$5:$F$329)*INDEX($Z$4:$Z$13,MATCH($N82&amp;$Q82,$X$4:$X$13&amp;$Y$4:$Y$13,0))+INDEX($AA$4:$AA$13,MATCH($N82&amp;$Q82,$X$4:$X$13&amp;$Y$4:$Y$13,0)),2)</f>
        <v>92.6</v>
      </c>
      <c r="V82" s="2"/>
    </row>
    <row r="83" spans="1:22">
      <c r="A83" s="11" t="s">
        <v>5334</v>
      </c>
      <c r="B83" s="5" t="s">
        <v>5174</v>
      </c>
      <c r="C83" s="28">
        <v>46083</v>
      </c>
      <c r="D83" s="28">
        <v>46095</v>
      </c>
      <c r="E83" s="5" t="s">
        <v>5143</v>
      </c>
      <c r="F83" s="28">
        <v>46085</v>
      </c>
      <c r="G83" s="28"/>
      <c r="H83" s="5"/>
      <c r="I83" s="11" t="s">
        <v>1367</v>
      </c>
      <c r="J83" s="11"/>
      <c r="K83" s="5"/>
      <c r="L83" s="11" t="s">
        <v>1343</v>
      </c>
      <c r="M83" s="11"/>
      <c r="N83" s="5" t="s">
        <v>4882</v>
      </c>
      <c r="O83" s="5" t="s">
        <v>5157</v>
      </c>
      <c r="P83" s="5" t="s">
        <v>5175</v>
      </c>
      <c r="Q83" s="5" t="s">
        <v>5145</v>
      </c>
      <c r="R83" s="5" t="s">
        <v>5146</v>
      </c>
      <c r="S83" s="11" t="s">
        <v>4958</v>
      </c>
      <c r="T83" s="5" t="s">
        <v>5335</v>
      </c>
      <c r="U83" s="88" cm="1">
        <f t="array" ref="U83">ROUND(SUMIF(Movements!$B$5:$B$329,$A83,Movements!$F$5:$F$329)*INDEX($Z$4:$Z$13,MATCH($N83&amp;$Q83,$X$4:$X$13&amp;$Y$4:$Y$13,0))+INDEX($AA$4:$AA$13,MATCH($N83&amp;$Q83,$X$4:$X$13&amp;$Y$4:$Y$13,0)),2)</f>
        <v>55.08</v>
      </c>
      <c r="V83" s="2"/>
    </row>
    <row r="84" spans="1:22">
      <c r="A84" s="11" t="s">
        <v>5336</v>
      </c>
      <c r="B84" s="5" t="s">
        <v>5142</v>
      </c>
      <c r="C84" s="28">
        <v>46100</v>
      </c>
      <c r="D84" s="28">
        <v>46101</v>
      </c>
      <c r="E84" s="5" t="s">
        <v>5143</v>
      </c>
      <c r="F84" s="28">
        <v>46100</v>
      </c>
      <c r="G84" s="28"/>
      <c r="H84" s="5"/>
      <c r="I84" s="11" t="s">
        <v>1375</v>
      </c>
      <c r="J84" s="11" t="s">
        <v>234</v>
      </c>
      <c r="K84" s="5" t="s">
        <v>783</v>
      </c>
      <c r="L84" s="11" t="s">
        <v>1391</v>
      </c>
      <c r="M84" s="11"/>
      <c r="N84" s="5" t="s">
        <v>4894</v>
      </c>
      <c r="O84" s="5" t="s">
        <v>5193</v>
      </c>
      <c r="P84" s="5" t="s">
        <v>5337</v>
      </c>
      <c r="Q84" s="5" t="s">
        <v>5151</v>
      </c>
      <c r="R84" s="5" t="s">
        <v>5152</v>
      </c>
      <c r="S84" s="11" t="s">
        <v>5077</v>
      </c>
      <c r="T84" s="5" t="s">
        <v>5338</v>
      </c>
      <c r="U84" s="88" cm="1">
        <f t="array" ref="U84">ROUND(SUMIF(Movements!$B$5:$B$329,$A84,Movements!$F$5:$F$329)*INDEX($Z$4:$Z$13,MATCH($N84&amp;$Q84,$X$4:$X$13&amp;$Y$4:$Y$13,0))+INDEX($AA$4:$AA$13,MATCH($N84&amp;$Q84,$X$4:$X$13&amp;$Y$4:$Y$13,0)),2)</f>
        <v>267.58</v>
      </c>
      <c r="V84" s="2"/>
    </row>
    <row r="85" spans="1:22">
      <c r="A85" s="11" t="s">
        <v>5339</v>
      </c>
      <c r="B85" s="5" t="s">
        <v>5155</v>
      </c>
      <c r="C85" s="28">
        <v>46097</v>
      </c>
      <c r="D85" s="28">
        <v>46099</v>
      </c>
      <c r="E85" s="5" t="s">
        <v>1266</v>
      </c>
      <c r="F85" s="28"/>
      <c r="G85" s="28"/>
      <c r="H85" s="5" t="s">
        <v>5156</v>
      </c>
      <c r="I85" s="11"/>
      <c r="J85" s="11"/>
      <c r="K85" s="5"/>
      <c r="L85" s="11" t="s">
        <v>1375</v>
      </c>
      <c r="M85" s="11" t="s">
        <v>244</v>
      </c>
      <c r="N85" s="5" t="s">
        <v>4919</v>
      </c>
      <c r="O85" s="5" t="s">
        <v>5157</v>
      </c>
      <c r="P85" s="5" t="s">
        <v>5175</v>
      </c>
      <c r="Q85" s="5" t="s">
        <v>5145</v>
      </c>
      <c r="R85" s="5" t="s">
        <v>5146</v>
      </c>
      <c r="S85" s="11" t="s">
        <v>5059</v>
      </c>
      <c r="T85" s="5" t="s">
        <v>5340</v>
      </c>
      <c r="U85" s="88" cm="1">
        <f t="array" ref="U85">ROUND(SUMIF(Movements!$B$5:$B$329,$A85,Movements!$F$5:$F$329)*INDEX($Z$4:$Z$13,MATCH($N85&amp;$Q85,$X$4:$X$13&amp;$Y$4:$Y$13,0))+INDEX($AA$4:$AA$13,MATCH($N85&amp;$Q85,$X$4:$X$13&amp;$Y$4:$Y$13,0)),2)</f>
        <v>40</v>
      </c>
      <c r="V85" s="2"/>
    </row>
    <row r="86" spans="1:22">
      <c r="A86" s="11" t="s">
        <v>5341</v>
      </c>
      <c r="B86" s="5" t="s">
        <v>5174</v>
      </c>
      <c r="C86" s="28">
        <v>46105</v>
      </c>
      <c r="D86" s="28">
        <v>46112</v>
      </c>
      <c r="E86" s="5" t="s">
        <v>1266</v>
      </c>
      <c r="F86" s="28"/>
      <c r="G86" s="28"/>
      <c r="H86" s="5"/>
      <c r="I86" s="11" t="s">
        <v>1359</v>
      </c>
      <c r="J86" s="11" t="s">
        <v>244</v>
      </c>
      <c r="K86" s="5"/>
      <c r="L86" s="11" t="s">
        <v>1391</v>
      </c>
      <c r="M86" s="11"/>
      <c r="N86" s="5" t="s">
        <v>4907</v>
      </c>
      <c r="O86" s="5" t="s">
        <v>5165</v>
      </c>
      <c r="P86" s="5" t="s">
        <v>5337</v>
      </c>
      <c r="Q86" s="5" t="s">
        <v>5151</v>
      </c>
      <c r="R86" s="5" t="s">
        <v>5152</v>
      </c>
      <c r="S86" s="11" t="s">
        <v>4917</v>
      </c>
      <c r="T86" s="5" t="s">
        <v>5342</v>
      </c>
      <c r="U86" s="88" cm="1">
        <f t="array" ref="U86">ROUND(SUMIF(Movements!$B$5:$B$329,$A86,Movements!$F$5:$F$329)*INDEX($Z$4:$Z$13,MATCH($N86&amp;$Q86,$X$4:$X$13&amp;$Y$4:$Y$13,0))+INDEX($AA$4:$AA$13,MATCH($N86&amp;$Q86,$X$4:$X$13&amp;$Y$4:$Y$13,0)),2)</f>
        <v>1250.8599999999999</v>
      </c>
      <c r="V86" s="2"/>
    </row>
    <row r="87" spans="1:22">
      <c r="A87" s="11" t="s">
        <v>5343</v>
      </c>
      <c r="B87" s="5" t="s">
        <v>5155</v>
      </c>
      <c r="C87" s="28">
        <v>46111</v>
      </c>
      <c r="D87" s="28">
        <v>46119</v>
      </c>
      <c r="E87" s="5" t="s">
        <v>1266</v>
      </c>
      <c r="F87" s="28"/>
      <c r="G87" s="28"/>
      <c r="H87" s="5" t="s">
        <v>5156</v>
      </c>
      <c r="I87" s="11"/>
      <c r="J87" s="11"/>
      <c r="K87" s="5"/>
      <c r="L87" s="11" t="s">
        <v>1343</v>
      </c>
      <c r="M87" s="11" t="s">
        <v>220</v>
      </c>
      <c r="N87" s="5" t="s">
        <v>4882</v>
      </c>
      <c r="O87" s="5" t="s">
        <v>5157</v>
      </c>
      <c r="P87" s="5" t="s">
        <v>5158</v>
      </c>
      <c r="Q87" s="5" t="s">
        <v>5145</v>
      </c>
      <c r="R87" s="5" t="s">
        <v>5159</v>
      </c>
      <c r="S87" s="11" t="s">
        <v>5089</v>
      </c>
      <c r="T87" s="5" t="s">
        <v>5344</v>
      </c>
      <c r="U87" s="88" cm="1">
        <f t="array" ref="U87">ROUND(SUMIF(Movements!$B$5:$B$329,$A87,Movements!$F$5:$F$329)*INDEX($Z$4:$Z$13,MATCH($N87&amp;$Q87,$X$4:$X$13&amp;$Y$4:$Y$13,0))+INDEX($AA$4:$AA$13,MATCH($N87&amp;$Q87,$X$4:$X$13&amp;$Y$4:$Y$13,0)),2)</f>
        <v>55.65</v>
      </c>
      <c r="V87" s="2"/>
    </row>
    <row r="88" spans="1:22">
      <c r="A88" s="11" t="s">
        <v>5345</v>
      </c>
      <c r="B88" s="5" t="s">
        <v>5142</v>
      </c>
      <c r="C88" s="28">
        <v>46109</v>
      </c>
      <c r="D88" s="28">
        <v>46113</v>
      </c>
      <c r="E88" s="5" t="s">
        <v>1266</v>
      </c>
      <c r="F88" s="28"/>
      <c r="G88" s="28"/>
      <c r="H88" s="5"/>
      <c r="I88" s="11" t="s">
        <v>1375</v>
      </c>
      <c r="J88" s="11" t="s">
        <v>234</v>
      </c>
      <c r="K88" s="5" t="s">
        <v>1118</v>
      </c>
      <c r="L88" s="11"/>
      <c r="M88" s="11"/>
      <c r="N88" s="5" t="s">
        <v>4882</v>
      </c>
      <c r="O88" s="5" t="s">
        <v>1197</v>
      </c>
      <c r="P88" s="5" t="s">
        <v>5158</v>
      </c>
      <c r="Q88" s="5" t="s">
        <v>5145</v>
      </c>
      <c r="R88" s="5" t="s">
        <v>5159</v>
      </c>
      <c r="S88" s="11" t="s">
        <v>5093</v>
      </c>
      <c r="T88" s="5" t="s">
        <v>5346</v>
      </c>
      <c r="U88" s="88" cm="1">
        <f t="array" ref="U88">ROUND(SUMIF(Movements!$B$5:$B$329,$A88,Movements!$F$5:$F$329)*INDEX($Z$4:$Z$13,MATCH($N88&amp;$Q88,$X$4:$X$13&amp;$Y$4:$Y$13,0))+INDEX($AA$4:$AA$13,MATCH($N88&amp;$Q88,$X$4:$X$13&amp;$Y$4:$Y$13,0)),2)</f>
        <v>60.38</v>
      </c>
      <c r="V88" s="2"/>
    </row>
    <row r="89" spans="1:22">
      <c r="A89" s="11" t="s">
        <v>5347</v>
      </c>
      <c r="B89" s="5" t="s">
        <v>5142</v>
      </c>
      <c r="C89" s="28">
        <v>46086</v>
      </c>
      <c r="D89" s="28">
        <v>46089</v>
      </c>
      <c r="E89" s="5" t="s">
        <v>1280</v>
      </c>
      <c r="F89" s="28">
        <v>46086</v>
      </c>
      <c r="G89" s="28">
        <v>46091</v>
      </c>
      <c r="H89" s="5"/>
      <c r="I89" s="11" t="s">
        <v>1367</v>
      </c>
      <c r="J89" s="11" t="s">
        <v>244</v>
      </c>
      <c r="K89" s="5" t="s">
        <v>1082</v>
      </c>
      <c r="L89" s="11"/>
      <c r="M89" s="11"/>
      <c r="N89" s="5" t="s">
        <v>4882</v>
      </c>
      <c r="O89" s="5" t="s">
        <v>5157</v>
      </c>
      <c r="P89" s="5" t="s">
        <v>5175</v>
      </c>
      <c r="Q89" s="5" t="s">
        <v>5145</v>
      </c>
      <c r="R89" s="5" t="s">
        <v>5146</v>
      </c>
      <c r="S89" s="11" t="s">
        <v>5089</v>
      </c>
      <c r="T89" s="5" t="s">
        <v>5348</v>
      </c>
      <c r="U89" s="88" cm="1">
        <f t="array" ref="U89">ROUND(SUMIF(Movements!$B$5:$B$329,$A89,Movements!$F$5:$F$329)*INDEX($Z$4:$Z$13,MATCH($N89&amp;$Q89,$X$4:$X$13&amp;$Y$4:$Y$13,0))+INDEX($AA$4:$AA$13,MATCH($N89&amp;$Q89,$X$4:$X$13&amp;$Y$4:$Y$13,0)),2)</f>
        <v>50</v>
      </c>
      <c r="V89" s="2" t="s">
        <v>5349</v>
      </c>
    </row>
    <row r="90" spans="1:22">
      <c r="A90" s="11" t="s">
        <v>5350</v>
      </c>
      <c r="B90" s="5" t="s">
        <v>5174</v>
      </c>
      <c r="C90" s="28">
        <v>46094</v>
      </c>
      <c r="D90" s="28">
        <v>46098</v>
      </c>
      <c r="E90" s="5" t="s">
        <v>5143</v>
      </c>
      <c r="F90" s="28">
        <v>46093</v>
      </c>
      <c r="G90" s="28"/>
      <c r="H90" s="5"/>
      <c r="I90" s="11" t="s">
        <v>1375</v>
      </c>
      <c r="J90" s="11"/>
      <c r="K90" s="5"/>
      <c r="L90" s="11" t="s">
        <v>1313</v>
      </c>
      <c r="M90" s="11"/>
      <c r="N90" s="5" t="s">
        <v>4894</v>
      </c>
      <c r="O90" s="5" t="s">
        <v>5165</v>
      </c>
      <c r="P90" s="5" t="s">
        <v>5175</v>
      </c>
      <c r="Q90" s="5" t="s">
        <v>5151</v>
      </c>
      <c r="R90" s="5" t="s">
        <v>5152</v>
      </c>
      <c r="S90" s="11" t="s">
        <v>4967</v>
      </c>
      <c r="T90" s="5" t="s">
        <v>5351</v>
      </c>
      <c r="U90" s="88" cm="1">
        <f t="array" ref="U90">ROUND(SUMIF(Movements!$B$5:$B$329,$A90,Movements!$F$5:$F$329)*INDEX($Z$4:$Z$13,MATCH($N90&amp;$Q90,$X$4:$X$13&amp;$Y$4:$Y$13,0))+INDEX($AA$4:$AA$13,MATCH($N90&amp;$Q90,$X$4:$X$13&amp;$Y$4:$Y$13,0)),2)</f>
        <v>250</v>
      </c>
      <c r="V90" s="2"/>
    </row>
    <row r="91" spans="1:22">
      <c r="A91" s="11" t="s">
        <v>5352</v>
      </c>
      <c r="B91" s="5" t="s">
        <v>5174</v>
      </c>
      <c r="C91" s="28">
        <v>46095</v>
      </c>
      <c r="D91" s="28">
        <v>46102</v>
      </c>
      <c r="E91" s="5" t="s">
        <v>5143</v>
      </c>
      <c r="F91" s="28">
        <v>46096</v>
      </c>
      <c r="G91" s="28"/>
      <c r="H91" s="5"/>
      <c r="I91" s="11" t="s">
        <v>1367</v>
      </c>
      <c r="J91" s="11" t="s">
        <v>234</v>
      </c>
      <c r="K91" s="5"/>
      <c r="L91" s="11" t="s">
        <v>1383</v>
      </c>
      <c r="M91" s="11"/>
      <c r="N91" s="5" t="s">
        <v>4907</v>
      </c>
      <c r="O91" s="5" t="s">
        <v>5193</v>
      </c>
      <c r="P91" s="5" t="s">
        <v>5175</v>
      </c>
      <c r="Q91" s="5" t="s">
        <v>5151</v>
      </c>
      <c r="R91" s="5" t="s">
        <v>5152</v>
      </c>
      <c r="S91" s="11" t="s">
        <v>5009</v>
      </c>
      <c r="T91" s="5" t="s">
        <v>5353</v>
      </c>
      <c r="U91" s="88" cm="1">
        <f t="array" ref="U91">ROUND(SUMIF(Movements!$B$5:$B$329,$A91,Movements!$F$5:$F$329)*INDEX($Z$4:$Z$13,MATCH($N91&amp;$Q91,$X$4:$X$13&amp;$Y$4:$Y$13,0))+INDEX($AA$4:$AA$13,MATCH($N91&amp;$Q91,$X$4:$X$13&amp;$Y$4:$Y$13,0)),2)</f>
        <v>350</v>
      </c>
      <c r="V91" s="2"/>
    </row>
    <row r="92" spans="1:22">
      <c r="A92" s="11" t="s">
        <v>5354</v>
      </c>
      <c r="B92" s="5" t="s">
        <v>5142</v>
      </c>
      <c r="C92" s="28">
        <v>46112</v>
      </c>
      <c r="D92" s="28">
        <v>46114</v>
      </c>
      <c r="E92" s="5" t="s">
        <v>1266</v>
      </c>
      <c r="F92" s="28"/>
      <c r="G92" s="28"/>
      <c r="H92" s="5"/>
      <c r="I92" s="11" t="s">
        <v>1375</v>
      </c>
      <c r="J92" s="11" t="s">
        <v>234</v>
      </c>
      <c r="K92" s="5" t="s">
        <v>1033</v>
      </c>
      <c r="L92" s="11" t="s">
        <v>1297</v>
      </c>
      <c r="M92" s="11"/>
      <c r="N92" s="5" t="s">
        <v>4894</v>
      </c>
      <c r="O92" s="5" t="s">
        <v>5149</v>
      </c>
      <c r="P92" s="5" t="s">
        <v>5175</v>
      </c>
      <c r="Q92" s="5" t="s">
        <v>5151</v>
      </c>
      <c r="R92" s="5" t="s">
        <v>5152</v>
      </c>
      <c r="S92" s="11" t="s">
        <v>4958</v>
      </c>
      <c r="T92" s="5" t="s">
        <v>5355</v>
      </c>
      <c r="U92" s="88" cm="1">
        <f t="array" ref="U92">ROUND(SUMIF(Movements!$B$5:$B$329,$A92,Movements!$F$5:$F$329)*INDEX($Z$4:$Z$13,MATCH($N92&amp;$Q92,$X$4:$X$13&amp;$Y$4:$Y$13,0))+INDEX($AA$4:$AA$13,MATCH($N92&amp;$Q92,$X$4:$X$13&amp;$Y$4:$Y$13,0)),2)</f>
        <v>265.31</v>
      </c>
      <c r="V92" s="2"/>
    </row>
    <row r="93" spans="1:22">
      <c r="A93" s="11" t="s">
        <v>5356</v>
      </c>
      <c r="B93" s="5" t="s">
        <v>5142</v>
      </c>
      <c r="C93" s="28">
        <v>46086</v>
      </c>
      <c r="D93" s="28">
        <v>46092</v>
      </c>
      <c r="E93" s="5" t="s">
        <v>1280</v>
      </c>
      <c r="F93" s="28">
        <v>46087</v>
      </c>
      <c r="G93" s="28">
        <v>46092</v>
      </c>
      <c r="H93" s="5"/>
      <c r="I93" s="11" t="s">
        <v>1375</v>
      </c>
      <c r="J93" s="11" t="s">
        <v>244</v>
      </c>
      <c r="K93" s="5" t="s">
        <v>864</v>
      </c>
      <c r="L93" s="11" t="s">
        <v>1399</v>
      </c>
      <c r="M93" s="11"/>
      <c r="N93" s="5" t="s">
        <v>4894</v>
      </c>
      <c r="O93" s="5" t="s">
        <v>5304</v>
      </c>
      <c r="P93" s="5" t="s">
        <v>5281</v>
      </c>
      <c r="Q93" s="5" t="s">
        <v>5151</v>
      </c>
      <c r="R93" s="5" t="s">
        <v>5322</v>
      </c>
      <c r="S93" s="11" t="s">
        <v>5049</v>
      </c>
      <c r="T93" s="5" t="s">
        <v>5357</v>
      </c>
      <c r="U93" s="88" cm="1">
        <f t="array" ref="U93">ROUND(SUMIF(Movements!$B$5:$B$329,$A93,Movements!$F$5:$F$329)*INDEX($Z$4:$Z$13,MATCH($N93&amp;$Q93,$X$4:$X$13&amp;$Y$4:$Y$13,0))+INDEX($AA$4:$AA$13,MATCH($N93&amp;$Q93,$X$4:$X$13&amp;$Y$4:$Y$13,0)),2)</f>
        <v>258.39</v>
      </c>
      <c r="V93" s="2" t="s">
        <v>5358</v>
      </c>
    </row>
    <row r="94" spans="1:22">
      <c r="A94" s="11" t="s">
        <v>5359</v>
      </c>
      <c r="B94" s="5" t="s">
        <v>5142</v>
      </c>
      <c r="C94" s="28">
        <v>46082</v>
      </c>
      <c r="D94" s="28">
        <v>46090</v>
      </c>
      <c r="E94" s="5" t="s">
        <v>1280</v>
      </c>
      <c r="F94" s="28">
        <v>46081</v>
      </c>
      <c r="G94" s="28">
        <v>46088</v>
      </c>
      <c r="H94" s="5"/>
      <c r="I94" s="11" t="s">
        <v>1375</v>
      </c>
      <c r="J94" s="11" t="s">
        <v>234</v>
      </c>
      <c r="K94" s="5" t="s">
        <v>901</v>
      </c>
      <c r="L94" s="11"/>
      <c r="M94" s="11"/>
      <c r="N94" s="5" t="s">
        <v>4882</v>
      </c>
      <c r="O94" s="5" t="s">
        <v>5157</v>
      </c>
      <c r="P94" s="5" t="s">
        <v>5158</v>
      </c>
      <c r="Q94" s="5" t="s">
        <v>5145</v>
      </c>
      <c r="R94" s="5" t="s">
        <v>5159</v>
      </c>
      <c r="S94" s="11" t="s">
        <v>5024</v>
      </c>
      <c r="T94" s="5" t="s">
        <v>5360</v>
      </c>
      <c r="U94" s="88" cm="1">
        <f t="array" ref="U94">ROUND(SUMIF(Movements!$B$5:$B$329,$A94,Movements!$F$5:$F$329)*INDEX($Z$4:$Z$13,MATCH($N94&amp;$Q94,$X$4:$X$13&amp;$Y$4:$Y$13,0))+INDEX($AA$4:$AA$13,MATCH($N94&amp;$Q94,$X$4:$X$13&amp;$Y$4:$Y$13,0)),2)</f>
        <v>50</v>
      </c>
      <c r="V94" s="2"/>
    </row>
    <row r="95" spans="1:22">
      <c r="A95" s="11" t="s">
        <v>5361</v>
      </c>
      <c r="B95" s="5" t="s">
        <v>5142</v>
      </c>
      <c r="C95" s="28">
        <v>46094</v>
      </c>
      <c r="D95" s="28">
        <v>46107</v>
      </c>
      <c r="E95" s="5" t="s">
        <v>1266</v>
      </c>
      <c r="F95" s="28"/>
      <c r="G95" s="28"/>
      <c r="H95" s="5"/>
      <c r="I95" s="11" t="s">
        <v>1343</v>
      </c>
      <c r="J95" s="11" t="s">
        <v>244</v>
      </c>
      <c r="K95" s="5" t="s">
        <v>1124</v>
      </c>
      <c r="L95" s="11" t="s">
        <v>1297</v>
      </c>
      <c r="M95" s="11"/>
      <c r="N95" s="5" t="s">
        <v>4894</v>
      </c>
      <c r="O95" s="5" t="s">
        <v>5193</v>
      </c>
      <c r="P95" s="5" t="s">
        <v>5281</v>
      </c>
      <c r="Q95" s="5" t="s">
        <v>5151</v>
      </c>
      <c r="R95" s="5" t="s">
        <v>5169</v>
      </c>
      <c r="S95" s="11" t="s">
        <v>4917</v>
      </c>
      <c r="T95" s="5" t="s">
        <v>5362</v>
      </c>
      <c r="U95" s="88" cm="1">
        <f t="array" ref="U95">ROUND(SUMIF(Movements!$B$5:$B$329,$A95,Movements!$F$5:$F$329)*INDEX($Z$4:$Z$13,MATCH($N95&amp;$Q95,$X$4:$X$13&amp;$Y$4:$Y$13,0))+INDEX($AA$4:$AA$13,MATCH($N95&amp;$Q95,$X$4:$X$13&amp;$Y$4:$Y$13,0)),2)</f>
        <v>266.36</v>
      </c>
      <c r="V95" s="2"/>
    </row>
    <row r="96" spans="1:22">
      <c r="A96" s="11" t="s">
        <v>5363</v>
      </c>
      <c r="B96" s="5" t="s">
        <v>5142</v>
      </c>
      <c r="C96" s="28">
        <v>46100</v>
      </c>
      <c r="D96" s="28">
        <v>46105</v>
      </c>
      <c r="E96" s="5" t="s">
        <v>1280</v>
      </c>
      <c r="F96" s="28">
        <v>46101</v>
      </c>
      <c r="G96" s="28">
        <v>46107</v>
      </c>
      <c r="H96" s="5"/>
      <c r="I96" s="11" t="s">
        <v>1367</v>
      </c>
      <c r="J96" s="11" t="s">
        <v>234</v>
      </c>
      <c r="K96" s="5" t="s">
        <v>1078</v>
      </c>
      <c r="L96" s="11" t="s">
        <v>1313</v>
      </c>
      <c r="M96" s="11"/>
      <c r="N96" s="5" t="s">
        <v>4894</v>
      </c>
      <c r="O96" s="5" t="s">
        <v>5304</v>
      </c>
      <c r="P96" s="5" t="s">
        <v>5144</v>
      </c>
      <c r="Q96" s="5" t="s">
        <v>5151</v>
      </c>
      <c r="R96" s="5" t="s">
        <v>5305</v>
      </c>
      <c r="S96" s="11" t="s">
        <v>5004</v>
      </c>
      <c r="T96" s="5" t="s">
        <v>5364</v>
      </c>
      <c r="U96" s="88" cm="1">
        <f t="array" ref="U96">ROUND(SUMIF(Movements!$B$5:$B$329,$A96,Movements!$F$5:$F$329)*INDEX($Z$4:$Z$13,MATCH($N96&amp;$Q96,$X$4:$X$13&amp;$Y$4:$Y$13,0))+INDEX($AA$4:$AA$13,MATCH($N96&amp;$Q96,$X$4:$X$13&amp;$Y$4:$Y$13,0)),2)</f>
        <v>266.27999999999997</v>
      </c>
      <c r="V96" s="2"/>
    </row>
    <row r="97" spans="1:22">
      <c r="A97" s="11" t="s">
        <v>5365</v>
      </c>
      <c r="B97" s="5" t="s">
        <v>5155</v>
      </c>
      <c r="C97" s="28">
        <v>46101</v>
      </c>
      <c r="D97" s="28">
        <v>46109</v>
      </c>
      <c r="E97" s="5" t="s">
        <v>1280</v>
      </c>
      <c r="F97" s="28">
        <v>46103</v>
      </c>
      <c r="G97" s="28">
        <v>46108</v>
      </c>
      <c r="H97" s="5" t="s">
        <v>5156</v>
      </c>
      <c r="I97" s="11"/>
      <c r="J97" s="11"/>
      <c r="K97" s="5"/>
      <c r="L97" s="11" t="s">
        <v>1351</v>
      </c>
      <c r="M97" s="11" t="s">
        <v>244</v>
      </c>
      <c r="N97" s="5" t="s">
        <v>4919</v>
      </c>
      <c r="O97" s="5" t="s">
        <v>5157</v>
      </c>
      <c r="P97" s="5" t="s">
        <v>5158</v>
      </c>
      <c r="Q97" s="5" t="s">
        <v>5145</v>
      </c>
      <c r="R97" s="5" t="s">
        <v>5159</v>
      </c>
      <c r="S97" s="11" t="s">
        <v>5044</v>
      </c>
      <c r="T97" s="5" t="s">
        <v>5366</v>
      </c>
      <c r="U97" s="88" cm="1">
        <f t="array" ref="U97">ROUND(SUMIF(Movements!$B$5:$B$329,$A97,Movements!$F$5:$F$329)*INDEX($Z$4:$Z$13,MATCH($N97&amp;$Q97,$X$4:$X$13&amp;$Y$4:$Y$13,0))+INDEX($AA$4:$AA$13,MATCH($N97&amp;$Q97,$X$4:$X$13&amp;$Y$4:$Y$13,0)),2)</f>
        <v>40</v>
      </c>
      <c r="V97" s="2" t="s">
        <v>5367</v>
      </c>
    </row>
    <row r="98" spans="1:22">
      <c r="A98" s="11" t="s">
        <v>5368</v>
      </c>
      <c r="B98" s="5" t="s">
        <v>5142</v>
      </c>
      <c r="C98" s="28">
        <v>46108</v>
      </c>
      <c r="D98" s="28">
        <v>46116</v>
      </c>
      <c r="E98" s="5" t="s">
        <v>1266</v>
      </c>
      <c r="F98" s="28"/>
      <c r="G98" s="28"/>
      <c r="H98" s="5"/>
      <c r="I98" s="11" t="s">
        <v>1375</v>
      </c>
      <c r="J98" s="11" t="s">
        <v>234</v>
      </c>
      <c r="K98" s="5" t="s">
        <v>1105</v>
      </c>
      <c r="L98" s="11"/>
      <c r="M98" s="11"/>
      <c r="N98" s="5" t="s">
        <v>4882</v>
      </c>
      <c r="O98" s="5" t="s">
        <v>1197</v>
      </c>
      <c r="P98" s="5" t="s">
        <v>5175</v>
      </c>
      <c r="Q98" s="5" t="s">
        <v>5145</v>
      </c>
      <c r="R98" s="5" t="s">
        <v>5146</v>
      </c>
      <c r="S98" s="11" t="s">
        <v>5081</v>
      </c>
      <c r="T98" s="5" t="s">
        <v>5369</v>
      </c>
      <c r="U98" s="88" cm="1">
        <f t="array" ref="U98">ROUND(SUMIF(Movements!$B$5:$B$329,$A98,Movements!$F$5:$F$329)*INDEX($Z$4:$Z$13,MATCH($N98&amp;$Q98,$X$4:$X$13&amp;$Y$4:$Y$13,0))+INDEX($AA$4:$AA$13,MATCH($N98&amp;$Q98,$X$4:$X$13&amp;$Y$4:$Y$13,0)),2)</f>
        <v>55.18</v>
      </c>
      <c r="V98" s="2"/>
    </row>
    <row r="99" spans="1:22">
      <c r="A99" s="11" t="s">
        <v>5370</v>
      </c>
      <c r="B99" s="5" t="s">
        <v>5142</v>
      </c>
      <c r="C99" s="28">
        <v>46111</v>
      </c>
      <c r="D99" s="28">
        <v>46117</v>
      </c>
      <c r="E99" s="5" t="s">
        <v>5143</v>
      </c>
      <c r="F99" s="28">
        <v>46111</v>
      </c>
      <c r="G99" s="28"/>
      <c r="H99" s="5"/>
      <c r="I99" s="11" t="s">
        <v>1359</v>
      </c>
      <c r="J99" s="11" t="s">
        <v>234</v>
      </c>
      <c r="K99" s="5" t="s">
        <v>901</v>
      </c>
      <c r="L99" s="11" t="s">
        <v>1313</v>
      </c>
      <c r="M99" s="11"/>
      <c r="N99" s="5" t="s">
        <v>4931</v>
      </c>
      <c r="O99" s="5" t="s">
        <v>5304</v>
      </c>
      <c r="P99" s="5" t="s">
        <v>5175</v>
      </c>
      <c r="Q99" s="5" t="s">
        <v>5151</v>
      </c>
      <c r="R99" s="5" t="s">
        <v>5305</v>
      </c>
      <c r="S99" s="11" t="s">
        <v>5014</v>
      </c>
      <c r="T99" s="5" t="s">
        <v>5371</v>
      </c>
      <c r="U99" s="88" cm="1">
        <f t="array" ref="U99">ROUND(SUMIF(Movements!$B$5:$B$329,$A99,Movements!$F$5:$F$329)*INDEX($Z$4:$Z$13,MATCH($N99&amp;$Q99,$X$4:$X$13&amp;$Y$4:$Y$13,0))+INDEX($AA$4:$AA$13,MATCH($N99&amp;$Q99,$X$4:$X$13&amp;$Y$4:$Y$13,0)),2)</f>
        <v>200</v>
      </c>
      <c r="V99" s="2"/>
    </row>
    <row r="100" spans="1:22">
      <c r="A100" s="11" t="s">
        <v>5372</v>
      </c>
      <c r="B100" s="5" t="s">
        <v>5174</v>
      </c>
      <c r="C100" s="28">
        <v>46102</v>
      </c>
      <c r="D100" s="28">
        <v>46113</v>
      </c>
      <c r="E100" s="5" t="s">
        <v>5143</v>
      </c>
      <c r="F100" s="28">
        <v>46104</v>
      </c>
      <c r="G100" s="28"/>
      <c r="H100" s="5"/>
      <c r="I100" s="11" t="s">
        <v>1375</v>
      </c>
      <c r="J100" s="11"/>
      <c r="K100" s="5"/>
      <c r="L100" s="11" t="s">
        <v>1383</v>
      </c>
      <c r="M100" s="11"/>
      <c r="N100" s="5" t="s">
        <v>4894</v>
      </c>
      <c r="O100" s="5" t="s">
        <v>5149</v>
      </c>
      <c r="P100" s="5" t="s">
        <v>5337</v>
      </c>
      <c r="Q100" s="5" t="s">
        <v>5151</v>
      </c>
      <c r="R100" s="5" t="s">
        <v>5152</v>
      </c>
      <c r="S100" s="11" t="s">
        <v>5014</v>
      </c>
      <c r="T100" s="5" t="s">
        <v>5373</v>
      </c>
      <c r="U100" s="88" cm="1">
        <f t="array" ref="U100">ROUND(SUMIF(Movements!$B$5:$B$329,$A100,Movements!$F$5:$F$329)*INDEX($Z$4:$Z$13,MATCH($N100&amp;$Q100,$X$4:$X$13&amp;$Y$4:$Y$13,0))+INDEX($AA$4:$AA$13,MATCH($N100&amp;$Q100,$X$4:$X$13&amp;$Y$4:$Y$13,0)),2)</f>
        <v>273.70999999999998</v>
      </c>
      <c r="V100" s="2"/>
    </row>
    <row r="101" spans="1:22">
      <c r="A101" s="11" t="s">
        <v>5374</v>
      </c>
      <c r="B101" s="5" t="s">
        <v>5142</v>
      </c>
      <c r="C101" s="28">
        <v>46111</v>
      </c>
      <c r="D101" s="28">
        <v>46115</v>
      </c>
      <c r="E101" s="5" t="s">
        <v>1266</v>
      </c>
      <c r="F101" s="28"/>
      <c r="G101" s="28"/>
      <c r="H101" s="5"/>
      <c r="I101" s="11" t="s">
        <v>1375</v>
      </c>
      <c r="J101" s="11" t="s">
        <v>234</v>
      </c>
      <c r="K101" s="5" t="s">
        <v>1029</v>
      </c>
      <c r="L101" s="11" t="s">
        <v>1297</v>
      </c>
      <c r="M101" s="11"/>
      <c r="N101" s="5" t="s">
        <v>4894</v>
      </c>
      <c r="O101" s="5" t="s">
        <v>5193</v>
      </c>
      <c r="P101" s="5" t="s">
        <v>5175</v>
      </c>
      <c r="Q101" s="5" t="s">
        <v>5151</v>
      </c>
      <c r="R101" s="5" t="s">
        <v>5152</v>
      </c>
      <c r="S101" s="11" t="s">
        <v>5019</v>
      </c>
      <c r="T101" s="5" t="s">
        <v>5375</v>
      </c>
      <c r="U101" s="88" cm="1">
        <f t="array" ref="U101">ROUND(SUMIF(Movements!$B$5:$B$329,$A101,Movements!$F$5:$F$329)*INDEX($Z$4:$Z$13,MATCH($N101&amp;$Q101,$X$4:$X$13&amp;$Y$4:$Y$13,0))+INDEX($AA$4:$AA$13,MATCH($N101&amp;$Q101,$X$4:$X$13&amp;$Y$4:$Y$13,0)),2)</f>
        <v>250</v>
      </c>
      <c r="V101" s="2"/>
    </row>
    <row r="102" spans="1:22">
      <c r="A102" s="11" t="s">
        <v>5376</v>
      </c>
      <c r="B102" s="5" t="s">
        <v>5174</v>
      </c>
      <c r="C102" s="28">
        <v>46082</v>
      </c>
      <c r="D102" s="28">
        <v>46086</v>
      </c>
      <c r="E102" s="5" t="s">
        <v>5143</v>
      </c>
      <c r="F102" s="28">
        <v>46082</v>
      </c>
      <c r="G102" s="28"/>
      <c r="H102" s="5"/>
      <c r="I102" s="11" t="s">
        <v>1367</v>
      </c>
      <c r="J102" s="11" t="s">
        <v>234</v>
      </c>
      <c r="K102" s="5"/>
      <c r="L102" s="11" t="s">
        <v>1399</v>
      </c>
      <c r="M102" s="11"/>
      <c r="N102" s="5" t="s">
        <v>4907</v>
      </c>
      <c r="O102" s="5" t="s">
        <v>5193</v>
      </c>
      <c r="P102" s="5" t="s">
        <v>5175</v>
      </c>
      <c r="Q102" s="5" t="s">
        <v>5151</v>
      </c>
      <c r="R102" s="5" t="s">
        <v>5152</v>
      </c>
      <c r="S102" s="11" t="s">
        <v>4937</v>
      </c>
      <c r="T102" s="5" t="s">
        <v>5377</v>
      </c>
      <c r="U102" s="88" cm="1">
        <f t="array" ref="U102">ROUND(SUMIF(Movements!$B$5:$B$329,$A102,Movements!$F$5:$F$329)*INDEX($Z$4:$Z$13,MATCH($N102&amp;$Q102,$X$4:$X$13&amp;$Y$4:$Y$13,0))+INDEX($AA$4:$AA$13,MATCH($N102&amp;$Q102,$X$4:$X$13&amp;$Y$4:$Y$13,0)),2)</f>
        <v>671.98</v>
      </c>
      <c r="V102" s="2"/>
    </row>
    <row r="103" spans="1:22">
      <c r="A103" s="11" t="s">
        <v>5378</v>
      </c>
      <c r="B103" s="5" t="s">
        <v>5142</v>
      </c>
      <c r="C103" s="28">
        <v>46103</v>
      </c>
      <c r="D103" s="28">
        <v>46109</v>
      </c>
      <c r="E103" s="5" t="s">
        <v>5143</v>
      </c>
      <c r="F103" s="28">
        <v>46105</v>
      </c>
      <c r="G103" s="28"/>
      <c r="H103" s="5"/>
      <c r="I103" s="11" t="s">
        <v>1375</v>
      </c>
      <c r="J103" s="11" t="s">
        <v>234</v>
      </c>
      <c r="K103" s="5" t="s">
        <v>1029</v>
      </c>
      <c r="L103" s="11"/>
      <c r="M103" s="11"/>
      <c r="N103" s="5" t="s">
        <v>4882</v>
      </c>
      <c r="O103" s="5" t="s">
        <v>5157</v>
      </c>
      <c r="P103" s="5" t="s">
        <v>5175</v>
      </c>
      <c r="Q103" s="5" t="s">
        <v>5145</v>
      </c>
      <c r="R103" s="5" t="s">
        <v>5146</v>
      </c>
      <c r="S103" s="11" t="s">
        <v>5069</v>
      </c>
      <c r="T103" s="5" t="s">
        <v>5379</v>
      </c>
      <c r="U103" s="88" cm="1">
        <f t="array" ref="U103">ROUND(SUMIF(Movements!$B$5:$B$329,$A103,Movements!$F$5:$F$329)*INDEX($Z$4:$Z$13,MATCH($N103&amp;$Q103,$X$4:$X$13&amp;$Y$4:$Y$13,0))+INDEX($AA$4:$AA$13,MATCH($N103&amp;$Q103,$X$4:$X$13&amp;$Y$4:$Y$13,0)),2)</f>
        <v>55.16</v>
      </c>
      <c r="V103" s="2"/>
    </row>
    <row r="104" spans="1:22">
      <c r="A104" s="11" t="s">
        <v>5380</v>
      </c>
      <c r="B104" s="5" t="s">
        <v>5142</v>
      </c>
      <c r="C104" s="28">
        <v>46093</v>
      </c>
      <c r="D104" s="28">
        <v>46100</v>
      </c>
      <c r="E104" s="5" t="s">
        <v>1280</v>
      </c>
      <c r="F104" s="28">
        <v>46093</v>
      </c>
      <c r="G104" s="28">
        <v>46098</v>
      </c>
      <c r="H104" s="5"/>
      <c r="I104" s="11" t="s">
        <v>1359</v>
      </c>
      <c r="J104" s="11" t="s">
        <v>234</v>
      </c>
      <c r="K104" s="5" t="s">
        <v>1033</v>
      </c>
      <c r="L104" s="11" t="s">
        <v>1313</v>
      </c>
      <c r="M104" s="11"/>
      <c r="N104" s="5" t="s">
        <v>4894</v>
      </c>
      <c r="O104" s="5" t="s">
        <v>5165</v>
      </c>
      <c r="P104" s="5" t="s">
        <v>5281</v>
      </c>
      <c r="Q104" s="5" t="s">
        <v>5151</v>
      </c>
      <c r="R104" s="5" t="s">
        <v>5169</v>
      </c>
      <c r="S104" s="11" t="s">
        <v>5039</v>
      </c>
      <c r="T104" s="5" t="s">
        <v>5381</v>
      </c>
      <c r="U104" s="88" cm="1">
        <f t="array" ref="U104">ROUND(SUMIF(Movements!$B$5:$B$329,$A104,Movements!$F$5:$F$329)*INDEX($Z$4:$Z$13,MATCH($N104&amp;$Q104,$X$4:$X$13&amp;$Y$4:$Y$13,0))+INDEX($AA$4:$AA$13,MATCH($N104&amp;$Q104,$X$4:$X$13&amp;$Y$4:$Y$13,0)),2)</f>
        <v>273.42</v>
      </c>
      <c r="V104" s="2" t="s">
        <v>5382</v>
      </c>
    </row>
    <row r="105" spans="1:22">
      <c r="A105" s="11" t="s">
        <v>5383</v>
      </c>
      <c r="B105" s="5" t="s">
        <v>5142</v>
      </c>
      <c r="C105" s="28">
        <v>46091</v>
      </c>
      <c r="D105" s="28">
        <v>46100</v>
      </c>
      <c r="E105" s="5" t="s">
        <v>5143</v>
      </c>
      <c r="F105" s="28">
        <v>46092</v>
      </c>
      <c r="G105" s="28"/>
      <c r="H105" s="5"/>
      <c r="I105" s="11" t="s">
        <v>1367</v>
      </c>
      <c r="J105" s="11" t="s">
        <v>244</v>
      </c>
      <c r="K105" s="5" t="s">
        <v>966</v>
      </c>
      <c r="L105" s="11" t="s">
        <v>1297</v>
      </c>
      <c r="M105" s="11"/>
      <c r="N105" s="5" t="s">
        <v>4907</v>
      </c>
      <c r="O105" s="5" t="s">
        <v>5165</v>
      </c>
      <c r="P105" s="5" t="s">
        <v>5175</v>
      </c>
      <c r="Q105" s="5" t="s">
        <v>5151</v>
      </c>
      <c r="R105" s="5" t="s">
        <v>5152</v>
      </c>
      <c r="S105" s="11" t="s">
        <v>4974</v>
      </c>
      <c r="T105" s="5" t="s">
        <v>5384</v>
      </c>
      <c r="U105" s="88" cm="1">
        <f t="array" ref="U105">ROUND(SUMIF(Movements!$B$5:$B$329,$A105,Movements!$F$5:$F$329)*INDEX($Z$4:$Z$13,MATCH($N105&amp;$Q105,$X$4:$X$13&amp;$Y$4:$Y$13,0))+INDEX($AA$4:$AA$13,MATCH($N105&amp;$Q105,$X$4:$X$13&amp;$Y$4:$Y$13,0)),2)</f>
        <v>350</v>
      </c>
      <c r="V105" s="2"/>
    </row>
    <row r="106" spans="1:22">
      <c r="A106" s="11" t="s">
        <v>5385</v>
      </c>
      <c r="B106" s="5" t="s">
        <v>5142</v>
      </c>
      <c r="C106" s="28">
        <v>46087</v>
      </c>
      <c r="D106" s="28">
        <v>46090</v>
      </c>
      <c r="E106" s="5" t="s">
        <v>1280</v>
      </c>
      <c r="F106" s="28">
        <v>46088</v>
      </c>
      <c r="G106" s="28">
        <v>46089</v>
      </c>
      <c r="H106" s="5"/>
      <c r="I106" s="11" t="s">
        <v>1359</v>
      </c>
      <c r="J106" s="11" t="s">
        <v>244</v>
      </c>
      <c r="K106" s="5" t="s">
        <v>864</v>
      </c>
      <c r="L106" s="11" t="s">
        <v>1328</v>
      </c>
      <c r="M106" s="11"/>
      <c r="N106" s="5" t="s">
        <v>4907</v>
      </c>
      <c r="O106" s="5" t="s">
        <v>5149</v>
      </c>
      <c r="P106" s="5" t="s">
        <v>5175</v>
      </c>
      <c r="Q106" s="5" t="s">
        <v>5151</v>
      </c>
      <c r="R106" s="5" t="s">
        <v>5152</v>
      </c>
      <c r="S106" s="11" t="s">
        <v>4937</v>
      </c>
      <c r="T106" s="5" t="s">
        <v>5386</v>
      </c>
      <c r="U106" s="88" cm="1">
        <f t="array" ref="U106">ROUND(SUMIF(Movements!$B$5:$B$329,$A106,Movements!$F$5:$F$329)*INDEX($Z$4:$Z$13,MATCH($N106&amp;$Q106,$X$4:$X$13&amp;$Y$4:$Y$13,0))+INDEX($AA$4:$AA$13,MATCH($N106&amp;$Q106,$X$4:$X$13&amp;$Y$4:$Y$13,0)),2)</f>
        <v>350</v>
      </c>
      <c r="V106" s="2" t="s">
        <v>5387</v>
      </c>
    </row>
    <row r="107" spans="1:22">
      <c r="A107" s="11" t="s">
        <v>5388</v>
      </c>
      <c r="B107" s="5" t="s">
        <v>5155</v>
      </c>
      <c r="C107" s="28">
        <v>46101</v>
      </c>
      <c r="D107" s="28">
        <v>46104</v>
      </c>
      <c r="E107" s="5" t="s">
        <v>5143</v>
      </c>
      <c r="F107" s="28">
        <v>46103</v>
      </c>
      <c r="G107" s="28"/>
      <c r="H107" s="5" t="s">
        <v>5156</v>
      </c>
      <c r="I107" s="11"/>
      <c r="J107" s="11"/>
      <c r="K107" s="5"/>
      <c r="L107" s="11" t="s">
        <v>1375</v>
      </c>
      <c r="M107" s="11" t="s">
        <v>244</v>
      </c>
      <c r="N107" s="5" t="s">
        <v>4882</v>
      </c>
      <c r="O107" s="5" t="s">
        <v>5157</v>
      </c>
      <c r="P107" s="5" t="s">
        <v>5158</v>
      </c>
      <c r="Q107" s="5" t="s">
        <v>5145</v>
      </c>
      <c r="R107" s="5" t="s">
        <v>5159</v>
      </c>
      <c r="S107" s="11" t="s">
        <v>5004</v>
      </c>
      <c r="T107" s="5" t="s">
        <v>5389</v>
      </c>
      <c r="U107" s="88" cm="1">
        <f t="array" ref="U107">ROUND(SUMIF(Movements!$B$5:$B$329,$A107,Movements!$F$5:$F$329)*INDEX($Z$4:$Z$13,MATCH($N107&amp;$Q107,$X$4:$X$13&amp;$Y$4:$Y$13,0))+INDEX($AA$4:$AA$13,MATCH($N107&amp;$Q107,$X$4:$X$13&amp;$Y$4:$Y$13,0)),2)</f>
        <v>50</v>
      </c>
      <c r="V107" s="2"/>
    </row>
    <row r="108" spans="1:22">
      <c r="A108" s="11" t="s">
        <v>5390</v>
      </c>
      <c r="B108" s="5" t="s">
        <v>5142</v>
      </c>
      <c r="C108" s="28">
        <v>46094</v>
      </c>
      <c r="D108" s="28">
        <v>46102</v>
      </c>
      <c r="E108" s="5" t="s">
        <v>5143</v>
      </c>
      <c r="F108" s="28">
        <v>46096</v>
      </c>
      <c r="G108" s="28"/>
      <c r="H108" s="5"/>
      <c r="I108" s="11" t="s">
        <v>1343</v>
      </c>
      <c r="J108" s="11" t="s">
        <v>234</v>
      </c>
      <c r="K108" s="5" t="s">
        <v>925</v>
      </c>
      <c r="L108" s="11" t="s">
        <v>1313</v>
      </c>
      <c r="M108" s="11"/>
      <c r="N108" s="5" t="s">
        <v>4894</v>
      </c>
      <c r="O108" s="5" t="s">
        <v>5304</v>
      </c>
      <c r="P108" s="5" t="s">
        <v>5158</v>
      </c>
      <c r="Q108" s="5" t="s">
        <v>5151</v>
      </c>
      <c r="R108" s="5" t="s">
        <v>5322</v>
      </c>
      <c r="S108" s="11" t="s">
        <v>5044</v>
      </c>
      <c r="T108" s="5" t="s">
        <v>5391</v>
      </c>
      <c r="U108" s="88" cm="1">
        <f t="array" ref="U108">ROUND(SUMIF(Movements!$B$5:$B$329,$A108,Movements!$F$5:$F$329)*INDEX($Z$4:$Z$13,MATCH($N108&amp;$Q108,$X$4:$X$13&amp;$Y$4:$Y$13,0))+INDEX($AA$4:$AA$13,MATCH($N108&amp;$Q108,$X$4:$X$13&amp;$Y$4:$Y$13,0)),2)</f>
        <v>257.52999999999997</v>
      </c>
      <c r="V108" s="2"/>
    </row>
    <row r="109" spans="1:22">
      <c r="A109" s="11" t="s">
        <v>5392</v>
      </c>
      <c r="B109" s="5" t="s">
        <v>5174</v>
      </c>
      <c r="C109" s="28">
        <v>46099</v>
      </c>
      <c r="D109" s="28">
        <v>46110</v>
      </c>
      <c r="E109" s="5" t="s">
        <v>5143</v>
      </c>
      <c r="F109" s="28">
        <v>46099</v>
      </c>
      <c r="G109" s="28"/>
      <c r="H109" s="5"/>
      <c r="I109" s="11" t="s">
        <v>1351</v>
      </c>
      <c r="J109" s="11"/>
      <c r="K109" s="5"/>
      <c r="L109" s="11" t="s">
        <v>1297</v>
      </c>
      <c r="M109" s="11"/>
      <c r="N109" s="5" t="s">
        <v>4894</v>
      </c>
      <c r="O109" s="5" t="s">
        <v>5165</v>
      </c>
      <c r="P109" s="5" t="s">
        <v>5337</v>
      </c>
      <c r="Q109" s="5" t="s">
        <v>5151</v>
      </c>
      <c r="R109" s="5" t="s">
        <v>5152</v>
      </c>
      <c r="S109" s="11" t="s">
        <v>4981</v>
      </c>
      <c r="T109" s="5" t="s">
        <v>5393</v>
      </c>
      <c r="U109" s="88" cm="1">
        <f t="array" ref="U109">ROUND(SUMIF(Movements!$B$5:$B$329,$A109,Movements!$F$5:$F$329)*INDEX($Z$4:$Z$13,MATCH($N109&amp;$Q109,$X$4:$X$13&amp;$Y$4:$Y$13,0))+INDEX($AA$4:$AA$13,MATCH($N109&amp;$Q109,$X$4:$X$13&amp;$Y$4:$Y$13,0)),2)</f>
        <v>258.56</v>
      </c>
      <c r="V109" s="2"/>
    </row>
    <row r="110" spans="1:22">
      <c r="A110" s="11" t="s">
        <v>5394</v>
      </c>
      <c r="B110" s="5" t="s">
        <v>5174</v>
      </c>
      <c r="C110" s="28">
        <v>46087</v>
      </c>
      <c r="D110" s="28">
        <v>46099</v>
      </c>
      <c r="E110" s="5" t="s">
        <v>5143</v>
      </c>
      <c r="F110" s="28">
        <v>46086</v>
      </c>
      <c r="G110" s="28"/>
      <c r="H110" s="5"/>
      <c r="I110" s="11" t="s">
        <v>1359</v>
      </c>
      <c r="J110" s="11" t="s">
        <v>234</v>
      </c>
      <c r="K110" s="5"/>
      <c r="L110" s="11" t="s">
        <v>1313</v>
      </c>
      <c r="M110" s="11"/>
      <c r="N110" s="5" t="s">
        <v>4894</v>
      </c>
      <c r="O110" s="5" t="s">
        <v>5193</v>
      </c>
      <c r="P110" s="5" t="s">
        <v>5175</v>
      </c>
      <c r="Q110" s="5" t="s">
        <v>5151</v>
      </c>
      <c r="R110" s="5" t="s">
        <v>5152</v>
      </c>
      <c r="S110" s="11" t="s">
        <v>5009</v>
      </c>
      <c r="T110" s="5" t="s">
        <v>5395</v>
      </c>
      <c r="U110" s="88" cm="1">
        <f t="array" ref="U110">ROUND(SUMIF(Movements!$B$5:$B$329,$A110,Movements!$F$5:$F$329)*INDEX($Z$4:$Z$13,MATCH($N110&amp;$Q110,$X$4:$X$13&amp;$Y$4:$Y$13,0))+INDEX($AA$4:$AA$13,MATCH($N110&amp;$Q110,$X$4:$X$13&amp;$Y$4:$Y$13,0)),2)</f>
        <v>266.05</v>
      </c>
      <c r="V110" s="2"/>
    </row>
    <row r="111" spans="1:22">
      <c r="A111" s="11" t="s">
        <v>5396</v>
      </c>
      <c r="B111" s="5" t="s">
        <v>5142</v>
      </c>
      <c r="C111" s="28">
        <v>46105</v>
      </c>
      <c r="D111" s="28">
        <v>46119</v>
      </c>
      <c r="E111" s="5" t="s">
        <v>1266</v>
      </c>
      <c r="F111" s="28"/>
      <c r="G111" s="28"/>
      <c r="H111" s="5"/>
      <c r="I111" s="11" t="s">
        <v>1375</v>
      </c>
      <c r="J111" s="11" t="s">
        <v>244</v>
      </c>
      <c r="K111" s="5" t="s">
        <v>919</v>
      </c>
      <c r="L111" s="11"/>
      <c r="M111" s="11"/>
      <c r="N111" s="5" t="s">
        <v>4882</v>
      </c>
      <c r="O111" s="5" t="s">
        <v>1197</v>
      </c>
      <c r="P111" s="5" t="s">
        <v>5175</v>
      </c>
      <c r="Q111" s="5" t="s">
        <v>5145</v>
      </c>
      <c r="R111" s="5" t="s">
        <v>5146</v>
      </c>
      <c r="S111" s="11" t="s">
        <v>5009</v>
      </c>
      <c r="T111" s="5" t="s">
        <v>5397</v>
      </c>
      <c r="U111" s="88" cm="1">
        <f t="array" ref="U111">ROUND(SUMIF(Movements!$B$5:$B$329,$A111,Movements!$F$5:$F$329)*INDEX($Z$4:$Z$13,MATCH($N111&amp;$Q111,$X$4:$X$13&amp;$Y$4:$Y$13,0))+INDEX($AA$4:$AA$13,MATCH($N111&amp;$Q111,$X$4:$X$13&amp;$Y$4:$Y$13,0)),2)</f>
        <v>60.7</v>
      </c>
      <c r="V111" s="2"/>
    </row>
    <row r="112" spans="1:22">
      <c r="A112" s="11" t="s">
        <v>5398</v>
      </c>
      <c r="B112" s="5" t="s">
        <v>5142</v>
      </c>
      <c r="C112" s="28">
        <v>46107</v>
      </c>
      <c r="D112" s="28">
        <v>46122</v>
      </c>
      <c r="E112" s="5" t="s">
        <v>1266</v>
      </c>
      <c r="F112" s="28"/>
      <c r="G112" s="28"/>
      <c r="H112" s="5"/>
      <c r="I112" s="11" t="s">
        <v>1375</v>
      </c>
      <c r="J112" s="11" t="s">
        <v>244</v>
      </c>
      <c r="K112" s="5" t="s">
        <v>888</v>
      </c>
      <c r="L112" s="11" t="s">
        <v>1313</v>
      </c>
      <c r="M112" s="11"/>
      <c r="N112" s="5" t="s">
        <v>4894</v>
      </c>
      <c r="O112" s="5" t="s">
        <v>5165</v>
      </c>
      <c r="P112" s="5" t="s">
        <v>5175</v>
      </c>
      <c r="Q112" s="5" t="s">
        <v>5151</v>
      </c>
      <c r="R112" s="5" t="s">
        <v>5152</v>
      </c>
      <c r="S112" s="11" t="s">
        <v>4937</v>
      </c>
      <c r="T112" s="5" t="s">
        <v>5399</v>
      </c>
      <c r="U112" s="88" cm="1">
        <f t="array" ref="U112">ROUND(SUMIF(Movements!$B$5:$B$329,$A112,Movements!$F$5:$F$329)*INDEX($Z$4:$Z$13,MATCH($N112&amp;$Q112,$X$4:$X$13&amp;$Y$4:$Y$13,0))+INDEX($AA$4:$AA$13,MATCH($N112&amp;$Q112,$X$4:$X$13&amp;$Y$4:$Y$13,0)),2)</f>
        <v>257.93</v>
      </c>
      <c r="V112" s="2"/>
    </row>
    <row r="113" spans="1:22">
      <c r="A113" s="11" t="s">
        <v>5400</v>
      </c>
      <c r="B113" s="5" t="s">
        <v>5142</v>
      </c>
      <c r="C113" s="28">
        <v>46099</v>
      </c>
      <c r="D113" s="28">
        <v>46103</v>
      </c>
      <c r="E113" s="5" t="s">
        <v>1280</v>
      </c>
      <c r="F113" s="28">
        <v>46098</v>
      </c>
      <c r="G113" s="28">
        <v>46104</v>
      </c>
      <c r="H113" s="5"/>
      <c r="I113" s="11" t="s">
        <v>1351</v>
      </c>
      <c r="J113" s="11" t="s">
        <v>244</v>
      </c>
      <c r="K113" s="5" t="s">
        <v>1033</v>
      </c>
      <c r="L113" s="11"/>
      <c r="M113" s="11"/>
      <c r="N113" s="5" t="s">
        <v>4919</v>
      </c>
      <c r="O113" s="5" t="s">
        <v>5157</v>
      </c>
      <c r="P113" s="5" t="s">
        <v>5175</v>
      </c>
      <c r="Q113" s="5" t="s">
        <v>5145</v>
      </c>
      <c r="R113" s="5" t="s">
        <v>5146</v>
      </c>
      <c r="S113" s="11" t="s">
        <v>5034</v>
      </c>
      <c r="T113" s="5" t="s">
        <v>5401</v>
      </c>
      <c r="U113" s="88" cm="1">
        <f t="array" ref="U113">ROUND(SUMIF(Movements!$B$5:$B$329,$A113,Movements!$F$5:$F$329)*INDEX($Z$4:$Z$13,MATCH($N113&amp;$Q113,$X$4:$X$13&amp;$Y$4:$Y$13,0))+INDEX($AA$4:$AA$13,MATCH($N113&amp;$Q113,$X$4:$X$13&amp;$Y$4:$Y$13,0)),2)</f>
        <v>44.11</v>
      </c>
      <c r="V113" s="2" t="s">
        <v>5402</v>
      </c>
    </row>
    <row r="114" spans="1:22">
      <c r="A114" s="11" t="s">
        <v>5403</v>
      </c>
      <c r="B114" s="5" t="s">
        <v>5155</v>
      </c>
      <c r="C114" s="28">
        <v>46103</v>
      </c>
      <c r="D114" s="28">
        <v>46107</v>
      </c>
      <c r="E114" s="5" t="s">
        <v>5143</v>
      </c>
      <c r="F114" s="28">
        <v>46103</v>
      </c>
      <c r="G114" s="28"/>
      <c r="H114" s="5" t="s">
        <v>5156</v>
      </c>
      <c r="I114" s="11"/>
      <c r="J114" s="11"/>
      <c r="K114" s="5"/>
      <c r="L114" s="11" t="s">
        <v>1375</v>
      </c>
      <c r="M114" s="11" t="s">
        <v>244</v>
      </c>
      <c r="N114" s="5" t="s">
        <v>4919</v>
      </c>
      <c r="O114" s="5" t="s">
        <v>5157</v>
      </c>
      <c r="P114" s="5" t="s">
        <v>5175</v>
      </c>
      <c r="Q114" s="5" t="s">
        <v>5145</v>
      </c>
      <c r="R114" s="5" t="s">
        <v>5146</v>
      </c>
      <c r="S114" s="11" t="s">
        <v>5009</v>
      </c>
      <c r="T114" s="5" t="s">
        <v>5404</v>
      </c>
      <c r="U114" s="88" cm="1">
        <f t="array" ref="U114">ROUND(SUMIF(Movements!$B$5:$B$329,$A114,Movements!$F$5:$F$329)*INDEX($Z$4:$Z$13,MATCH($N114&amp;$Q114,$X$4:$X$13&amp;$Y$4:$Y$13,0))+INDEX($AA$4:$AA$13,MATCH($N114&amp;$Q114,$X$4:$X$13&amp;$Y$4:$Y$13,0)),2)</f>
        <v>50.94</v>
      </c>
      <c r="V114" s="2"/>
    </row>
    <row r="115" spans="1:22">
      <c r="A115" s="11" t="s">
        <v>5405</v>
      </c>
      <c r="B115" s="5" t="s">
        <v>5142</v>
      </c>
      <c r="C115" s="28">
        <v>46107</v>
      </c>
      <c r="D115" s="28">
        <v>46116</v>
      </c>
      <c r="E115" s="5" t="s">
        <v>5143</v>
      </c>
      <c r="F115" s="28">
        <v>46106</v>
      </c>
      <c r="G115" s="28"/>
      <c r="H115" s="5"/>
      <c r="I115" s="11" t="s">
        <v>1343</v>
      </c>
      <c r="J115" s="11" t="s">
        <v>234</v>
      </c>
      <c r="K115" s="5" t="s">
        <v>922</v>
      </c>
      <c r="L115" s="11" t="s">
        <v>1399</v>
      </c>
      <c r="M115" s="11"/>
      <c r="N115" s="5" t="s">
        <v>4894</v>
      </c>
      <c r="O115" s="5" t="s">
        <v>5149</v>
      </c>
      <c r="P115" s="5" t="s">
        <v>5175</v>
      </c>
      <c r="Q115" s="5" t="s">
        <v>5151</v>
      </c>
      <c r="R115" s="5" t="s">
        <v>5152</v>
      </c>
      <c r="S115" s="11" t="s">
        <v>5024</v>
      </c>
      <c r="T115" s="5" t="s">
        <v>5406</v>
      </c>
      <c r="U115" s="88" cm="1">
        <f t="array" ref="U115">ROUND(SUMIF(Movements!$B$5:$B$329,$A115,Movements!$F$5:$F$329)*INDEX($Z$4:$Z$13,MATCH($N115&amp;$Q115,$X$4:$X$13&amp;$Y$4:$Y$13,0))+INDEX($AA$4:$AA$13,MATCH($N115&amp;$Q115,$X$4:$X$13&amp;$Y$4:$Y$13,0)),2)</f>
        <v>250</v>
      </c>
      <c r="V115" s="2"/>
    </row>
    <row r="116" spans="1:22">
      <c r="A116" s="11" t="s">
        <v>5407</v>
      </c>
      <c r="B116" s="5" t="s">
        <v>5142</v>
      </c>
      <c r="C116" s="28">
        <v>46082</v>
      </c>
      <c r="D116" s="28">
        <v>46090</v>
      </c>
      <c r="E116" s="5" t="s">
        <v>5143</v>
      </c>
      <c r="F116" s="28">
        <v>46083</v>
      </c>
      <c r="G116" s="28"/>
      <c r="H116" s="5"/>
      <c r="I116" s="11" t="s">
        <v>1351</v>
      </c>
      <c r="J116" s="11" t="s">
        <v>244</v>
      </c>
      <c r="K116" s="5" t="s">
        <v>1019</v>
      </c>
      <c r="L116" s="11" t="s">
        <v>1313</v>
      </c>
      <c r="M116" s="11"/>
      <c r="N116" s="5" t="s">
        <v>4907</v>
      </c>
      <c r="O116" s="5" t="s">
        <v>5304</v>
      </c>
      <c r="P116" s="5" t="s">
        <v>5337</v>
      </c>
      <c r="Q116" s="5" t="s">
        <v>5151</v>
      </c>
      <c r="R116" s="5" t="s">
        <v>5305</v>
      </c>
      <c r="S116" s="11" t="s">
        <v>5097</v>
      </c>
      <c r="T116" s="5" t="s">
        <v>5408</v>
      </c>
      <c r="U116" s="88" cm="1">
        <f t="array" ref="U116">ROUND(SUMIF(Movements!$B$5:$B$329,$A116,Movements!$F$5:$F$329)*INDEX($Z$4:$Z$13,MATCH($N116&amp;$Q116,$X$4:$X$13&amp;$Y$4:$Y$13,0))+INDEX($AA$4:$AA$13,MATCH($N116&amp;$Q116,$X$4:$X$13&amp;$Y$4:$Y$13,0)),2)</f>
        <v>625.9</v>
      </c>
      <c r="V116" s="2"/>
    </row>
    <row r="117" spans="1:22">
      <c r="A117" s="11" t="s">
        <v>5409</v>
      </c>
      <c r="B117" s="5" t="s">
        <v>5142</v>
      </c>
      <c r="C117" s="28">
        <v>46102</v>
      </c>
      <c r="D117" s="28">
        <v>46105</v>
      </c>
      <c r="E117" s="5" t="s">
        <v>5143</v>
      </c>
      <c r="F117" s="28">
        <v>46101</v>
      </c>
      <c r="G117" s="28"/>
      <c r="H117" s="5"/>
      <c r="I117" s="11" t="s">
        <v>1375</v>
      </c>
      <c r="J117" s="11" t="s">
        <v>244</v>
      </c>
      <c r="K117" s="5" t="s">
        <v>992</v>
      </c>
      <c r="L117" s="11" t="s">
        <v>1328</v>
      </c>
      <c r="M117" s="11"/>
      <c r="N117" s="5" t="s">
        <v>4907</v>
      </c>
      <c r="O117" s="5" t="s">
        <v>5149</v>
      </c>
      <c r="P117" s="5" t="s">
        <v>5144</v>
      </c>
      <c r="Q117" s="5" t="s">
        <v>5151</v>
      </c>
      <c r="R117" s="5" t="s">
        <v>5152</v>
      </c>
      <c r="S117" s="11" t="s">
        <v>5093</v>
      </c>
      <c r="T117" s="5" t="s">
        <v>5410</v>
      </c>
      <c r="U117" s="88" cm="1">
        <f t="array" ref="U117">ROUND(SUMIF(Movements!$B$5:$B$329,$A117,Movements!$F$5:$F$329)*INDEX($Z$4:$Z$13,MATCH($N117&amp;$Q117,$X$4:$X$13&amp;$Y$4:$Y$13,0))+INDEX($AA$4:$AA$13,MATCH($N117&amp;$Q117,$X$4:$X$13&amp;$Y$4:$Y$13,0)),2)</f>
        <v>628.01</v>
      </c>
      <c r="V117" s="2"/>
    </row>
    <row r="118" spans="1:22">
      <c r="A118" s="11" t="s">
        <v>5411</v>
      </c>
      <c r="B118" s="5" t="s">
        <v>5142</v>
      </c>
      <c r="C118" s="28">
        <v>46105</v>
      </c>
      <c r="D118" s="28">
        <v>46113</v>
      </c>
      <c r="E118" s="5" t="s">
        <v>1266</v>
      </c>
      <c r="F118" s="28"/>
      <c r="G118" s="28"/>
      <c r="H118" s="5"/>
      <c r="I118" s="11" t="s">
        <v>1367</v>
      </c>
      <c r="J118" s="11" t="s">
        <v>244</v>
      </c>
      <c r="K118" s="5" t="s">
        <v>1045</v>
      </c>
      <c r="L118" s="11"/>
      <c r="M118" s="11"/>
      <c r="N118" s="5" t="s">
        <v>4882</v>
      </c>
      <c r="O118" s="5" t="s">
        <v>5157</v>
      </c>
      <c r="P118" s="5" t="s">
        <v>5175</v>
      </c>
      <c r="Q118" s="5" t="s">
        <v>5145</v>
      </c>
      <c r="R118" s="5" t="s">
        <v>5146</v>
      </c>
      <c r="S118" s="11" t="s">
        <v>4952</v>
      </c>
      <c r="T118" s="5" t="s">
        <v>5412</v>
      </c>
      <c r="U118" s="88" cm="1">
        <f t="array" ref="U118">ROUND(SUMIF(Movements!$B$5:$B$329,$A118,Movements!$F$5:$F$329)*INDEX($Z$4:$Z$13,MATCH($N118&amp;$Q118,$X$4:$X$13&amp;$Y$4:$Y$13,0))+INDEX($AA$4:$AA$13,MATCH($N118&amp;$Q118,$X$4:$X$13&amp;$Y$4:$Y$13,0)),2)</f>
        <v>50</v>
      </c>
      <c r="V118" s="2"/>
    </row>
    <row r="119" spans="1:22">
      <c r="A119" s="11" t="s">
        <v>5413</v>
      </c>
      <c r="B119" s="5" t="s">
        <v>5142</v>
      </c>
      <c r="C119" s="28">
        <v>46086</v>
      </c>
      <c r="D119" s="28">
        <v>46099</v>
      </c>
      <c r="E119" s="5" t="s">
        <v>1280</v>
      </c>
      <c r="F119" s="28">
        <v>46086</v>
      </c>
      <c r="G119" s="28">
        <v>46100</v>
      </c>
      <c r="H119" s="5"/>
      <c r="I119" s="11" t="s">
        <v>1351</v>
      </c>
      <c r="J119" s="11" t="s">
        <v>234</v>
      </c>
      <c r="K119" s="5" t="s">
        <v>996</v>
      </c>
      <c r="L119" s="11" t="s">
        <v>1313</v>
      </c>
      <c r="M119" s="11"/>
      <c r="N119" s="5" t="s">
        <v>4907</v>
      </c>
      <c r="O119" s="5" t="s">
        <v>5193</v>
      </c>
      <c r="P119" s="5" t="s">
        <v>5337</v>
      </c>
      <c r="Q119" s="5" t="s">
        <v>5151</v>
      </c>
      <c r="R119" s="5" t="s">
        <v>5152</v>
      </c>
      <c r="S119" s="11" t="s">
        <v>4879</v>
      </c>
      <c r="T119" s="5" t="s">
        <v>5414</v>
      </c>
      <c r="U119" s="88" cm="1">
        <f t="array" ref="U119">ROUND(SUMIF(Movements!$B$5:$B$329,$A119,Movements!$F$5:$F$329)*INDEX($Z$4:$Z$13,MATCH($N119&amp;$Q119,$X$4:$X$13&amp;$Y$4:$Y$13,0))+INDEX($AA$4:$AA$13,MATCH($N119&amp;$Q119,$X$4:$X$13&amp;$Y$4:$Y$13,0)),2)</f>
        <v>669.37</v>
      </c>
      <c r="V119" s="2" t="s">
        <v>5415</v>
      </c>
    </row>
    <row r="120" spans="1:22">
      <c r="A120" s="11" t="s">
        <v>5416</v>
      </c>
      <c r="B120" s="5" t="s">
        <v>5142</v>
      </c>
      <c r="C120" s="28">
        <v>46107</v>
      </c>
      <c r="D120" s="28">
        <v>46112</v>
      </c>
      <c r="E120" s="5" t="s">
        <v>5143</v>
      </c>
      <c r="F120" s="28">
        <v>46109</v>
      </c>
      <c r="G120" s="28"/>
      <c r="H120" s="5"/>
      <c r="I120" s="11" t="s">
        <v>1375</v>
      </c>
      <c r="J120" s="11" t="s">
        <v>244</v>
      </c>
      <c r="K120" s="5" t="s">
        <v>825</v>
      </c>
      <c r="L120" s="11" t="s">
        <v>1328</v>
      </c>
      <c r="M120" s="11"/>
      <c r="N120" s="5" t="s">
        <v>4894</v>
      </c>
      <c r="O120" s="5" t="s">
        <v>5165</v>
      </c>
      <c r="P120" s="5" t="s">
        <v>5158</v>
      </c>
      <c r="Q120" s="5" t="s">
        <v>5151</v>
      </c>
      <c r="R120" s="5" t="s">
        <v>5169</v>
      </c>
      <c r="S120" s="11" t="s">
        <v>5024</v>
      </c>
      <c r="T120" s="5" t="s">
        <v>5417</v>
      </c>
      <c r="U120" s="88" cm="1">
        <f t="array" ref="U120">ROUND(SUMIF(Movements!$B$5:$B$329,$A120,Movements!$F$5:$F$329)*INDEX($Z$4:$Z$13,MATCH($N120&amp;$Q120,$X$4:$X$13&amp;$Y$4:$Y$13,0))+INDEX($AA$4:$AA$13,MATCH($N120&amp;$Q120,$X$4:$X$13&amp;$Y$4:$Y$13,0)),2)</f>
        <v>264.64</v>
      </c>
      <c r="V120" s="2"/>
    </row>
    <row r="121" spans="1:22">
      <c r="A121" s="11" t="s">
        <v>5418</v>
      </c>
      <c r="B121" s="5" t="s">
        <v>5155</v>
      </c>
      <c r="C121" s="28">
        <v>46086</v>
      </c>
      <c r="D121" s="28">
        <v>46092</v>
      </c>
      <c r="E121" s="5" t="s">
        <v>5143</v>
      </c>
      <c r="F121" s="28">
        <v>46086</v>
      </c>
      <c r="G121" s="28"/>
      <c r="H121" s="5" t="s">
        <v>5156</v>
      </c>
      <c r="I121" s="11"/>
      <c r="J121" s="11"/>
      <c r="K121" s="5"/>
      <c r="L121" s="11" t="s">
        <v>1375</v>
      </c>
      <c r="M121" s="11" t="s">
        <v>220</v>
      </c>
      <c r="N121" s="5" t="s">
        <v>4882</v>
      </c>
      <c r="O121" s="5" t="s">
        <v>5157</v>
      </c>
      <c r="P121" s="5" t="s">
        <v>5175</v>
      </c>
      <c r="Q121" s="5" t="s">
        <v>5145</v>
      </c>
      <c r="R121" s="5" t="s">
        <v>5146</v>
      </c>
      <c r="S121" s="11" t="s">
        <v>4981</v>
      </c>
      <c r="T121" s="5" t="s">
        <v>5419</v>
      </c>
      <c r="U121" s="88" cm="1">
        <f t="array" ref="U121">ROUND(SUMIF(Movements!$B$5:$B$329,$A121,Movements!$F$5:$F$329)*INDEX($Z$4:$Z$13,MATCH($N121&amp;$Q121,$X$4:$X$13&amp;$Y$4:$Y$13,0))+INDEX($AA$4:$AA$13,MATCH($N121&amp;$Q121,$X$4:$X$13&amp;$Y$4:$Y$13,0)),2)</f>
        <v>72.180000000000007</v>
      </c>
      <c r="V121" s="2"/>
    </row>
    <row r="122" spans="1:22">
      <c r="A122" s="11" t="s">
        <v>5420</v>
      </c>
      <c r="B122" s="5" t="s">
        <v>5142</v>
      </c>
      <c r="C122" s="28">
        <v>46107</v>
      </c>
      <c r="D122" s="28">
        <v>46110</v>
      </c>
      <c r="E122" s="5" t="s">
        <v>5143</v>
      </c>
      <c r="F122" s="28">
        <v>46106</v>
      </c>
      <c r="G122" s="28"/>
      <c r="H122" s="5"/>
      <c r="I122" s="11" t="s">
        <v>1375</v>
      </c>
      <c r="J122" s="11" t="s">
        <v>244</v>
      </c>
      <c r="K122" s="5" t="s">
        <v>983</v>
      </c>
      <c r="L122" s="11"/>
      <c r="M122" s="11"/>
      <c r="N122" s="5" t="s">
        <v>4882</v>
      </c>
      <c r="O122" s="5" t="s">
        <v>5157</v>
      </c>
      <c r="P122" s="5" t="s">
        <v>5175</v>
      </c>
      <c r="Q122" s="5" t="s">
        <v>5145</v>
      </c>
      <c r="R122" s="5" t="s">
        <v>5146</v>
      </c>
      <c r="S122" s="11" t="s">
        <v>5059</v>
      </c>
      <c r="T122" s="5" t="s">
        <v>5421</v>
      </c>
      <c r="U122" s="88" cm="1">
        <f t="array" ref="U122">ROUND(SUMIF(Movements!$B$5:$B$329,$A122,Movements!$F$5:$F$329)*INDEX($Z$4:$Z$13,MATCH($N122&amp;$Q122,$X$4:$X$13&amp;$Y$4:$Y$13,0))+INDEX($AA$4:$AA$13,MATCH($N122&amp;$Q122,$X$4:$X$13&amp;$Y$4:$Y$13,0)),2)</f>
        <v>55.14</v>
      </c>
      <c r="V122" s="2"/>
    </row>
    <row r="123" spans="1:22">
      <c r="A123" s="11" t="s">
        <v>5422</v>
      </c>
      <c r="B123" s="5" t="s">
        <v>5142</v>
      </c>
      <c r="C123" s="28">
        <v>46105</v>
      </c>
      <c r="D123" s="28">
        <v>46117</v>
      </c>
      <c r="E123" s="5" t="s">
        <v>5143</v>
      </c>
      <c r="F123" s="28">
        <v>46105</v>
      </c>
      <c r="G123" s="28"/>
      <c r="H123" s="5"/>
      <c r="I123" s="11" t="s">
        <v>1351</v>
      </c>
      <c r="J123" s="11" t="s">
        <v>244</v>
      </c>
      <c r="K123" s="5" t="s">
        <v>853</v>
      </c>
      <c r="L123" s="11"/>
      <c r="M123" s="11"/>
      <c r="N123" s="5" t="s">
        <v>4882</v>
      </c>
      <c r="O123" s="5" t="s">
        <v>1197</v>
      </c>
      <c r="P123" s="5" t="s">
        <v>5175</v>
      </c>
      <c r="Q123" s="5" t="s">
        <v>5145</v>
      </c>
      <c r="R123" s="5" t="s">
        <v>5146</v>
      </c>
      <c r="S123" s="11" t="s">
        <v>5029</v>
      </c>
      <c r="T123" s="5" t="s">
        <v>5423</v>
      </c>
      <c r="U123" s="88" cm="1">
        <f t="array" ref="U123">ROUND(SUMIF(Movements!$B$5:$B$329,$A123,Movements!$F$5:$F$329)*INDEX($Z$4:$Z$13,MATCH($N123&amp;$Q123,$X$4:$X$13&amp;$Y$4:$Y$13,0))+INDEX($AA$4:$AA$13,MATCH($N123&amp;$Q123,$X$4:$X$13&amp;$Y$4:$Y$13,0)),2)</f>
        <v>55.67</v>
      </c>
      <c r="V123" s="2"/>
    </row>
    <row r="124" spans="1:22">
      <c r="A124" s="11" t="s">
        <v>5424</v>
      </c>
      <c r="B124" s="5" t="s">
        <v>5174</v>
      </c>
      <c r="C124" s="28">
        <v>46094</v>
      </c>
      <c r="D124" s="28">
        <v>46097</v>
      </c>
      <c r="E124" s="5" t="s">
        <v>1266</v>
      </c>
      <c r="F124" s="28"/>
      <c r="G124" s="28"/>
      <c r="H124" s="5"/>
      <c r="I124" s="11" t="s">
        <v>1367</v>
      </c>
      <c r="J124" s="11"/>
      <c r="K124" s="5"/>
      <c r="L124" s="11" t="s">
        <v>1383</v>
      </c>
      <c r="M124" s="11"/>
      <c r="N124" s="5" t="s">
        <v>4894</v>
      </c>
      <c r="O124" s="5" t="s">
        <v>5149</v>
      </c>
      <c r="P124" s="5" t="s">
        <v>5337</v>
      </c>
      <c r="Q124" s="5" t="s">
        <v>5151</v>
      </c>
      <c r="R124" s="5" t="s">
        <v>5152</v>
      </c>
      <c r="S124" s="11" t="s">
        <v>5073</v>
      </c>
      <c r="T124" s="5" t="s">
        <v>5425</v>
      </c>
      <c r="U124" s="88" cm="1">
        <f t="array" ref="U124">ROUND(SUMIF(Movements!$B$5:$B$329,$A124,Movements!$F$5:$F$329)*INDEX($Z$4:$Z$13,MATCH($N124&amp;$Q124,$X$4:$X$13&amp;$Y$4:$Y$13,0))+INDEX($AA$4:$AA$13,MATCH($N124&amp;$Q124,$X$4:$X$13&amp;$Y$4:$Y$13,0)),2)</f>
        <v>250</v>
      </c>
      <c r="V124" s="2"/>
    </row>
    <row r="125" spans="1:22">
      <c r="A125" s="11" t="s">
        <v>5426</v>
      </c>
      <c r="B125" s="5" t="s">
        <v>5142</v>
      </c>
      <c r="C125" s="28">
        <v>46089</v>
      </c>
      <c r="D125" s="28">
        <v>46090</v>
      </c>
      <c r="E125" s="5" t="s">
        <v>1280</v>
      </c>
      <c r="F125" s="28">
        <v>46088</v>
      </c>
      <c r="G125" s="28">
        <v>46088</v>
      </c>
      <c r="H125" s="5"/>
      <c r="I125" s="11" t="s">
        <v>1375</v>
      </c>
      <c r="J125" s="11" t="s">
        <v>244</v>
      </c>
      <c r="K125" s="5" t="s">
        <v>957</v>
      </c>
      <c r="L125" s="11"/>
      <c r="M125" s="11"/>
      <c r="N125" s="5" t="s">
        <v>4882</v>
      </c>
      <c r="O125" s="5" t="s">
        <v>1197</v>
      </c>
      <c r="P125" s="5" t="s">
        <v>5158</v>
      </c>
      <c r="Q125" s="5" t="s">
        <v>5145</v>
      </c>
      <c r="R125" s="5" t="s">
        <v>5159</v>
      </c>
      <c r="S125" s="11" t="s">
        <v>4928</v>
      </c>
      <c r="T125" s="5" t="s">
        <v>5427</v>
      </c>
      <c r="U125" s="88" cm="1">
        <f t="array" ref="U125">ROUND(SUMIF(Movements!$B$5:$B$329,$A125,Movements!$F$5:$F$329)*INDEX($Z$4:$Z$13,MATCH($N125&amp;$Q125,$X$4:$X$13&amp;$Y$4:$Y$13,0))+INDEX($AA$4:$AA$13,MATCH($N125&amp;$Q125,$X$4:$X$13&amp;$Y$4:$Y$13,0)),2)</f>
        <v>50</v>
      </c>
      <c r="V125" s="2"/>
    </row>
    <row r="126" spans="1:22">
      <c r="A126" s="11" t="s">
        <v>5428</v>
      </c>
      <c r="B126" s="5" t="s">
        <v>5155</v>
      </c>
      <c r="C126" s="28">
        <v>46099</v>
      </c>
      <c r="D126" s="28">
        <v>46104</v>
      </c>
      <c r="E126" s="5" t="s">
        <v>1280</v>
      </c>
      <c r="F126" s="28">
        <v>46100</v>
      </c>
      <c r="G126" s="28">
        <v>46106</v>
      </c>
      <c r="H126" s="5" t="s">
        <v>5156</v>
      </c>
      <c r="I126" s="11"/>
      <c r="J126" s="11"/>
      <c r="K126" s="5"/>
      <c r="L126" s="11" t="s">
        <v>1343</v>
      </c>
      <c r="M126" s="11" t="s">
        <v>220</v>
      </c>
      <c r="N126" s="5" t="s">
        <v>4882</v>
      </c>
      <c r="O126" s="5" t="s">
        <v>5157</v>
      </c>
      <c r="P126" s="5" t="s">
        <v>5175</v>
      </c>
      <c r="Q126" s="5" t="s">
        <v>5145</v>
      </c>
      <c r="R126" s="5" t="s">
        <v>5146</v>
      </c>
      <c r="S126" s="11" t="s">
        <v>4967</v>
      </c>
      <c r="T126" s="5" t="s">
        <v>5429</v>
      </c>
      <c r="U126" s="88" cm="1">
        <f t="array" ref="U126">ROUND(SUMIF(Movements!$B$5:$B$329,$A126,Movements!$F$5:$F$329)*INDEX($Z$4:$Z$13,MATCH($N126&amp;$Q126,$X$4:$X$13&amp;$Y$4:$Y$13,0))+INDEX($AA$4:$AA$13,MATCH($N126&amp;$Q126,$X$4:$X$13&amp;$Y$4:$Y$13,0)),2)</f>
        <v>50</v>
      </c>
      <c r="V126" s="2" t="s">
        <v>5430</v>
      </c>
    </row>
    <row r="127" spans="1:22">
      <c r="A127" s="11" t="s">
        <v>5431</v>
      </c>
      <c r="B127" s="5" t="s">
        <v>5155</v>
      </c>
      <c r="C127" s="28">
        <v>46086</v>
      </c>
      <c r="D127" s="28">
        <v>46092</v>
      </c>
      <c r="E127" s="5" t="s">
        <v>5143</v>
      </c>
      <c r="F127" s="28">
        <v>46086</v>
      </c>
      <c r="G127" s="28"/>
      <c r="H127" s="5" t="s">
        <v>5156</v>
      </c>
      <c r="I127" s="11"/>
      <c r="J127" s="11"/>
      <c r="K127" s="5"/>
      <c r="L127" s="11" t="s">
        <v>1359</v>
      </c>
      <c r="M127" s="11" t="s">
        <v>244</v>
      </c>
      <c r="N127" s="5" t="s">
        <v>4882</v>
      </c>
      <c r="O127" s="5" t="s">
        <v>5157</v>
      </c>
      <c r="P127" s="5" t="s">
        <v>5175</v>
      </c>
      <c r="Q127" s="5" t="s">
        <v>5145</v>
      </c>
      <c r="R127" s="5" t="s">
        <v>5146</v>
      </c>
      <c r="S127" s="11" t="s">
        <v>5073</v>
      </c>
      <c r="T127" s="5" t="s">
        <v>5432</v>
      </c>
      <c r="U127" s="88" cm="1">
        <f t="array" ref="U127">ROUND(SUMIF(Movements!$B$5:$B$329,$A127,Movements!$F$5:$F$329)*INDEX($Z$4:$Z$13,MATCH($N127&amp;$Q127,$X$4:$X$13&amp;$Y$4:$Y$13,0))+INDEX($AA$4:$AA$13,MATCH($N127&amp;$Q127,$X$4:$X$13&amp;$Y$4:$Y$13,0)),2)</f>
        <v>67.25</v>
      </c>
      <c r="V127" s="2"/>
    </row>
    <row r="128" spans="1:22">
      <c r="A128" s="11" t="s">
        <v>5433</v>
      </c>
      <c r="B128" s="5" t="s">
        <v>5142</v>
      </c>
      <c r="C128" s="28">
        <v>46090</v>
      </c>
      <c r="D128" s="28">
        <v>46096</v>
      </c>
      <c r="E128" s="5" t="s">
        <v>1280</v>
      </c>
      <c r="F128" s="28">
        <v>46092</v>
      </c>
      <c r="G128" s="28">
        <v>46096</v>
      </c>
      <c r="H128" s="5"/>
      <c r="I128" s="11" t="s">
        <v>1375</v>
      </c>
      <c r="J128" s="11" t="s">
        <v>234</v>
      </c>
      <c r="K128" s="5" t="s">
        <v>885</v>
      </c>
      <c r="L128" s="11"/>
      <c r="M128" s="11"/>
      <c r="N128" s="5" t="s">
        <v>4882</v>
      </c>
      <c r="O128" s="5" t="s">
        <v>5157</v>
      </c>
      <c r="P128" s="5" t="s">
        <v>5158</v>
      </c>
      <c r="Q128" s="5" t="s">
        <v>5145</v>
      </c>
      <c r="R128" s="5" t="s">
        <v>5159</v>
      </c>
      <c r="S128" s="11" t="s">
        <v>4952</v>
      </c>
      <c r="T128" s="5" t="s">
        <v>5434</v>
      </c>
      <c r="U128" s="88" cm="1">
        <f t="array" ref="U128">ROUND(SUMIF(Movements!$B$5:$B$329,$A128,Movements!$F$5:$F$329)*INDEX($Z$4:$Z$13,MATCH($N128&amp;$Q128,$X$4:$X$13&amp;$Y$4:$Y$13,0))+INDEX($AA$4:$AA$13,MATCH($N128&amp;$Q128,$X$4:$X$13&amp;$Y$4:$Y$13,0)),2)</f>
        <v>55.1</v>
      </c>
      <c r="V128" s="2"/>
    </row>
    <row r="129" spans="1:22">
      <c r="A129" s="11" t="s">
        <v>5435</v>
      </c>
      <c r="B129" s="5" t="s">
        <v>5174</v>
      </c>
      <c r="C129" s="28">
        <v>46087</v>
      </c>
      <c r="D129" s="28">
        <v>46090</v>
      </c>
      <c r="E129" s="5" t="s">
        <v>1280</v>
      </c>
      <c r="F129" s="28">
        <v>46089</v>
      </c>
      <c r="G129" s="28">
        <v>46091</v>
      </c>
      <c r="H129" s="5"/>
      <c r="I129" s="11" t="s">
        <v>1343</v>
      </c>
      <c r="J129" s="11" t="s">
        <v>234</v>
      </c>
      <c r="K129" s="5"/>
      <c r="L129" s="11" t="s">
        <v>1297</v>
      </c>
      <c r="M129" s="11"/>
      <c r="N129" s="5" t="s">
        <v>4894</v>
      </c>
      <c r="O129" s="5" t="s">
        <v>5149</v>
      </c>
      <c r="P129" s="5" t="s">
        <v>5175</v>
      </c>
      <c r="Q129" s="5" t="s">
        <v>5151</v>
      </c>
      <c r="R129" s="5" t="s">
        <v>5152</v>
      </c>
      <c r="S129" s="11" t="s">
        <v>5077</v>
      </c>
      <c r="T129" s="5" t="s">
        <v>5436</v>
      </c>
      <c r="U129" s="88" cm="1">
        <f t="array" ref="U129">ROUND(SUMIF(Movements!$B$5:$B$329,$A129,Movements!$F$5:$F$329)*INDEX($Z$4:$Z$13,MATCH($N129&amp;$Q129,$X$4:$X$13&amp;$Y$4:$Y$13,0))+INDEX($AA$4:$AA$13,MATCH($N129&amp;$Q129,$X$4:$X$13&amp;$Y$4:$Y$13,0)),2)</f>
        <v>257.5</v>
      </c>
      <c r="V129" s="2" t="s">
        <v>5437</v>
      </c>
    </row>
    <row r="130" spans="1:22">
      <c r="A130" s="11" t="s">
        <v>5438</v>
      </c>
      <c r="B130" s="5" t="s">
        <v>5142</v>
      </c>
      <c r="C130" s="28">
        <v>46102</v>
      </c>
      <c r="D130" s="28">
        <v>46109</v>
      </c>
      <c r="E130" s="5" t="s">
        <v>1266</v>
      </c>
      <c r="F130" s="28"/>
      <c r="G130" s="28"/>
      <c r="H130" s="5"/>
      <c r="I130" s="11" t="s">
        <v>1375</v>
      </c>
      <c r="J130" s="11" t="s">
        <v>244</v>
      </c>
      <c r="K130" s="5" t="s">
        <v>919</v>
      </c>
      <c r="L130" s="11" t="s">
        <v>1383</v>
      </c>
      <c r="M130" s="11"/>
      <c r="N130" s="5" t="s">
        <v>4894</v>
      </c>
      <c r="O130" s="5" t="s">
        <v>5304</v>
      </c>
      <c r="P130" s="5" t="s">
        <v>5337</v>
      </c>
      <c r="Q130" s="5" t="s">
        <v>5151</v>
      </c>
      <c r="R130" s="5" t="s">
        <v>5305</v>
      </c>
      <c r="S130" s="11" t="s">
        <v>4952</v>
      </c>
      <c r="T130" s="5" t="s">
        <v>5439</v>
      </c>
      <c r="U130" s="88" cm="1">
        <f t="array" ref="U130">ROUND(SUMIF(Movements!$B$5:$B$329,$A130,Movements!$F$5:$F$329)*INDEX($Z$4:$Z$13,MATCH($N130&amp;$Q130,$X$4:$X$13&amp;$Y$4:$Y$13,0))+INDEX($AA$4:$AA$13,MATCH($N130&amp;$Q130,$X$4:$X$13&amp;$Y$4:$Y$13,0)),2)</f>
        <v>275.91000000000003</v>
      </c>
      <c r="V130" s="2"/>
    </row>
    <row r="131" spans="1:22">
      <c r="A131" s="11" t="s">
        <v>5440</v>
      </c>
      <c r="B131" s="5" t="s">
        <v>5155</v>
      </c>
      <c r="C131" s="28">
        <v>46092</v>
      </c>
      <c r="D131" s="28">
        <v>46095</v>
      </c>
      <c r="E131" s="5" t="s">
        <v>1280</v>
      </c>
      <c r="F131" s="28">
        <v>46093</v>
      </c>
      <c r="G131" s="28">
        <v>46095</v>
      </c>
      <c r="H131" s="5" t="s">
        <v>5156</v>
      </c>
      <c r="I131" s="11"/>
      <c r="J131" s="11"/>
      <c r="K131" s="5"/>
      <c r="L131" s="11" t="s">
        <v>1375</v>
      </c>
      <c r="M131" s="11" t="s">
        <v>244</v>
      </c>
      <c r="N131" s="5" t="s">
        <v>4882</v>
      </c>
      <c r="O131" s="5" t="s">
        <v>5157</v>
      </c>
      <c r="P131" s="5" t="s">
        <v>5249</v>
      </c>
      <c r="Q131" s="5" t="s">
        <v>5145</v>
      </c>
      <c r="R131" s="5" t="s">
        <v>5159</v>
      </c>
      <c r="S131" s="11" t="s">
        <v>4974</v>
      </c>
      <c r="T131" s="5" t="s">
        <v>5441</v>
      </c>
      <c r="U131" s="88" cm="1">
        <f t="array" ref="U131">ROUND(SUMIF(Movements!$B$5:$B$329,$A131,Movements!$F$5:$F$329)*INDEX($Z$4:$Z$13,MATCH($N131&amp;$Q131,$X$4:$X$13&amp;$Y$4:$Y$13,0))+INDEX($AA$4:$AA$13,MATCH($N131&amp;$Q131,$X$4:$X$13&amp;$Y$4:$Y$13,0)),2)</f>
        <v>54.59</v>
      </c>
      <c r="V131" s="2" t="s">
        <v>5442</v>
      </c>
    </row>
    <row r="132" spans="1:22">
      <c r="A132" s="11" t="s">
        <v>5443</v>
      </c>
      <c r="B132" s="5" t="s">
        <v>5142</v>
      </c>
      <c r="C132" s="28">
        <v>46091</v>
      </c>
      <c r="D132" s="28">
        <v>46097</v>
      </c>
      <c r="E132" s="5" t="s">
        <v>1280</v>
      </c>
      <c r="F132" s="28">
        <v>46091</v>
      </c>
      <c r="G132" s="28">
        <v>46099</v>
      </c>
      <c r="H132" s="5"/>
      <c r="I132" s="11" t="s">
        <v>1375</v>
      </c>
      <c r="J132" s="11" t="s">
        <v>244</v>
      </c>
      <c r="K132" s="5" t="s">
        <v>1026</v>
      </c>
      <c r="L132" s="11"/>
      <c r="M132" s="11"/>
      <c r="N132" s="5" t="s">
        <v>4882</v>
      </c>
      <c r="O132" s="5" t="s">
        <v>1197</v>
      </c>
      <c r="P132" s="5" t="s">
        <v>5175</v>
      </c>
      <c r="Q132" s="5" t="s">
        <v>5145</v>
      </c>
      <c r="R132" s="5" t="s">
        <v>5146</v>
      </c>
      <c r="S132" s="11" t="s">
        <v>4928</v>
      </c>
      <c r="T132" s="5" t="s">
        <v>5444</v>
      </c>
      <c r="U132" s="88" cm="1">
        <f t="array" ref="U132">ROUND(SUMIF(Movements!$B$5:$B$329,$A132,Movements!$F$5:$F$329)*INDEX($Z$4:$Z$13,MATCH($N132&amp;$Q132,$X$4:$X$13&amp;$Y$4:$Y$13,0))+INDEX($AA$4:$AA$13,MATCH($N132&amp;$Q132,$X$4:$X$13&amp;$Y$4:$Y$13,0)),2)</f>
        <v>50</v>
      </c>
      <c r="V132" s="2" t="s">
        <v>5445</v>
      </c>
    </row>
    <row r="133" spans="1:22">
      <c r="A133" s="11" t="s">
        <v>5446</v>
      </c>
      <c r="B133" s="5" t="s">
        <v>5174</v>
      </c>
      <c r="C133" s="28">
        <v>46101</v>
      </c>
      <c r="D133" s="28">
        <v>46107</v>
      </c>
      <c r="E133" s="5" t="s">
        <v>1280</v>
      </c>
      <c r="F133" s="28">
        <v>46103</v>
      </c>
      <c r="G133" s="28">
        <v>46108</v>
      </c>
      <c r="H133" s="5"/>
      <c r="I133" s="11" t="s">
        <v>1351</v>
      </c>
      <c r="J133" s="11"/>
      <c r="K133" s="5"/>
      <c r="L133" s="11" t="s">
        <v>1328</v>
      </c>
      <c r="M133" s="11"/>
      <c r="N133" s="5" t="s">
        <v>4894</v>
      </c>
      <c r="O133" s="5" t="s">
        <v>5165</v>
      </c>
      <c r="P133" s="5" t="s">
        <v>5175</v>
      </c>
      <c r="Q133" s="5" t="s">
        <v>5151</v>
      </c>
      <c r="R133" s="5" t="s">
        <v>5152</v>
      </c>
      <c r="S133" s="11" t="s">
        <v>5019</v>
      </c>
      <c r="T133" s="5" t="s">
        <v>5447</v>
      </c>
      <c r="U133" s="88" cm="1">
        <f t="array" ref="U133">ROUND(SUMIF(Movements!$B$5:$B$329,$A133,Movements!$F$5:$F$329)*INDEX($Z$4:$Z$13,MATCH($N133&amp;$Q133,$X$4:$X$13&amp;$Y$4:$Y$13,0))+INDEX($AA$4:$AA$13,MATCH($N133&amp;$Q133,$X$4:$X$13&amp;$Y$4:$Y$13,0)),2)</f>
        <v>258.54000000000002</v>
      </c>
      <c r="V133" s="2" t="s">
        <v>5448</v>
      </c>
    </row>
    <row r="134" spans="1:22">
      <c r="A134" s="11" t="s">
        <v>5449</v>
      </c>
      <c r="B134" s="5" t="s">
        <v>5142</v>
      </c>
      <c r="C134" s="28">
        <v>46098</v>
      </c>
      <c r="D134" s="28">
        <v>46109</v>
      </c>
      <c r="E134" s="5" t="s">
        <v>5143</v>
      </c>
      <c r="F134" s="28">
        <v>46100</v>
      </c>
      <c r="G134" s="28"/>
      <c r="H134" s="5"/>
      <c r="I134" s="11" t="s">
        <v>1375</v>
      </c>
      <c r="J134" s="11" t="s">
        <v>244</v>
      </c>
      <c r="K134" s="5" t="s">
        <v>1108</v>
      </c>
      <c r="L134" s="11"/>
      <c r="M134" s="11"/>
      <c r="N134" s="5" t="s">
        <v>4931</v>
      </c>
      <c r="O134" s="5" t="s">
        <v>5157</v>
      </c>
      <c r="P134" s="5" t="s">
        <v>5175</v>
      </c>
      <c r="Q134" s="5" t="s">
        <v>5145</v>
      </c>
      <c r="R134" s="5" t="s">
        <v>5146</v>
      </c>
      <c r="S134" s="11" t="s">
        <v>5024</v>
      </c>
      <c r="T134" s="5" t="s">
        <v>5450</v>
      </c>
      <c r="U134" s="88" cm="1">
        <f t="array" ref="U134">ROUND(SUMIF(Movements!$B$5:$B$329,$A134,Movements!$F$5:$F$329)*INDEX($Z$4:$Z$13,MATCH($N134&amp;$Q134,$X$4:$X$13&amp;$Y$4:$Y$13,0))+INDEX($AA$4:$AA$13,MATCH($N134&amp;$Q134,$X$4:$X$13&amp;$Y$4:$Y$13,0)),2)</f>
        <v>86.39</v>
      </c>
      <c r="V134" s="2"/>
    </row>
    <row r="135" spans="1:22">
      <c r="A135" s="11" t="s">
        <v>5451</v>
      </c>
      <c r="B135" s="5" t="s">
        <v>5142</v>
      </c>
      <c r="C135" s="28">
        <v>46086</v>
      </c>
      <c r="D135" s="28">
        <v>46098</v>
      </c>
      <c r="E135" s="5" t="s">
        <v>1280</v>
      </c>
      <c r="F135" s="28">
        <v>46088</v>
      </c>
      <c r="G135" s="28">
        <v>46100</v>
      </c>
      <c r="H135" s="5"/>
      <c r="I135" s="11" t="s">
        <v>1375</v>
      </c>
      <c r="J135" s="11" t="s">
        <v>234</v>
      </c>
      <c r="K135" s="5" t="s">
        <v>996</v>
      </c>
      <c r="L135" s="11" t="s">
        <v>1297</v>
      </c>
      <c r="M135" s="11"/>
      <c r="N135" s="5" t="s">
        <v>4894</v>
      </c>
      <c r="O135" s="5" t="s">
        <v>5193</v>
      </c>
      <c r="P135" s="5" t="s">
        <v>5175</v>
      </c>
      <c r="Q135" s="5" t="s">
        <v>5151</v>
      </c>
      <c r="R135" s="5" t="s">
        <v>5152</v>
      </c>
      <c r="S135" s="11" t="s">
        <v>4999</v>
      </c>
      <c r="T135" s="5" t="s">
        <v>5452</v>
      </c>
      <c r="U135" s="88" cm="1">
        <f t="array" ref="U135">ROUND(SUMIF(Movements!$B$5:$B$329,$A135,Movements!$F$5:$F$329)*INDEX($Z$4:$Z$13,MATCH($N135&amp;$Q135,$X$4:$X$13&amp;$Y$4:$Y$13,0))+INDEX($AA$4:$AA$13,MATCH($N135&amp;$Q135,$X$4:$X$13&amp;$Y$4:$Y$13,0)),2)</f>
        <v>250</v>
      </c>
      <c r="V135" s="2" t="s">
        <v>5453</v>
      </c>
    </row>
    <row r="136" spans="1:22">
      <c r="A136" s="11" t="s">
        <v>5454</v>
      </c>
      <c r="B136" s="5" t="s">
        <v>5142</v>
      </c>
      <c r="C136" s="28">
        <v>46099</v>
      </c>
      <c r="D136" s="28">
        <v>46107</v>
      </c>
      <c r="E136" s="5" t="s">
        <v>5143</v>
      </c>
      <c r="F136" s="28">
        <v>46099</v>
      </c>
      <c r="G136" s="28"/>
      <c r="H136" s="5"/>
      <c r="I136" s="11" t="s">
        <v>1375</v>
      </c>
      <c r="J136" s="11" t="s">
        <v>244</v>
      </c>
      <c r="K136" s="5" t="s">
        <v>885</v>
      </c>
      <c r="L136" s="11"/>
      <c r="M136" s="11"/>
      <c r="N136" s="5" t="s">
        <v>4882</v>
      </c>
      <c r="O136" s="5" t="s">
        <v>1197</v>
      </c>
      <c r="P136" s="5" t="s">
        <v>5158</v>
      </c>
      <c r="Q136" s="5" t="s">
        <v>5145</v>
      </c>
      <c r="R136" s="5" t="s">
        <v>5159</v>
      </c>
      <c r="S136" s="11" t="s">
        <v>4937</v>
      </c>
      <c r="T136" s="5" t="s">
        <v>5455</v>
      </c>
      <c r="U136" s="88" cm="1">
        <f t="array" ref="U136">ROUND(SUMIF(Movements!$B$5:$B$329,$A136,Movements!$F$5:$F$329)*INDEX($Z$4:$Z$13,MATCH($N136&amp;$Q136,$X$4:$X$13&amp;$Y$4:$Y$13,0))+INDEX($AA$4:$AA$13,MATCH($N136&amp;$Q136,$X$4:$X$13&amp;$Y$4:$Y$13,0)),2)</f>
        <v>54.58</v>
      </c>
      <c r="V136" s="2"/>
    </row>
    <row r="137" spans="1:22">
      <c r="A137" s="11" t="s">
        <v>5456</v>
      </c>
      <c r="B137" s="5" t="s">
        <v>5142</v>
      </c>
      <c r="C137" s="28">
        <v>46090</v>
      </c>
      <c r="D137" s="28">
        <v>46095</v>
      </c>
      <c r="E137" s="5" t="s">
        <v>5143</v>
      </c>
      <c r="F137" s="28">
        <v>46091</v>
      </c>
      <c r="G137" s="28"/>
      <c r="H137" s="5"/>
      <c r="I137" s="11" t="s">
        <v>1375</v>
      </c>
      <c r="J137" s="11" t="s">
        <v>244</v>
      </c>
      <c r="K137" s="5" t="s">
        <v>871</v>
      </c>
      <c r="L137" s="11" t="s">
        <v>1297</v>
      </c>
      <c r="M137" s="11"/>
      <c r="N137" s="5" t="s">
        <v>4894</v>
      </c>
      <c r="O137" s="5" t="s">
        <v>5304</v>
      </c>
      <c r="P137" s="5" t="s">
        <v>5337</v>
      </c>
      <c r="Q137" s="5" t="s">
        <v>5151</v>
      </c>
      <c r="R137" s="5" t="s">
        <v>5305</v>
      </c>
      <c r="S137" s="11" t="s">
        <v>5069</v>
      </c>
      <c r="T137" s="5" t="s">
        <v>5457</v>
      </c>
      <c r="U137" s="88" cm="1">
        <f t="array" ref="U137">ROUND(SUMIF(Movements!$B$5:$B$329,$A137,Movements!$F$5:$F$329)*INDEX($Z$4:$Z$13,MATCH($N137&amp;$Q137,$X$4:$X$13&amp;$Y$4:$Y$13,0))+INDEX($AA$4:$AA$13,MATCH($N137&amp;$Q137,$X$4:$X$13&amp;$Y$4:$Y$13,0)),2)</f>
        <v>283.74</v>
      </c>
      <c r="V137" s="2"/>
    </row>
    <row r="138" spans="1:22">
      <c r="A138" s="11" t="s">
        <v>5458</v>
      </c>
      <c r="B138" s="5" t="s">
        <v>5142</v>
      </c>
      <c r="C138" s="28">
        <v>46096</v>
      </c>
      <c r="D138" s="28">
        <v>46097</v>
      </c>
      <c r="E138" s="5" t="s">
        <v>5143</v>
      </c>
      <c r="F138" s="28">
        <v>46095</v>
      </c>
      <c r="G138" s="28"/>
      <c r="H138" s="5"/>
      <c r="I138" s="11" t="s">
        <v>1359</v>
      </c>
      <c r="J138" s="11" t="s">
        <v>234</v>
      </c>
      <c r="K138" s="5" t="s">
        <v>932</v>
      </c>
      <c r="L138" s="11"/>
      <c r="M138" s="11"/>
      <c r="N138" s="5" t="s">
        <v>4882</v>
      </c>
      <c r="O138" s="5" t="s">
        <v>5157</v>
      </c>
      <c r="P138" s="5" t="s">
        <v>5175</v>
      </c>
      <c r="Q138" s="5" t="s">
        <v>5145</v>
      </c>
      <c r="R138" s="5" t="s">
        <v>5146</v>
      </c>
      <c r="S138" s="11" t="s">
        <v>5073</v>
      </c>
      <c r="T138" s="5" t="s">
        <v>5459</v>
      </c>
      <c r="U138" s="88" cm="1">
        <f t="array" ref="U138">ROUND(SUMIF(Movements!$B$5:$B$329,$A138,Movements!$F$5:$F$329)*INDEX($Z$4:$Z$13,MATCH($N138&amp;$Q138,$X$4:$X$13&amp;$Y$4:$Y$13,0))+INDEX($AA$4:$AA$13,MATCH($N138&amp;$Q138,$X$4:$X$13&amp;$Y$4:$Y$13,0)),2)</f>
        <v>60.8</v>
      </c>
      <c r="V138" s="2"/>
    </row>
    <row r="139" spans="1:22">
      <c r="A139" s="11" t="s">
        <v>5460</v>
      </c>
      <c r="B139" s="5" t="s">
        <v>5174</v>
      </c>
      <c r="C139" s="28">
        <v>46107</v>
      </c>
      <c r="D139" s="28">
        <v>46115</v>
      </c>
      <c r="E139" s="5" t="s">
        <v>5143</v>
      </c>
      <c r="F139" s="28">
        <v>46109</v>
      </c>
      <c r="G139" s="28"/>
      <c r="H139" s="5"/>
      <c r="I139" s="11" t="s">
        <v>1359</v>
      </c>
      <c r="J139" s="11"/>
      <c r="K139" s="5"/>
      <c r="L139" s="11" t="s">
        <v>1399</v>
      </c>
      <c r="M139" s="11"/>
      <c r="N139" s="5" t="s">
        <v>4907</v>
      </c>
      <c r="O139" s="5" t="s">
        <v>5193</v>
      </c>
      <c r="P139" s="5" t="s">
        <v>5175</v>
      </c>
      <c r="Q139" s="5" t="s">
        <v>5151</v>
      </c>
      <c r="R139" s="5" t="s">
        <v>5152</v>
      </c>
      <c r="S139" s="11" t="s">
        <v>5097</v>
      </c>
      <c r="T139" s="5" t="s">
        <v>5461</v>
      </c>
      <c r="U139" s="88" cm="1">
        <f t="array" ref="U139">ROUND(SUMIF(Movements!$B$5:$B$329,$A139,Movements!$F$5:$F$329)*INDEX($Z$4:$Z$13,MATCH($N139&amp;$Q139,$X$4:$X$13&amp;$Y$4:$Y$13,0))+INDEX($AA$4:$AA$13,MATCH($N139&amp;$Q139,$X$4:$X$13&amp;$Y$4:$Y$13,0)),2)</f>
        <v>350</v>
      </c>
      <c r="V139" s="2"/>
    </row>
    <row r="140" spans="1:22">
      <c r="A140" s="11" t="s">
        <v>5462</v>
      </c>
      <c r="B140" s="5" t="s">
        <v>5142</v>
      </c>
      <c r="C140" s="28">
        <v>46112</v>
      </c>
      <c r="D140" s="28">
        <v>46120</v>
      </c>
      <c r="E140" s="5" t="s">
        <v>1266</v>
      </c>
      <c r="F140" s="28"/>
      <c r="G140" s="28"/>
      <c r="H140" s="5"/>
      <c r="I140" s="11" t="s">
        <v>1375</v>
      </c>
      <c r="J140" s="11" t="s">
        <v>244</v>
      </c>
      <c r="K140" s="5" t="s">
        <v>888</v>
      </c>
      <c r="L140" s="11" t="s">
        <v>1313</v>
      </c>
      <c r="M140" s="11"/>
      <c r="N140" s="5" t="s">
        <v>4907</v>
      </c>
      <c r="O140" s="5" t="s">
        <v>5193</v>
      </c>
      <c r="P140" s="5" t="s">
        <v>5158</v>
      </c>
      <c r="Q140" s="5" t="s">
        <v>5151</v>
      </c>
      <c r="R140" s="5" t="s">
        <v>5169</v>
      </c>
      <c r="S140" s="11" t="s">
        <v>4994</v>
      </c>
      <c r="T140" s="5" t="s">
        <v>5463</v>
      </c>
      <c r="U140" s="88" cm="1">
        <f t="array" ref="U140">ROUND(SUMIF(Movements!$B$5:$B$329,$A140,Movements!$F$5:$F$329)*INDEX($Z$4:$Z$13,MATCH($N140&amp;$Q140,$X$4:$X$13&amp;$Y$4:$Y$13,0))+INDEX($AA$4:$AA$13,MATCH($N140&amp;$Q140,$X$4:$X$13&amp;$Y$4:$Y$13,0)),2)</f>
        <v>659.65</v>
      </c>
      <c r="V140" s="2"/>
    </row>
    <row r="141" spans="1:22">
      <c r="A141" s="11" t="s">
        <v>5464</v>
      </c>
      <c r="B141" s="5" t="s">
        <v>5174</v>
      </c>
      <c r="C141" s="28">
        <v>46101</v>
      </c>
      <c r="D141" s="28">
        <v>46106</v>
      </c>
      <c r="E141" s="5" t="s">
        <v>1280</v>
      </c>
      <c r="F141" s="28">
        <v>46102</v>
      </c>
      <c r="G141" s="28">
        <v>46105</v>
      </c>
      <c r="H141" s="5"/>
      <c r="I141" s="11" t="s">
        <v>1367</v>
      </c>
      <c r="J141" s="11"/>
      <c r="K141" s="5"/>
      <c r="L141" s="11" t="s">
        <v>1359</v>
      </c>
      <c r="M141" s="11"/>
      <c r="N141" s="5" t="s">
        <v>4882</v>
      </c>
      <c r="O141" s="5" t="s">
        <v>5157</v>
      </c>
      <c r="P141" s="5" t="s">
        <v>5175</v>
      </c>
      <c r="Q141" s="5" t="s">
        <v>5145</v>
      </c>
      <c r="R141" s="5" t="s">
        <v>5146</v>
      </c>
      <c r="S141" s="11" t="s">
        <v>5085</v>
      </c>
      <c r="T141" s="5" t="s">
        <v>5465</v>
      </c>
      <c r="U141" s="88" cm="1">
        <f t="array" ref="U141">ROUND(SUMIF(Movements!$B$5:$B$329,$A141,Movements!$F$5:$F$329)*INDEX($Z$4:$Z$13,MATCH($N141&amp;$Q141,$X$4:$X$13&amp;$Y$4:$Y$13,0))+INDEX($AA$4:$AA$13,MATCH($N141&amp;$Q141,$X$4:$X$13&amp;$Y$4:$Y$13,0)),2)</f>
        <v>50</v>
      </c>
      <c r="V141" s="2" t="s">
        <v>5466</v>
      </c>
    </row>
    <row r="142" spans="1:22">
      <c r="A142" s="11" t="s">
        <v>5467</v>
      </c>
      <c r="B142" s="5" t="s">
        <v>5142</v>
      </c>
      <c r="C142" s="28">
        <v>46085</v>
      </c>
      <c r="D142" s="28">
        <v>46090</v>
      </c>
      <c r="E142" s="5" t="s">
        <v>1280</v>
      </c>
      <c r="F142" s="28">
        <v>46086</v>
      </c>
      <c r="G142" s="28">
        <v>46090</v>
      </c>
      <c r="H142" s="5"/>
      <c r="I142" s="11" t="s">
        <v>1359</v>
      </c>
      <c r="J142" s="11" t="s">
        <v>244</v>
      </c>
      <c r="K142" s="5" t="s">
        <v>996</v>
      </c>
      <c r="L142" s="11"/>
      <c r="M142" s="11"/>
      <c r="N142" s="5" t="s">
        <v>4882</v>
      </c>
      <c r="O142" s="5" t="s">
        <v>1197</v>
      </c>
      <c r="P142" s="5" t="s">
        <v>5175</v>
      </c>
      <c r="Q142" s="5" t="s">
        <v>5145</v>
      </c>
      <c r="R142" s="5" t="s">
        <v>5146</v>
      </c>
      <c r="S142" s="11" t="s">
        <v>5085</v>
      </c>
      <c r="T142" s="5" t="s">
        <v>5468</v>
      </c>
      <c r="U142" s="88" cm="1">
        <f t="array" ref="U142">ROUND(SUMIF(Movements!$B$5:$B$329,$A142,Movements!$F$5:$F$329)*INDEX($Z$4:$Z$13,MATCH($N142&amp;$Q142,$X$4:$X$13&amp;$Y$4:$Y$13,0))+INDEX($AA$4:$AA$13,MATCH($N142&amp;$Q142,$X$4:$X$13&amp;$Y$4:$Y$13,0)),2)</f>
        <v>64.62</v>
      </c>
      <c r="V142" s="2"/>
    </row>
    <row r="143" spans="1:22">
      <c r="A143" s="11" t="s">
        <v>5469</v>
      </c>
      <c r="B143" s="5" t="s">
        <v>5142</v>
      </c>
      <c r="C143" s="28">
        <v>46111</v>
      </c>
      <c r="D143" s="28">
        <v>46113</v>
      </c>
      <c r="E143" s="5" t="s">
        <v>5143</v>
      </c>
      <c r="F143" s="28">
        <v>46111</v>
      </c>
      <c r="G143" s="28"/>
      <c r="H143" s="5"/>
      <c r="I143" s="11" t="s">
        <v>1375</v>
      </c>
      <c r="J143" s="11" t="s">
        <v>244</v>
      </c>
      <c r="K143" s="5" t="s">
        <v>817</v>
      </c>
      <c r="L143" s="11" t="s">
        <v>1383</v>
      </c>
      <c r="M143" s="11"/>
      <c r="N143" s="5" t="s">
        <v>4894</v>
      </c>
      <c r="O143" s="5" t="s">
        <v>5149</v>
      </c>
      <c r="P143" s="5" t="s">
        <v>5158</v>
      </c>
      <c r="Q143" s="5" t="s">
        <v>5151</v>
      </c>
      <c r="R143" s="5" t="s">
        <v>5169</v>
      </c>
      <c r="S143" s="11" t="s">
        <v>4928</v>
      </c>
      <c r="T143" s="5" t="s">
        <v>5470</v>
      </c>
      <c r="U143" s="88" cm="1">
        <f t="array" ref="U143">ROUND(SUMIF(Movements!$B$5:$B$329,$A143,Movements!$F$5:$F$329)*INDEX($Z$4:$Z$13,MATCH($N143&amp;$Q143,$X$4:$X$13&amp;$Y$4:$Y$13,0))+INDEX($AA$4:$AA$13,MATCH($N143&amp;$Q143,$X$4:$X$13&amp;$Y$4:$Y$13,0)),2)</f>
        <v>250</v>
      </c>
      <c r="V143" s="2"/>
    </row>
    <row r="144" spans="1:22">
      <c r="A144" s="11" t="s">
        <v>5471</v>
      </c>
      <c r="B144" s="5" t="s">
        <v>5174</v>
      </c>
      <c r="C144" s="28">
        <v>46106</v>
      </c>
      <c r="D144" s="28">
        <v>46117</v>
      </c>
      <c r="E144" s="5" t="s">
        <v>5143</v>
      </c>
      <c r="F144" s="28">
        <v>46106</v>
      </c>
      <c r="G144" s="28"/>
      <c r="H144" s="5"/>
      <c r="I144" s="11" t="s">
        <v>1343</v>
      </c>
      <c r="J144" s="11" t="s">
        <v>234</v>
      </c>
      <c r="K144" s="5"/>
      <c r="L144" s="11" t="s">
        <v>1313</v>
      </c>
      <c r="M144" s="11"/>
      <c r="N144" s="5" t="s">
        <v>4894</v>
      </c>
      <c r="O144" s="5" t="s">
        <v>5165</v>
      </c>
      <c r="P144" s="5" t="s">
        <v>5337</v>
      </c>
      <c r="Q144" s="5" t="s">
        <v>5151</v>
      </c>
      <c r="R144" s="5" t="s">
        <v>5152</v>
      </c>
      <c r="S144" s="11" t="s">
        <v>4988</v>
      </c>
      <c r="T144" s="5" t="s">
        <v>5472</v>
      </c>
      <c r="U144" s="88" cm="1">
        <f t="array" ref="U144">ROUND(SUMIF(Movements!$B$5:$B$329,$A144,Movements!$F$5:$F$329)*INDEX($Z$4:$Z$13,MATCH($N144&amp;$Q144,$X$4:$X$13&amp;$Y$4:$Y$13,0))+INDEX($AA$4:$AA$13,MATCH($N144&amp;$Q144,$X$4:$X$13&amp;$Y$4:$Y$13,0)),2)</f>
        <v>258.77</v>
      </c>
      <c r="V144" s="2"/>
    </row>
    <row r="145" spans="1:22">
      <c r="A145" s="11" t="s">
        <v>5473</v>
      </c>
      <c r="B145" s="5" t="s">
        <v>5155</v>
      </c>
      <c r="C145" s="28">
        <v>46090</v>
      </c>
      <c r="D145" s="28">
        <v>46093</v>
      </c>
      <c r="E145" s="5" t="s">
        <v>5143</v>
      </c>
      <c r="F145" s="28">
        <v>46090</v>
      </c>
      <c r="G145" s="28"/>
      <c r="H145" s="5" t="s">
        <v>5156</v>
      </c>
      <c r="I145" s="11"/>
      <c r="J145" s="11"/>
      <c r="K145" s="5"/>
      <c r="L145" s="11" t="s">
        <v>1367</v>
      </c>
      <c r="M145" s="11" t="s">
        <v>234</v>
      </c>
      <c r="N145" s="5" t="s">
        <v>4919</v>
      </c>
      <c r="O145" s="5" t="s">
        <v>5157</v>
      </c>
      <c r="P145" s="5" t="s">
        <v>5158</v>
      </c>
      <c r="Q145" s="5" t="s">
        <v>5145</v>
      </c>
      <c r="R145" s="5" t="s">
        <v>5159</v>
      </c>
      <c r="S145" s="11" t="s">
        <v>5014</v>
      </c>
      <c r="T145" s="5" t="s">
        <v>5474</v>
      </c>
      <c r="U145" s="88" cm="1">
        <f t="array" ref="U145">ROUND(SUMIF(Movements!$B$5:$B$329,$A145,Movements!$F$5:$F$329)*INDEX($Z$4:$Z$13,MATCH($N145&amp;$Q145,$X$4:$X$13&amp;$Y$4:$Y$13,0))+INDEX($AA$4:$AA$13,MATCH($N145&amp;$Q145,$X$4:$X$13&amp;$Y$4:$Y$13,0)),2)</f>
        <v>46.41</v>
      </c>
      <c r="V145" s="2"/>
    </row>
    <row r="146" spans="1:22">
      <c r="A146" s="11" t="s">
        <v>5475</v>
      </c>
      <c r="B146" s="5" t="s">
        <v>5142</v>
      </c>
      <c r="C146" s="28">
        <v>46100</v>
      </c>
      <c r="D146" s="28">
        <v>46112</v>
      </c>
      <c r="E146" s="5" t="s">
        <v>5143</v>
      </c>
      <c r="F146" s="28">
        <v>46100</v>
      </c>
      <c r="G146" s="28"/>
      <c r="H146" s="5"/>
      <c r="I146" s="11" t="s">
        <v>1375</v>
      </c>
      <c r="J146" s="11" t="s">
        <v>234</v>
      </c>
      <c r="K146" s="5" t="s">
        <v>919</v>
      </c>
      <c r="L146" s="11" t="s">
        <v>1399</v>
      </c>
      <c r="M146" s="11"/>
      <c r="N146" s="5" t="s">
        <v>4907</v>
      </c>
      <c r="O146" s="5" t="s">
        <v>5304</v>
      </c>
      <c r="P146" s="5" t="s">
        <v>5175</v>
      </c>
      <c r="Q146" s="5" t="s">
        <v>5151</v>
      </c>
      <c r="R146" s="5" t="s">
        <v>5305</v>
      </c>
      <c r="S146" s="11" t="s">
        <v>4928</v>
      </c>
      <c r="T146" s="5" t="s">
        <v>5476</v>
      </c>
      <c r="U146" s="88" cm="1">
        <f t="array" ref="U146">ROUND(SUMIF(Movements!$B$5:$B$329,$A146,Movements!$F$5:$F$329)*INDEX($Z$4:$Z$13,MATCH($N146&amp;$Q146,$X$4:$X$13&amp;$Y$4:$Y$13,0))+INDEX($AA$4:$AA$13,MATCH($N146&amp;$Q146,$X$4:$X$13&amp;$Y$4:$Y$13,0)),2)</f>
        <v>1565.72</v>
      </c>
      <c r="V146" s="2"/>
    </row>
    <row r="147" spans="1:22">
      <c r="A147" s="11" t="s">
        <v>5477</v>
      </c>
      <c r="B147" s="5" t="s">
        <v>5142</v>
      </c>
      <c r="C147" s="28">
        <v>46089</v>
      </c>
      <c r="D147" s="28">
        <v>46105</v>
      </c>
      <c r="E147" s="5" t="s">
        <v>1280</v>
      </c>
      <c r="F147" s="28">
        <v>46091</v>
      </c>
      <c r="G147" s="28">
        <v>46105</v>
      </c>
      <c r="H147" s="5"/>
      <c r="I147" s="11" t="s">
        <v>1375</v>
      </c>
      <c r="J147" s="11" t="s">
        <v>244</v>
      </c>
      <c r="K147" s="5" t="s">
        <v>1002</v>
      </c>
      <c r="L147" s="11" t="s">
        <v>1383</v>
      </c>
      <c r="M147" s="11"/>
      <c r="N147" s="5" t="s">
        <v>4894</v>
      </c>
      <c r="O147" s="5" t="s">
        <v>5193</v>
      </c>
      <c r="P147" s="5" t="s">
        <v>5175</v>
      </c>
      <c r="Q147" s="5" t="s">
        <v>5151</v>
      </c>
      <c r="R147" s="5" t="s">
        <v>5152</v>
      </c>
      <c r="S147" s="11" t="s">
        <v>4994</v>
      </c>
      <c r="T147" s="5" t="s">
        <v>5478</v>
      </c>
      <c r="U147" s="88" cm="1">
        <f t="array" ref="U147">ROUND(SUMIF(Movements!$B$5:$B$329,$A147,Movements!$F$5:$F$329)*INDEX($Z$4:$Z$13,MATCH($N147&amp;$Q147,$X$4:$X$13&amp;$Y$4:$Y$13,0))+INDEX($AA$4:$AA$13,MATCH($N147&amp;$Q147,$X$4:$X$13&amp;$Y$4:$Y$13,0)),2)</f>
        <v>265.51</v>
      </c>
      <c r="V147" s="2"/>
    </row>
    <row r="148" spans="1:22">
      <c r="A148" s="11" t="s">
        <v>5479</v>
      </c>
      <c r="B148" s="5" t="s">
        <v>5155</v>
      </c>
      <c r="C148" s="28">
        <v>46112</v>
      </c>
      <c r="D148" s="28">
        <v>46119</v>
      </c>
      <c r="E148" s="5" t="s">
        <v>1266</v>
      </c>
      <c r="F148" s="28"/>
      <c r="G148" s="28"/>
      <c r="H148" s="5" t="s">
        <v>5156</v>
      </c>
      <c r="I148" s="11"/>
      <c r="J148" s="11"/>
      <c r="K148" s="5"/>
      <c r="L148" s="11" t="s">
        <v>1351</v>
      </c>
      <c r="M148" s="11" t="s">
        <v>244</v>
      </c>
      <c r="N148" s="5" t="s">
        <v>4882</v>
      </c>
      <c r="O148" s="5" t="s">
        <v>5157</v>
      </c>
      <c r="P148" s="5" t="s">
        <v>5175</v>
      </c>
      <c r="Q148" s="5" t="s">
        <v>5145</v>
      </c>
      <c r="R148" s="5" t="s">
        <v>5146</v>
      </c>
      <c r="S148" s="11" t="s">
        <v>5034</v>
      </c>
      <c r="T148" s="5" t="s">
        <v>5480</v>
      </c>
      <c r="U148" s="88" cm="1">
        <f t="array" ref="U148">ROUND(SUMIF(Movements!$B$5:$B$329,$A148,Movements!$F$5:$F$329)*INDEX($Z$4:$Z$13,MATCH($N148&amp;$Q148,$X$4:$X$13&amp;$Y$4:$Y$13,0))+INDEX($AA$4:$AA$13,MATCH($N148&amp;$Q148,$X$4:$X$13&amp;$Y$4:$Y$13,0)),2)</f>
        <v>65.88</v>
      </c>
      <c r="V148" s="2"/>
    </row>
    <row r="149" spans="1:22">
      <c r="A149" s="11" t="s">
        <v>5481</v>
      </c>
      <c r="B149" s="5" t="s">
        <v>5142</v>
      </c>
      <c r="C149" s="28">
        <v>46092</v>
      </c>
      <c r="D149" s="28">
        <v>46098</v>
      </c>
      <c r="E149" s="5" t="s">
        <v>1266</v>
      </c>
      <c r="F149" s="28"/>
      <c r="G149" s="28"/>
      <c r="H149" s="5"/>
      <c r="I149" s="11" t="s">
        <v>1375</v>
      </c>
      <c r="J149" s="11" t="s">
        <v>244</v>
      </c>
      <c r="K149" s="5" t="s">
        <v>1124</v>
      </c>
      <c r="L149" s="11"/>
      <c r="M149" s="11"/>
      <c r="N149" s="5" t="s">
        <v>4882</v>
      </c>
      <c r="O149" s="5" t="s">
        <v>1197</v>
      </c>
      <c r="P149" s="5" t="s">
        <v>5158</v>
      </c>
      <c r="Q149" s="5" t="s">
        <v>5145</v>
      </c>
      <c r="R149" s="5" t="s">
        <v>5159</v>
      </c>
      <c r="S149" s="11" t="s">
        <v>5093</v>
      </c>
      <c r="T149" s="5" t="s">
        <v>5482</v>
      </c>
      <c r="U149" s="88" cm="1">
        <f t="array" ref="U149">ROUND(SUMIF(Movements!$B$5:$B$329,$A149,Movements!$F$5:$F$329)*INDEX($Z$4:$Z$13,MATCH($N149&amp;$Q149,$X$4:$X$13&amp;$Y$4:$Y$13,0))+INDEX($AA$4:$AA$13,MATCH($N149&amp;$Q149,$X$4:$X$13&amp;$Y$4:$Y$13,0)),2)</f>
        <v>50</v>
      </c>
      <c r="V149" s="2"/>
    </row>
    <row r="150" spans="1:22">
      <c r="A150" s="11" t="s">
        <v>5483</v>
      </c>
      <c r="B150" s="5" t="s">
        <v>5142</v>
      </c>
      <c r="C150" s="28">
        <v>46100</v>
      </c>
      <c r="D150" s="28">
        <v>46108</v>
      </c>
      <c r="E150" s="5" t="s">
        <v>1280</v>
      </c>
      <c r="F150" s="28">
        <v>46101</v>
      </c>
      <c r="G150" s="28">
        <v>46107</v>
      </c>
      <c r="H150" s="5"/>
      <c r="I150" s="11" t="s">
        <v>1367</v>
      </c>
      <c r="J150" s="11" t="s">
        <v>234</v>
      </c>
      <c r="K150" s="5" t="s">
        <v>960</v>
      </c>
      <c r="L150" s="11" t="s">
        <v>1313</v>
      </c>
      <c r="M150" s="11"/>
      <c r="N150" s="5" t="s">
        <v>4894</v>
      </c>
      <c r="O150" s="5" t="s">
        <v>5149</v>
      </c>
      <c r="P150" s="5" t="s">
        <v>5337</v>
      </c>
      <c r="Q150" s="5" t="s">
        <v>5151</v>
      </c>
      <c r="R150" s="5" t="s">
        <v>5152</v>
      </c>
      <c r="S150" s="11" t="s">
        <v>5093</v>
      </c>
      <c r="T150" s="5" t="s">
        <v>5484</v>
      </c>
      <c r="U150" s="88" cm="1">
        <f t="array" ref="U150">ROUND(SUMIF(Movements!$B$5:$B$329,$A150,Movements!$F$5:$F$329)*INDEX($Z$4:$Z$13,MATCH($N150&amp;$Q150,$X$4:$X$13&amp;$Y$4:$Y$13,0))+INDEX($AA$4:$AA$13,MATCH($N150&amp;$Q150,$X$4:$X$13&amp;$Y$4:$Y$13,0)),2)</f>
        <v>267.91000000000003</v>
      </c>
      <c r="V150" s="2" t="s">
        <v>5485</v>
      </c>
    </row>
    <row r="151" spans="1:22">
      <c r="A151" s="11" t="s">
        <v>5486</v>
      </c>
      <c r="B151" s="5" t="s">
        <v>5142</v>
      </c>
      <c r="C151" s="28">
        <v>46085</v>
      </c>
      <c r="D151" s="28">
        <v>46090</v>
      </c>
      <c r="E151" s="5" t="s">
        <v>1280</v>
      </c>
      <c r="F151" s="28">
        <v>46084</v>
      </c>
      <c r="G151" s="28">
        <v>46088</v>
      </c>
      <c r="H151" s="5"/>
      <c r="I151" s="11" t="s">
        <v>1359</v>
      </c>
      <c r="J151" s="11" t="s">
        <v>234</v>
      </c>
      <c r="K151" s="5" t="s">
        <v>1111</v>
      </c>
      <c r="L151" s="11" t="s">
        <v>1383</v>
      </c>
      <c r="M151" s="11"/>
      <c r="N151" s="5" t="s">
        <v>4894</v>
      </c>
      <c r="O151" s="5" t="s">
        <v>5165</v>
      </c>
      <c r="P151" s="5" t="s">
        <v>5175</v>
      </c>
      <c r="Q151" s="5" t="s">
        <v>5151</v>
      </c>
      <c r="R151" s="5" t="s">
        <v>5152</v>
      </c>
      <c r="S151" s="11" t="s">
        <v>5014</v>
      </c>
      <c r="T151" s="5" t="s">
        <v>5487</v>
      </c>
      <c r="U151" s="88" cm="1">
        <f t="array" ref="U151">ROUND(SUMIF(Movements!$B$5:$B$329,$A151,Movements!$F$5:$F$329)*INDEX($Z$4:$Z$13,MATCH($N151&amp;$Q151,$X$4:$X$13&amp;$Y$4:$Y$13,0))+INDEX($AA$4:$AA$13,MATCH($N151&amp;$Q151,$X$4:$X$13&amp;$Y$4:$Y$13,0)),2)</f>
        <v>250</v>
      </c>
      <c r="V151" s="2"/>
    </row>
    <row r="152" spans="1:22">
      <c r="A152" s="11" t="s">
        <v>5488</v>
      </c>
      <c r="B152" s="5" t="s">
        <v>5155</v>
      </c>
      <c r="C152" s="28">
        <v>46096</v>
      </c>
      <c r="D152" s="28">
        <v>46101</v>
      </c>
      <c r="E152" s="5" t="s">
        <v>5143</v>
      </c>
      <c r="F152" s="28">
        <v>46096</v>
      </c>
      <c r="G152" s="28"/>
      <c r="H152" s="5" t="s">
        <v>5156</v>
      </c>
      <c r="I152" s="11"/>
      <c r="J152" s="11"/>
      <c r="K152" s="5"/>
      <c r="L152" s="11" t="s">
        <v>1367</v>
      </c>
      <c r="M152" s="11" t="s">
        <v>220</v>
      </c>
      <c r="N152" s="5" t="s">
        <v>4882</v>
      </c>
      <c r="O152" s="5" t="s">
        <v>5157</v>
      </c>
      <c r="P152" s="5" t="s">
        <v>5175</v>
      </c>
      <c r="Q152" s="5" t="s">
        <v>5145</v>
      </c>
      <c r="R152" s="5" t="s">
        <v>5146</v>
      </c>
      <c r="S152" s="11" t="s">
        <v>5029</v>
      </c>
      <c r="T152" s="5" t="s">
        <v>5489</v>
      </c>
      <c r="U152" s="88" cm="1">
        <f t="array" ref="U152">ROUND(SUMIF(Movements!$B$5:$B$329,$A152,Movements!$F$5:$F$329)*INDEX($Z$4:$Z$13,MATCH($N152&amp;$Q152,$X$4:$X$13&amp;$Y$4:$Y$13,0))+INDEX($AA$4:$AA$13,MATCH($N152&amp;$Q152,$X$4:$X$13&amp;$Y$4:$Y$13,0)),2)</f>
        <v>60.22</v>
      </c>
      <c r="V152" s="2"/>
    </row>
    <row r="153" spans="1:22">
      <c r="A153" s="11" t="s">
        <v>5490</v>
      </c>
      <c r="B153" s="5" t="s">
        <v>5155</v>
      </c>
      <c r="C153" s="28">
        <v>46094</v>
      </c>
      <c r="D153" s="28">
        <v>46100</v>
      </c>
      <c r="E153" s="5" t="s">
        <v>1266</v>
      </c>
      <c r="F153" s="28"/>
      <c r="G153" s="28"/>
      <c r="H153" s="5" t="s">
        <v>5196</v>
      </c>
      <c r="I153" s="11"/>
      <c r="J153" s="11"/>
      <c r="K153" s="5"/>
      <c r="L153" s="11" t="s">
        <v>1351</v>
      </c>
      <c r="M153" s="11" t="s">
        <v>244</v>
      </c>
      <c r="N153" s="5" t="s">
        <v>4931</v>
      </c>
      <c r="O153" s="5" t="s">
        <v>5149</v>
      </c>
      <c r="P153" s="5" t="s">
        <v>5175</v>
      </c>
      <c r="Q153" s="5" t="s">
        <v>5151</v>
      </c>
      <c r="R153" s="5" t="s">
        <v>5152</v>
      </c>
      <c r="S153" s="11" t="s">
        <v>5004</v>
      </c>
      <c r="T153" s="5" t="s">
        <v>5491</v>
      </c>
      <c r="U153" s="88" cm="1">
        <f t="array" ref="U153">ROUND(SUMIF(Movements!$B$5:$B$329,$A153,Movements!$F$5:$F$329)*INDEX($Z$4:$Z$13,MATCH($N153&amp;$Q153,$X$4:$X$13&amp;$Y$4:$Y$13,0))+INDEX($AA$4:$AA$13,MATCH($N153&amp;$Q153,$X$4:$X$13&amp;$Y$4:$Y$13,0)),2)</f>
        <v>238.45</v>
      </c>
      <c r="V153" s="2"/>
    </row>
    <row r="154" spans="1:22">
      <c r="A154" s="11" t="s">
        <v>5492</v>
      </c>
      <c r="B154" s="5" t="s">
        <v>5155</v>
      </c>
      <c r="C154" s="28">
        <v>46098</v>
      </c>
      <c r="D154" s="28">
        <v>46100</v>
      </c>
      <c r="E154" s="5" t="s">
        <v>5143</v>
      </c>
      <c r="F154" s="28">
        <v>46100</v>
      </c>
      <c r="G154" s="28"/>
      <c r="H154" s="5" t="s">
        <v>5156</v>
      </c>
      <c r="I154" s="11"/>
      <c r="J154" s="11"/>
      <c r="K154" s="5"/>
      <c r="L154" s="11" t="s">
        <v>1367</v>
      </c>
      <c r="M154" s="11" t="s">
        <v>234</v>
      </c>
      <c r="N154" s="5" t="s">
        <v>4882</v>
      </c>
      <c r="O154" s="5" t="s">
        <v>5157</v>
      </c>
      <c r="P154" s="5" t="s">
        <v>5158</v>
      </c>
      <c r="Q154" s="5" t="s">
        <v>5145</v>
      </c>
      <c r="R154" s="5" t="s">
        <v>5159</v>
      </c>
      <c r="S154" s="11" t="s">
        <v>5085</v>
      </c>
      <c r="T154" s="5" t="s">
        <v>5493</v>
      </c>
      <c r="U154" s="88" cm="1">
        <f t="array" ref="U154">ROUND(SUMIF(Movements!$B$5:$B$329,$A154,Movements!$F$5:$F$329)*INDEX($Z$4:$Z$13,MATCH($N154&amp;$Q154,$X$4:$X$13&amp;$Y$4:$Y$13,0))+INDEX($AA$4:$AA$13,MATCH($N154&amp;$Q154,$X$4:$X$13&amp;$Y$4:$Y$13,0)),2)</f>
        <v>50</v>
      </c>
      <c r="V154" s="2"/>
    </row>
    <row r="155" spans="1:22">
      <c r="A155" s="11" t="s">
        <v>5494</v>
      </c>
      <c r="B155" s="5" t="s">
        <v>5155</v>
      </c>
      <c r="C155" s="28">
        <v>46104</v>
      </c>
      <c r="D155" s="28">
        <v>46111</v>
      </c>
      <c r="E155" s="5" t="s">
        <v>1266</v>
      </c>
      <c r="F155" s="28"/>
      <c r="G155" s="28"/>
      <c r="H155" s="5" t="s">
        <v>5156</v>
      </c>
      <c r="I155" s="11"/>
      <c r="J155" s="11"/>
      <c r="K155" s="5"/>
      <c r="L155" s="11" t="s">
        <v>1343</v>
      </c>
      <c r="M155" s="11" t="s">
        <v>244</v>
      </c>
      <c r="N155" s="5" t="s">
        <v>4882</v>
      </c>
      <c r="O155" s="5" t="s">
        <v>5157</v>
      </c>
      <c r="P155" s="5" t="s">
        <v>5175</v>
      </c>
      <c r="Q155" s="5" t="s">
        <v>5145</v>
      </c>
      <c r="R155" s="5" t="s">
        <v>5146</v>
      </c>
      <c r="S155" s="11" t="s">
        <v>5089</v>
      </c>
      <c r="T155" s="5" t="s">
        <v>5495</v>
      </c>
      <c r="U155" s="88" cm="1">
        <f t="array" ref="U155">ROUND(SUMIF(Movements!$B$5:$B$329,$A155,Movements!$F$5:$F$329)*INDEX($Z$4:$Z$13,MATCH($N155&amp;$Q155,$X$4:$X$13&amp;$Y$4:$Y$13,0))+INDEX($AA$4:$AA$13,MATCH($N155&amp;$Q155,$X$4:$X$13&amp;$Y$4:$Y$13,0)),2)</f>
        <v>61.76</v>
      </c>
      <c r="V155" s="2"/>
    </row>
    <row r="156" spans="1:22">
      <c r="A156" s="11" t="s">
        <v>5496</v>
      </c>
      <c r="B156" s="5" t="s">
        <v>5142</v>
      </c>
      <c r="C156" s="28">
        <v>46090</v>
      </c>
      <c r="D156" s="28">
        <v>46098</v>
      </c>
      <c r="E156" s="5" t="s">
        <v>5143</v>
      </c>
      <c r="F156" s="28">
        <v>46092</v>
      </c>
      <c r="G156" s="28"/>
      <c r="H156" s="5"/>
      <c r="I156" s="11" t="s">
        <v>1375</v>
      </c>
      <c r="J156" s="11" t="s">
        <v>244</v>
      </c>
      <c r="K156" s="5" t="s">
        <v>904</v>
      </c>
      <c r="L156" s="11"/>
      <c r="M156" s="11"/>
      <c r="N156" s="5" t="s">
        <v>4882</v>
      </c>
      <c r="O156" s="5" t="s">
        <v>1197</v>
      </c>
      <c r="P156" s="5" t="s">
        <v>5158</v>
      </c>
      <c r="Q156" s="5" t="s">
        <v>5145</v>
      </c>
      <c r="R156" s="5" t="s">
        <v>5159</v>
      </c>
      <c r="S156" s="11" t="s">
        <v>4944</v>
      </c>
      <c r="T156" s="5" t="s">
        <v>5497</v>
      </c>
      <c r="U156" s="88" cm="1">
        <f t="array" ref="U156">ROUND(SUMIF(Movements!$B$5:$B$329,$A156,Movements!$F$5:$F$329)*INDEX($Z$4:$Z$13,MATCH($N156&amp;$Q156,$X$4:$X$13&amp;$Y$4:$Y$13,0))+INDEX($AA$4:$AA$13,MATCH($N156&amp;$Q156,$X$4:$X$13&amp;$Y$4:$Y$13,0)),2)</f>
        <v>55.08</v>
      </c>
      <c r="V156" s="2"/>
    </row>
    <row r="157" spans="1:22">
      <c r="A157" s="11" t="s">
        <v>5498</v>
      </c>
      <c r="B157" s="5" t="s">
        <v>5174</v>
      </c>
      <c r="C157" s="28">
        <v>46110</v>
      </c>
      <c r="D157" s="28">
        <v>46118</v>
      </c>
      <c r="E157" s="5" t="s">
        <v>1266</v>
      </c>
      <c r="F157" s="28"/>
      <c r="G157" s="28"/>
      <c r="H157" s="5"/>
      <c r="I157" s="11" t="s">
        <v>1351</v>
      </c>
      <c r="J157" s="11"/>
      <c r="K157" s="5"/>
      <c r="L157" s="11" t="s">
        <v>1359</v>
      </c>
      <c r="M157" s="11"/>
      <c r="N157" s="5" t="s">
        <v>4919</v>
      </c>
      <c r="O157" s="5" t="s">
        <v>5157</v>
      </c>
      <c r="P157" s="5" t="s">
        <v>5175</v>
      </c>
      <c r="Q157" s="5" t="s">
        <v>5145</v>
      </c>
      <c r="R157" s="5" t="s">
        <v>5146</v>
      </c>
      <c r="S157" s="11" t="s">
        <v>5029</v>
      </c>
      <c r="T157" s="5" t="s">
        <v>5499</v>
      </c>
      <c r="U157" s="88" cm="1">
        <f t="array" ref="U157">ROUND(SUMIF(Movements!$B$5:$B$329,$A157,Movements!$F$5:$F$329)*INDEX($Z$4:$Z$13,MATCH($N157&amp;$Q157,$X$4:$X$13&amp;$Y$4:$Y$13,0))+INDEX($AA$4:$AA$13,MATCH($N157&amp;$Q157,$X$4:$X$13&amp;$Y$4:$Y$13,0)),2)</f>
        <v>46.95</v>
      </c>
      <c r="V157" s="2"/>
    </row>
    <row r="158" spans="1:22">
      <c r="A158" s="11" t="s">
        <v>5500</v>
      </c>
      <c r="B158" s="5" t="s">
        <v>5142</v>
      </c>
      <c r="C158" s="28">
        <v>46086</v>
      </c>
      <c r="D158" s="28">
        <v>46098</v>
      </c>
      <c r="E158" s="5" t="s">
        <v>1280</v>
      </c>
      <c r="F158" s="28">
        <v>46088</v>
      </c>
      <c r="G158" s="28">
        <v>46097</v>
      </c>
      <c r="H158" s="5"/>
      <c r="I158" s="11" t="s">
        <v>1375</v>
      </c>
      <c r="J158" s="11" t="s">
        <v>244</v>
      </c>
      <c r="K158" s="5" t="s">
        <v>772</v>
      </c>
      <c r="L158" s="11"/>
      <c r="M158" s="11"/>
      <c r="N158" s="5" t="s">
        <v>4882</v>
      </c>
      <c r="O158" s="5" t="s">
        <v>5157</v>
      </c>
      <c r="P158" s="5" t="s">
        <v>5158</v>
      </c>
      <c r="Q158" s="5" t="s">
        <v>5145</v>
      </c>
      <c r="R158" s="5" t="s">
        <v>5159</v>
      </c>
      <c r="S158" s="11" t="s">
        <v>5024</v>
      </c>
      <c r="T158" s="5" t="s">
        <v>5501</v>
      </c>
      <c r="U158" s="88" cm="1">
        <f t="array" ref="U158">ROUND(SUMIF(Movements!$B$5:$B$329,$A158,Movements!$F$5:$F$329)*INDEX($Z$4:$Z$13,MATCH($N158&amp;$Q158,$X$4:$X$13&amp;$Y$4:$Y$13,0))+INDEX($AA$4:$AA$13,MATCH($N158&amp;$Q158,$X$4:$X$13&amp;$Y$4:$Y$13,0)),2)</f>
        <v>50</v>
      </c>
      <c r="V158" s="2" t="s">
        <v>5502</v>
      </c>
    </row>
    <row r="159" spans="1:22">
      <c r="A159" s="11" t="s">
        <v>5503</v>
      </c>
      <c r="B159" s="5" t="s">
        <v>5155</v>
      </c>
      <c r="C159" s="28">
        <v>46110</v>
      </c>
      <c r="D159" s="28">
        <v>46114</v>
      </c>
      <c r="E159" s="5" t="s">
        <v>1266</v>
      </c>
      <c r="F159" s="28"/>
      <c r="G159" s="28"/>
      <c r="H159" s="5" t="s">
        <v>5184</v>
      </c>
      <c r="I159" s="11"/>
      <c r="J159" s="11"/>
      <c r="K159" s="5"/>
      <c r="L159" s="11" t="s">
        <v>1351</v>
      </c>
      <c r="M159" s="11" t="s">
        <v>234</v>
      </c>
      <c r="N159" s="5" t="s">
        <v>4907</v>
      </c>
      <c r="O159" s="5" t="s">
        <v>5157</v>
      </c>
      <c r="P159" s="5" t="s">
        <v>5337</v>
      </c>
      <c r="Q159" s="5" t="s">
        <v>5151</v>
      </c>
      <c r="R159" s="5" t="s">
        <v>5152</v>
      </c>
      <c r="S159" s="11" t="s">
        <v>4999</v>
      </c>
      <c r="T159" s="5" t="s">
        <v>5504</v>
      </c>
      <c r="U159" s="88" cm="1">
        <f t="array" ref="U159">ROUND(SUMIF(Movements!$B$5:$B$329,$A159,Movements!$F$5:$F$329)*INDEX($Z$4:$Z$13,MATCH($N159&amp;$Q159,$X$4:$X$13&amp;$Y$4:$Y$13,0))+INDEX($AA$4:$AA$13,MATCH($N159&amp;$Q159,$X$4:$X$13&amp;$Y$4:$Y$13,0)),2)</f>
        <v>1476.22</v>
      </c>
      <c r="V159" s="2"/>
    </row>
    <row r="160" spans="1:22">
      <c r="A160" s="11" t="s">
        <v>5505</v>
      </c>
      <c r="B160" s="5" t="s">
        <v>5155</v>
      </c>
      <c r="C160" s="28">
        <v>46106</v>
      </c>
      <c r="D160" s="28">
        <v>46108</v>
      </c>
      <c r="E160" s="5" t="s">
        <v>5143</v>
      </c>
      <c r="F160" s="28">
        <v>46105</v>
      </c>
      <c r="G160" s="28"/>
      <c r="H160" s="5" t="s">
        <v>5156</v>
      </c>
      <c r="I160" s="11"/>
      <c r="J160" s="11"/>
      <c r="K160" s="5"/>
      <c r="L160" s="11" t="s">
        <v>1343</v>
      </c>
      <c r="M160" s="11" t="s">
        <v>234</v>
      </c>
      <c r="N160" s="5" t="s">
        <v>4882</v>
      </c>
      <c r="O160" s="5" t="s">
        <v>5157</v>
      </c>
      <c r="P160" s="5" t="s">
        <v>5175</v>
      </c>
      <c r="Q160" s="5" t="s">
        <v>5145</v>
      </c>
      <c r="R160" s="5" t="s">
        <v>5146</v>
      </c>
      <c r="S160" s="11" t="s">
        <v>5029</v>
      </c>
      <c r="T160" s="5" t="s">
        <v>5506</v>
      </c>
      <c r="U160" s="88" cm="1">
        <f t="array" ref="U160">ROUND(SUMIF(Movements!$B$5:$B$329,$A160,Movements!$F$5:$F$329)*INDEX($Z$4:$Z$13,MATCH($N160&amp;$Q160,$X$4:$X$13&amp;$Y$4:$Y$13,0))+INDEX($AA$4:$AA$13,MATCH($N160&amp;$Q160,$X$4:$X$13&amp;$Y$4:$Y$13,0)),2)</f>
        <v>50</v>
      </c>
      <c r="V160" s="2"/>
    </row>
    <row r="161" spans="1:22">
      <c r="A161" s="11" t="s">
        <v>5507</v>
      </c>
      <c r="B161" s="5" t="s">
        <v>5142</v>
      </c>
      <c r="C161" s="28">
        <v>46099</v>
      </c>
      <c r="D161" s="28">
        <v>46101</v>
      </c>
      <c r="E161" s="5" t="s">
        <v>5143</v>
      </c>
      <c r="F161" s="28">
        <v>46100</v>
      </c>
      <c r="G161" s="28"/>
      <c r="H161" s="5"/>
      <c r="I161" s="11" t="s">
        <v>1375</v>
      </c>
      <c r="J161" s="11" t="s">
        <v>244</v>
      </c>
      <c r="K161" s="5" t="s">
        <v>894</v>
      </c>
      <c r="L161" s="11"/>
      <c r="M161" s="11"/>
      <c r="N161" s="5" t="s">
        <v>4882</v>
      </c>
      <c r="O161" s="5" t="s">
        <v>5157</v>
      </c>
      <c r="P161" s="5" t="s">
        <v>5158</v>
      </c>
      <c r="Q161" s="5" t="s">
        <v>5145</v>
      </c>
      <c r="R161" s="5" t="s">
        <v>5159</v>
      </c>
      <c r="S161" s="11" t="s">
        <v>4917</v>
      </c>
      <c r="T161" s="5" t="s">
        <v>5508</v>
      </c>
      <c r="U161" s="88" cm="1">
        <f t="array" ref="U161">ROUND(SUMIF(Movements!$B$5:$B$329,$A161,Movements!$F$5:$F$329)*INDEX($Z$4:$Z$13,MATCH($N161&amp;$Q161,$X$4:$X$13&amp;$Y$4:$Y$13,0))+INDEX($AA$4:$AA$13,MATCH($N161&amp;$Q161,$X$4:$X$13&amp;$Y$4:$Y$13,0)),2)</f>
        <v>50</v>
      </c>
      <c r="V161" s="2"/>
    </row>
    <row r="162" spans="1:22">
      <c r="A162" s="11" t="s">
        <v>5509</v>
      </c>
      <c r="B162" s="5" t="s">
        <v>5142</v>
      </c>
      <c r="C162" s="28">
        <v>46092</v>
      </c>
      <c r="D162" s="28">
        <v>46096</v>
      </c>
      <c r="E162" s="5" t="s">
        <v>1280</v>
      </c>
      <c r="F162" s="28">
        <v>46094</v>
      </c>
      <c r="G162" s="28">
        <v>46096</v>
      </c>
      <c r="H162" s="5"/>
      <c r="I162" s="11" t="s">
        <v>1367</v>
      </c>
      <c r="J162" s="11" t="s">
        <v>234</v>
      </c>
      <c r="K162" s="5" t="s">
        <v>960</v>
      </c>
      <c r="L162" s="11" t="s">
        <v>1383</v>
      </c>
      <c r="M162" s="11"/>
      <c r="N162" s="5" t="s">
        <v>4894</v>
      </c>
      <c r="O162" s="5" t="s">
        <v>5193</v>
      </c>
      <c r="P162" s="5" t="s">
        <v>5158</v>
      </c>
      <c r="Q162" s="5" t="s">
        <v>5151</v>
      </c>
      <c r="R162" s="5" t="s">
        <v>5169</v>
      </c>
      <c r="S162" s="11" t="s">
        <v>4937</v>
      </c>
      <c r="T162" s="5" t="s">
        <v>5510</v>
      </c>
      <c r="U162" s="88" cm="1">
        <f t="array" ref="U162">ROUND(SUMIF(Movements!$B$5:$B$329,$A162,Movements!$F$5:$F$329)*INDEX($Z$4:$Z$13,MATCH($N162&amp;$Q162,$X$4:$X$13&amp;$Y$4:$Y$13,0))+INDEX($AA$4:$AA$13,MATCH($N162&amp;$Q162,$X$4:$X$13&amp;$Y$4:$Y$13,0)),2)</f>
        <v>275.75</v>
      </c>
      <c r="V162" s="2"/>
    </row>
    <row r="163" spans="1:22">
      <c r="A163" s="11" t="s">
        <v>5511</v>
      </c>
      <c r="B163" s="5" t="s">
        <v>5142</v>
      </c>
      <c r="C163" s="28">
        <v>46092</v>
      </c>
      <c r="D163" s="28">
        <v>46097</v>
      </c>
      <c r="E163" s="5" t="s">
        <v>1280</v>
      </c>
      <c r="F163" s="28">
        <v>46094</v>
      </c>
      <c r="G163" s="28">
        <v>46098</v>
      </c>
      <c r="H163" s="5"/>
      <c r="I163" s="11" t="s">
        <v>1375</v>
      </c>
      <c r="J163" s="11" t="s">
        <v>234</v>
      </c>
      <c r="K163" s="5" t="s">
        <v>830</v>
      </c>
      <c r="L163" s="11"/>
      <c r="M163" s="11"/>
      <c r="N163" s="5" t="s">
        <v>4919</v>
      </c>
      <c r="O163" s="5" t="s">
        <v>1197</v>
      </c>
      <c r="P163" s="5" t="s">
        <v>5175</v>
      </c>
      <c r="Q163" s="5" t="s">
        <v>5145</v>
      </c>
      <c r="R163" s="5" t="s">
        <v>5146</v>
      </c>
      <c r="S163" s="11" t="s">
        <v>4994</v>
      </c>
      <c r="T163" s="5" t="s">
        <v>5512</v>
      </c>
      <c r="U163" s="88" cm="1">
        <f t="array" ref="U163">ROUND(SUMIF(Movements!$B$5:$B$329,$A163,Movements!$F$5:$F$329)*INDEX($Z$4:$Z$13,MATCH($N163&amp;$Q163,$X$4:$X$13&amp;$Y$4:$Y$13,0))+INDEX($AA$4:$AA$13,MATCH($N163&amp;$Q163,$X$4:$X$13&amp;$Y$4:$Y$13,0)),2)</f>
        <v>42.47</v>
      </c>
      <c r="V163" s="2"/>
    </row>
    <row r="164" spans="1:22">
      <c r="A164" s="11" t="s">
        <v>5513</v>
      </c>
      <c r="B164" s="5" t="s">
        <v>5142</v>
      </c>
      <c r="C164" s="28">
        <v>46082</v>
      </c>
      <c r="D164" s="28">
        <v>46087</v>
      </c>
      <c r="E164" s="5" t="s">
        <v>5143</v>
      </c>
      <c r="F164" s="28">
        <v>46083</v>
      </c>
      <c r="G164" s="28"/>
      <c r="H164" s="5"/>
      <c r="I164" s="11" t="s">
        <v>1351</v>
      </c>
      <c r="J164" s="11" t="s">
        <v>234</v>
      </c>
      <c r="K164" s="5" t="s">
        <v>806</v>
      </c>
      <c r="L164" s="11" t="s">
        <v>1391</v>
      </c>
      <c r="M164" s="11"/>
      <c r="N164" s="5" t="s">
        <v>4894</v>
      </c>
      <c r="O164" s="5" t="s">
        <v>5149</v>
      </c>
      <c r="P164" s="5" t="s">
        <v>5175</v>
      </c>
      <c r="Q164" s="5" t="s">
        <v>5151</v>
      </c>
      <c r="R164" s="5" t="s">
        <v>5152</v>
      </c>
      <c r="S164" s="11" t="s">
        <v>4937</v>
      </c>
      <c r="T164" s="5" t="s">
        <v>5514</v>
      </c>
      <c r="U164" s="88" cm="1">
        <f t="array" ref="U164">ROUND(SUMIF(Movements!$B$5:$B$329,$A164,Movements!$F$5:$F$329)*INDEX($Z$4:$Z$13,MATCH($N164&amp;$Q164,$X$4:$X$13&amp;$Y$4:$Y$13,0))+INDEX($AA$4:$AA$13,MATCH($N164&amp;$Q164,$X$4:$X$13&amp;$Y$4:$Y$13,0)),2)</f>
        <v>258</v>
      </c>
      <c r="V164" s="2"/>
    </row>
    <row r="165" spans="1:22">
      <c r="A165" s="11" t="s">
        <v>5515</v>
      </c>
      <c r="B165" s="5" t="s">
        <v>5174</v>
      </c>
      <c r="C165" s="28">
        <v>46086</v>
      </c>
      <c r="D165" s="28">
        <v>46089</v>
      </c>
      <c r="E165" s="5" t="s">
        <v>5143</v>
      </c>
      <c r="F165" s="28">
        <v>46085</v>
      </c>
      <c r="G165" s="28"/>
      <c r="H165" s="5"/>
      <c r="I165" s="11" t="s">
        <v>1375</v>
      </c>
      <c r="J165" s="11"/>
      <c r="K165" s="5"/>
      <c r="L165" s="11" t="s">
        <v>1391</v>
      </c>
      <c r="M165" s="11"/>
      <c r="N165" s="5" t="s">
        <v>4894</v>
      </c>
      <c r="O165" s="5" t="s">
        <v>5149</v>
      </c>
      <c r="P165" s="5" t="s">
        <v>5337</v>
      </c>
      <c r="Q165" s="5" t="s">
        <v>5151</v>
      </c>
      <c r="R165" s="5" t="s">
        <v>5152</v>
      </c>
      <c r="S165" s="11" t="s">
        <v>5014</v>
      </c>
      <c r="T165" s="5" t="s">
        <v>5516</v>
      </c>
      <c r="U165" s="88" cm="1">
        <f t="array" ref="U165">ROUND(SUMIF(Movements!$B$5:$B$329,$A165,Movements!$F$5:$F$329)*INDEX($Z$4:$Z$13,MATCH($N165&amp;$Q165,$X$4:$X$13&amp;$Y$4:$Y$13,0))+INDEX($AA$4:$AA$13,MATCH($N165&amp;$Q165,$X$4:$X$13&amp;$Y$4:$Y$13,0)),2)</f>
        <v>258.58</v>
      </c>
      <c r="V165" s="2"/>
    </row>
    <row r="166" spans="1:22">
      <c r="A166" s="11" t="s">
        <v>5517</v>
      </c>
      <c r="B166" s="5" t="s">
        <v>5142</v>
      </c>
      <c r="C166" s="28">
        <v>46100</v>
      </c>
      <c r="D166" s="28">
        <v>46109</v>
      </c>
      <c r="E166" s="5" t="s">
        <v>1266</v>
      </c>
      <c r="F166" s="28"/>
      <c r="G166" s="28"/>
      <c r="H166" s="5"/>
      <c r="I166" s="11" t="s">
        <v>1375</v>
      </c>
      <c r="J166" s="11" t="s">
        <v>234</v>
      </c>
      <c r="K166" s="5" t="s">
        <v>853</v>
      </c>
      <c r="L166" s="11"/>
      <c r="M166" s="11"/>
      <c r="N166" s="5" t="s">
        <v>4919</v>
      </c>
      <c r="O166" s="5" t="s">
        <v>1197</v>
      </c>
      <c r="P166" s="5" t="s">
        <v>5144</v>
      </c>
      <c r="Q166" s="5" t="s">
        <v>5145</v>
      </c>
      <c r="R166" s="5" t="s">
        <v>5146</v>
      </c>
      <c r="S166" s="11" t="s">
        <v>5089</v>
      </c>
      <c r="T166" s="5" t="s">
        <v>5518</v>
      </c>
      <c r="U166" s="88" cm="1">
        <f t="array" ref="U166">ROUND(SUMIF(Movements!$B$5:$B$329,$A166,Movements!$F$5:$F$329)*INDEX($Z$4:$Z$13,MATCH($N166&amp;$Q166,$X$4:$X$13&amp;$Y$4:$Y$13,0))+INDEX($AA$4:$AA$13,MATCH($N166&amp;$Q166,$X$4:$X$13&amp;$Y$4:$Y$13,0)),2)</f>
        <v>42.71</v>
      </c>
      <c r="V166" s="2"/>
    </row>
    <row r="167" spans="1:22">
      <c r="A167" s="11" t="s">
        <v>5519</v>
      </c>
      <c r="B167" s="5" t="s">
        <v>5155</v>
      </c>
      <c r="C167" s="28">
        <v>46111</v>
      </c>
      <c r="D167" s="28">
        <v>46119</v>
      </c>
      <c r="E167" s="5" t="s">
        <v>1266</v>
      </c>
      <c r="F167" s="28"/>
      <c r="G167" s="28"/>
      <c r="H167" s="5" t="s">
        <v>5156</v>
      </c>
      <c r="I167" s="11"/>
      <c r="J167" s="11"/>
      <c r="K167" s="5"/>
      <c r="L167" s="11" t="s">
        <v>1343</v>
      </c>
      <c r="M167" s="11" t="s">
        <v>244</v>
      </c>
      <c r="N167" s="5" t="s">
        <v>4882</v>
      </c>
      <c r="O167" s="5" t="s">
        <v>5157</v>
      </c>
      <c r="P167" s="5" t="s">
        <v>5158</v>
      </c>
      <c r="Q167" s="5" t="s">
        <v>5145</v>
      </c>
      <c r="R167" s="5" t="s">
        <v>5159</v>
      </c>
      <c r="S167" s="11" t="s">
        <v>4952</v>
      </c>
      <c r="T167" s="5" t="s">
        <v>5520</v>
      </c>
      <c r="U167" s="88" cm="1">
        <f t="array" ref="U167">ROUND(SUMIF(Movements!$B$5:$B$329,$A167,Movements!$F$5:$F$329)*INDEX($Z$4:$Z$13,MATCH($N167&amp;$Q167,$X$4:$X$13&amp;$Y$4:$Y$13,0))+INDEX($AA$4:$AA$13,MATCH($N167&amp;$Q167,$X$4:$X$13&amp;$Y$4:$Y$13,0)),2)</f>
        <v>66</v>
      </c>
      <c r="V167" s="2"/>
    </row>
    <row r="168" spans="1:22">
      <c r="A168" s="11" t="s">
        <v>5521</v>
      </c>
      <c r="B168" s="5" t="s">
        <v>5142</v>
      </c>
      <c r="C168" s="28">
        <v>46097</v>
      </c>
      <c r="D168" s="28">
        <v>46098</v>
      </c>
      <c r="E168" s="5" t="s">
        <v>1280</v>
      </c>
      <c r="F168" s="28">
        <v>46099</v>
      </c>
      <c r="G168" s="28">
        <v>46100</v>
      </c>
      <c r="H168" s="5"/>
      <c r="I168" s="11" t="s">
        <v>1375</v>
      </c>
      <c r="J168" s="11" t="s">
        <v>244</v>
      </c>
      <c r="K168" s="5" t="s">
        <v>919</v>
      </c>
      <c r="L168" s="11"/>
      <c r="M168" s="11"/>
      <c r="N168" s="5" t="s">
        <v>4919</v>
      </c>
      <c r="O168" s="5" t="s">
        <v>5157</v>
      </c>
      <c r="P168" s="5" t="s">
        <v>5144</v>
      </c>
      <c r="Q168" s="5" t="s">
        <v>5145</v>
      </c>
      <c r="R168" s="5" t="s">
        <v>5146</v>
      </c>
      <c r="S168" s="11" t="s">
        <v>5064</v>
      </c>
      <c r="T168" s="5" t="s">
        <v>5522</v>
      </c>
      <c r="U168" s="88" cm="1">
        <f t="array" ref="U168">ROUND(SUMIF(Movements!$B$5:$B$329,$A168,Movements!$F$5:$F$329)*INDEX($Z$4:$Z$13,MATCH($N168&amp;$Q168,$X$4:$X$13&amp;$Y$4:$Y$13,0))+INDEX($AA$4:$AA$13,MATCH($N168&amp;$Q168,$X$4:$X$13&amp;$Y$4:$Y$13,0)),2)</f>
        <v>40</v>
      </c>
      <c r="V168" s="2" t="s">
        <v>5523</v>
      </c>
    </row>
    <row r="169" spans="1:22">
      <c r="A169" s="11" t="s">
        <v>5524</v>
      </c>
      <c r="B169" s="5" t="s">
        <v>5142</v>
      </c>
      <c r="C169" s="28">
        <v>46105</v>
      </c>
      <c r="D169" s="28">
        <v>46113</v>
      </c>
      <c r="E169" s="5" t="s">
        <v>1266</v>
      </c>
      <c r="F169" s="28"/>
      <c r="G169" s="28"/>
      <c r="H169" s="5"/>
      <c r="I169" s="11" t="s">
        <v>1343</v>
      </c>
      <c r="J169" s="11" t="s">
        <v>244</v>
      </c>
      <c r="K169" s="5" t="s">
        <v>856</v>
      </c>
      <c r="L169" s="11" t="s">
        <v>1399</v>
      </c>
      <c r="M169" s="11"/>
      <c r="N169" s="5" t="s">
        <v>4894</v>
      </c>
      <c r="O169" s="5" t="s">
        <v>5193</v>
      </c>
      <c r="P169" s="5" t="s">
        <v>5337</v>
      </c>
      <c r="Q169" s="5" t="s">
        <v>5151</v>
      </c>
      <c r="R169" s="5" t="s">
        <v>5152</v>
      </c>
      <c r="S169" s="11" t="s">
        <v>4917</v>
      </c>
      <c r="T169" s="5" t="s">
        <v>5525</v>
      </c>
      <c r="U169" s="88" cm="1">
        <f t="array" ref="U169">ROUND(SUMIF(Movements!$B$5:$B$329,$A169,Movements!$F$5:$F$329)*INDEX($Z$4:$Z$13,MATCH($N169&amp;$Q169,$X$4:$X$13&amp;$Y$4:$Y$13,0))+INDEX($AA$4:$AA$13,MATCH($N169&amp;$Q169,$X$4:$X$13&amp;$Y$4:$Y$13,0)),2)</f>
        <v>267.98</v>
      </c>
      <c r="V169" s="2"/>
    </row>
    <row r="170" spans="1:22">
      <c r="A170" s="11" t="s">
        <v>5526</v>
      </c>
      <c r="B170" s="5" t="s">
        <v>5142</v>
      </c>
      <c r="C170" s="28">
        <v>46085</v>
      </c>
      <c r="D170" s="28">
        <v>46092</v>
      </c>
      <c r="E170" s="5" t="s">
        <v>5143</v>
      </c>
      <c r="F170" s="28">
        <v>46086</v>
      </c>
      <c r="G170" s="28"/>
      <c r="H170" s="5"/>
      <c r="I170" s="11" t="s">
        <v>1375</v>
      </c>
      <c r="J170" s="11" t="s">
        <v>244</v>
      </c>
      <c r="K170" s="5" t="s">
        <v>867</v>
      </c>
      <c r="L170" s="11" t="s">
        <v>1328</v>
      </c>
      <c r="M170" s="11"/>
      <c r="N170" s="5" t="s">
        <v>4931</v>
      </c>
      <c r="O170" s="5" t="s">
        <v>5165</v>
      </c>
      <c r="P170" s="5" t="s">
        <v>5175</v>
      </c>
      <c r="Q170" s="5" t="s">
        <v>5151</v>
      </c>
      <c r="R170" s="5" t="s">
        <v>5152</v>
      </c>
      <c r="S170" s="11" t="s">
        <v>5081</v>
      </c>
      <c r="T170" s="5" t="s">
        <v>5527</v>
      </c>
      <c r="U170" s="88" cm="1">
        <f t="array" ref="U170">ROUND(SUMIF(Movements!$B$5:$B$329,$A170,Movements!$F$5:$F$329)*INDEX($Z$4:$Z$13,MATCH($N170&amp;$Q170,$X$4:$X$13&amp;$Y$4:$Y$13,0))+INDEX($AA$4:$AA$13,MATCH($N170&amp;$Q170,$X$4:$X$13&amp;$Y$4:$Y$13,0)),2)</f>
        <v>255.65</v>
      </c>
      <c r="V170" s="2"/>
    </row>
    <row r="171" spans="1:22">
      <c r="A171" s="11" t="s">
        <v>5528</v>
      </c>
      <c r="B171" s="5" t="s">
        <v>5142</v>
      </c>
      <c r="C171" s="28">
        <v>46093</v>
      </c>
      <c r="D171" s="28">
        <v>46109</v>
      </c>
      <c r="E171" s="5" t="s">
        <v>5143</v>
      </c>
      <c r="F171" s="28">
        <v>46095</v>
      </c>
      <c r="G171" s="28"/>
      <c r="H171" s="5"/>
      <c r="I171" s="11" t="s">
        <v>1359</v>
      </c>
      <c r="J171" s="11" t="s">
        <v>234</v>
      </c>
      <c r="K171" s="5" t="s">
        <v>1105</v>
      </c>
      <c r="L171" s="11"/>
      <c r="M171" s="11"/>
      <c r="N171" s="5" t="s">
        <v>4882</v>
      </c>
      <c r="O171" s="5" t="s">
        <v>5157</v>
      </c>
      <c r="P171" s="5" t="s">
        <v>5175</v>
      </c>
      <c r="Q171" s="5" t="s">
        <v>5145</v>
      </c>
      <c r="R171" s="5" t="s">
        <v>5146</v>
      </c>
      <c r="S171" s="11" t="s">
        <v>5039</v>
      </c>
      <c r="T171" s="5" t="s">
        <v>5529</v>
      </c>
      <c r="U171" s="88" cm="1">
        <f t="array" ref="U171">ROUND(SUMIF(Movements!$B$5:$B$329,$A171,Movements!$F$5:$F$329)*INDEX($Z$4:$Z$13,MATCH($N171&amp;$Q171,$X$4:$X$13&amp;$Y$4:$Y$13,0))+INDEX($AA$4:$AA$13,MATCH($N171&amp;$Q171,$X$4:$X$13&amp;$Y$4:$Y$13,0)),2)</f>
        <v>58.83</v>
      </c>
      <c r="V171" s="2"/>
    </row>
    <row r="172" spans="1:22">
      <c r="A172" s="11" t="s">
        <v>5530</v>
      </c>
      <c r="B172" s="5" t="s">
        <v>5155</v>
      </c>
      <c r="C172" s="28">
        <v>46084</v>
      </c>
      <c r="D172" s="28">
        <v>46086</v>
      </c>
      <c r="E172" s="5" t="s">
        <v>1280</v>
      </c>
      <c r="F172" s="28">
        <v>46086</v>
      </c>
      <c r="G172" s="28">
        <v>46086</v>
      </c>
      <c r="H172" s="5" t="s">
        <v>5156</v>
      </c>
      <c r="I172" s="11"/>
      <c r="J172" s="11"/>
      <c r="K172" s="5"/>
      <c r="L172" s="11" t="s">
        <v>1359</v>
      </c>
      <c r="M172" s="11" t="s">
        <v>234</v>
      </c>
      <c r="N172" s="5" t="s">
        <v>4882</v>
      </c>
      <c r="O172" s="5" t="s">
        <v>5157</v>
      </c>
      <c r="P172" s="5" t="s">
        <v>5175</v>
      </c>
      <c r="Q172" s="5" t="s">
        <v>5145</v>
      </c>
      <c r="R172" s="5" t="s">
        <v>5146</v>
      </c>
      <c r="S172" s="11" t="s">
        <v>4892</v>
      </c>
      <c r="T172" s="5" t="s">
        <v>5531</v>
      </c>
      <c r="U172" s="88" cm="1">
        <f t="array" ref="U172">ROUND(SUMIF(Movements!$B$5:$B$329,$A172,Movements!$F$5:$F$329)*INDEX($Z$4:$Z$13,MATCH($N172&amp;$Q172,$X$4:$X$13&amp;$Y$4:$Y$13,0))+INDEX($AA$4:$AA$13,MATCH($N172&amp;$Q172,$X$4:$X$13&amp;$Y$4:$Y$13,0)),2)</f>
        <v>50</v>
      </c>
      <c r="V172" s="2" t="s">
        <v>5532</v>
      </c>
    </row>
    <row r="173" spans="1:22">
      <c r="A173" s="11" t="s">
        <v>5533</v>
      </c>
      <c r="B173" s="5" t="s">
        <v>5174</v>
      </c>
      <c r="C173" s="28">
        <v>46105</v>
      </c>
      <c r="D173" s="28">
        <v>46109</v>
      </c>
      <c r="E173" s="5" t="s">
        <v>1266</v>
      </c>
      <c r="F173" s="28"/>
      <c r="G173" s="28"/>
      <c r="H173" s="5"/>
      <c r="I173" s="11" t="s">
        <v>1343</v>
      </c>
      <c r="J173" s="11"/>
      <c r="K173" s="5"/>
      <c r="L173" s="11" t="s">
        <v>1313</v>
      </c>
      <c r="M173" s="11"/>
      <c r="N173" s="5" t="s">
        <v>4894</v>
      </c>
      <c r="O173" s="5" t="s">
        <v>5193</v>
      </c>
      <c r="P173" s="5" t="s">
        <v>5144</v>
      </c>
      <c r="Q173" s="5" t="s">
        <v>5151</v>
      </c>
      <c r="R173" s="5" t="s">
        <v>5152</v>
      </c>
      <c r="S173" s="11" t="s">
        <v>4892</v>
      </c>
      <c r="T173" s="5" t="s">
        <v>5534</v>
      </c>
      <c r="U173" s="88" cm="1">
        <f t="array" ref="U173">ROUND(SUMIF(Movements!$B$5:$B$329,$A173,Movements!$F$5:$F$329)*INDEX($Z$4:$Z$13,MATCH($N173&amp;$Q173,$X$4:$X$13&amp;$Y$4:$Y$13,0))+INDEX($AA$4:$AA$13,MATCH($N173&amp;$Q173,$X$4:$X$13&amp;$Y$4:$Y$13,0)),2)</f>
        <v>268.01</v>
      </c>
      <c r="V173" s="2"/>
    </row>
    <row r="174" spans="1:22">
      <c r="A174" s="11" t="s">
        <v>5535</v>
      </c>
      <c r="B174" s="5" t="s">
        <v>5142</v>
      </c>
      <c r="C174" s="28">
        <v>46090</v>
      </c>
      <c r="D174" s="28">
        <v>46095</v>
      </c>
      <c r="E174" s="5" t="s">
        <v>5143</v>
      </c>
      <c r="F174" s="28">
        <v>46091</v>
      </c>
      <c r="G174" s="28"/>
      <c r="H174" s="5"/>
      <c r="I174" s="11" t="s">
        <v>1351</v>
      </c>
      <c r="J174" s="11" t="s">
        <v>244</v>
      </c>
      <c r="K174" s="5" t="s">
        <v>901</v>
      </c>
      <c r="L174" s="11"/>
      <c r="M174" s="11"/>
      <c r="N174" s="5" t="s">
        <v>4882</v>
      </c>
      <c r="O174" s="5" t="s">
        <v>5157</v>
      </c>
      <c r="P174" s="5" t="s">
        <v>5175</v>
      </c>
      <c r="Q174" s="5" t="s">
        <v>5145</v>
      </c>
      <c r="R174" s="5" t="s">
        <v>5146</v>
      </c>
      <c r="S174" s="11" t="s">
        <v>5049</v>
      </c>
      <c r="T174" s="5" t="s">
        <v>5536</v>
      </c>
      <c r="U174" s="88" cm="1">
        <f t="array" ref="U174">ROUND(SUMIF(Movements!$B$5:$B$329,$A174,Movements!$F$5:$F$329)*INDEX($Z$4:$Z$13,MATCH($N174&amp;$Q174,$X$4:$X$13&amp;$Y$4:$Y$13,0))+INDEX($AA$4:$AA$13,MATCH($N174&amp;$Q174,$X$4:$X$13&amp;$Y$4:$Y$13,0)),2)</f>
        <v>50</v>
      </c>
      <c r="V174" s="2"/>
    </row>
    <row r="175" spans="1:22">
      <c r="A175" s="11" t="s">
        <v>5537</v>
      </c>
      <c r="B175" s="5" t="s">
        <v>5155</v>
      </c>
      <c r="C175" s="28">
        <v>46087</v>
      </c>
      <c r="D175" s="28">
        <v>46092</v>
      </c>
      <c r="E175" s="5" t="s">
        <v>5143</v>
      </c>
      <c r="F175" s="28">
        <v>46089</v>
      </c>
      <c r="G175" s="28"/>
      <c r="H175" s="5" t="s">
        <v>5156</v>
      </c>
      <c r="I175" s="11"/>
      <c r="J175" s="11"/>
      <c r="K175" s="5"/>
      <c r="L175" s="11" t="s">
        <v>1343</v>
      </c>
      <c r="M175" s="11" t="s">
        <v>234</v>
      </c>
      <c r="N175" s="5" t="s">
        <v>4882</v>
      </c>
      <c r="O175" s="5" t="s">
        <v>5157</v>
      </c>
      <c r="P175" s="5" t="s">
        <v>5175</v>
      </c>
      <c r="Q175" s="5" t="s">
        <v>5145</v>
      </c>
      <c r="R175" s="5" t="s">
        <v>5146</v>
      </c>
      <c r="S175" s="11" t="s">
        <v>4905</v>
      </c>
      <c r="T175" s="5" t="s">
        <v>5538</v>
      </c>
      <c r="U175" s="88" cm="1">
        <f t="array" ref="U175">ROUND(SUMIF(Movements!$B$5:$B$329,$A175,Movements!$F$5:$F$329)*INDEX($Z$4:$Z$13,MATCH($N175&amp;$Q175,$X$4:$X$13&amp;$Y$4:$Y$13,0))+INDEX($AA$4:$AA$13,MATCH($N175&amp;$Q175,$X$4:$X$13&amp;$Y$4:$Y$13,0)),2)</f>
        <v>55.76</v>
      </c>
      <c r="V175" s="2"/>
    </row>
    <row r="176" spans="1:22">
      <c r="A176" s="11" t="s">
        <v>5539</v>
      </c>
      <c r="B176" s="5" t="s">
        <v>5142</v>
      </c>
      <c r="C176" s="28">
        <v>46111</v>
      </c>
      <c r="D176" s="28">
        <v>46119</v>
      </c>
      <c r="E176" s="5" t="s">
        <v>5143</v>
      </c>
      <c r="F176" s="28">
        <v>46112</v>
      </c>
      <c r="G176" s="28"/>
      <c r="H176" s="5"/>
      <c r="I176" s="11" t="s">
        <v>1351</v>
      </c>
      <c r="J176" s="11" t="s">
        <v>234</v>
      </c>
      <c r="K176" s="5" t="s">
        <v>894</v>
      </c>
      <c r="L176" s="11" t="s">
        <v>1391</v>
      </c>
      <c r="M176" s="11"/>
      <c r="N176" s="5" t="s">
        <v>4894</v>
      </c>
      <c r="O176" s="5" t="s">
        <v>5193</v>
      </c>
      <c r="P176" s="5" t="s">
        <v>5175</v>
      </c>
      <c r="Q176" s="5" t="s">
        <v>5151</v>
      </c>
      <c r="R176" s="5" t="s">
        <v>5152</v>
      </c>
      <c r="S176" s="11" t="s">
        <v>5077</v>
      </c>
      <c r="T176" s="5" t="s">
        <v>5540</v>
      </c>
      <c r="U176" s="88" cm="1">
        <f t="array" ref="U176">ROUND(SUMIF(Movements!$B$5:$B$329,$A176,Movements!$F$5:$F$329)*INDEX($Z$4:$Z$13,MATCH($N176&amp;$Q176,$X$4:$X$13&amp;$Y$4:$Y$13,0))+INDEX($AA$4:$AA$13,MATCH($N176&amp;$Q176,$X$4:$X$13&amp;$Y$4:$Y$13,0)),2)</f>
        <v>258.82</v>
      </c>
      <c r="V176" s="2"/>
    </row>
    <row r="177" spans="1:22">
      <c r="A177" s="11" t="s">
        <v>5541</v>
      </c>
      <c r="B177" s="5" t="s">
        <v>5142</v>
      </c>
      <c r="C177" s="28">
        <v>46105</v>
      </c>
      <c r="D177" s="28">
        <v>46111</v>
      </c>
      <c r="E177" s="5" t="s">
        <v>1266</v>
      </c>
      <c r="F177" s="28"/>
      <c r="G177" s="28"/>
      <c r="H177" s="5"/>
      <c r="I177" s="11" t="s">
        <v>1359</v>
      </c>
      <c r="J177" s="11" t="s">
        <v>234</v>
      </c>
      <c r="K177" s="5" t="s">
        <v>825</v>
      </c>
      <c r="L177" s="11" t="s">
        <v>1383</v>
      </c>
      <c r="M177" s="11"/>
      <c r="N177" s="5" t="s">
        <v>4894</v>
      </c>
      <c r="O177" s="5" t="s">
        <v>5165</v>
      </c>
      <c r="P177" s="5" t="s">
        <v>5175</v>
      </c>
      <c r="Q177" s="5" t="s">
        <v>5151</v>
      </c>
      <c r="R177" s="5" t="s">
        <v>5152</v>
      </c>
      <c r="S177" s="11" t="s">
        <v>4988</v>
      </c>
      <c r="T177" s="5" t="s">
        <v>5542</v>
      </c>
      <c r="U177" s="88" cm="1">
        <f t="array" ref="U177">ROUND(SUMIF(Movements!$B$5:$B$329,$A177,Movements!$F$5:$F$329)*INDEX($Z$4:$Z$13,MATCH($N177&amp;$Q177,$X$4:$X$13&amp;$Y$4:$Y$13,0))+INDEX($AA$4:$AA$13,MATCH($N177&amp;$Q177,$X$4:$X$13&amp;$Y$4:$Y$13,0)),2)</f>
        <v>257.86</v>
      </c>
      <c r="V177" s="2"/>
    </row>
    <row r="178" spans="1:22">
      <c r="A178" s="11" t="s">
        <v>5543</v>
      </c>
      <c r="B178" s="5" t="s">
        <v>5155</v>
      </c>
      <c r="C178" s="28">
        <v>46110</v>
      </c>
      <c r="D178" s="28">
        <v>46117</v>
      </c>
      <c r="E178" s="5" t="s">
        <v>1266</v>
      </c>
      <c r="F178" s="28"/>
      <c r="G178" s="28"/>
      <c r="H178" s="5" t="s">
        <v>5156</v>
      </c>
      <c r="I178" s="11"/>
      <c r="J178" s="11"/>
      <c r="K178" s="5"/>
      <c r="L178" s="11" t="s">
        <v>1351</v>
      </c>
      <c r="M178" s="11" t="s">
        <v>244</v>
      </c>
      <c r="N178" s="5" t="s">
        <v>4882</v>
      </c>
      <c r="O178" s="5" t="s">
        <v>5157</v>
      </c>
      <c r="P178" s="5" t="s">
        <v>5144</v>
      </c>
      <c r="Q178" s="5" t="s">
        <v>5145</v>
      </c>
      <c r="R178" s="5" t="s">
        <v>5146</v>
      </c>
      <c r="S178" s="11" t="s">
        <v>5044</v>
      </c>
      <c r="T178" s="5" t="s">
        <v>5544</v>
      </c>
      <c r="U178" s="88" cm="1">
        <f t="array" ref="U178">ROUND(SUMIF(Movements!$B$5:$B$329,$A178,Movements!$F$5:$F$329)*INDEX($Z$4:$Z$13,MATCH($N178&amp;$Q178,$X$4:$X$13&amp;$Y$4:$Y$13,0))+INDEX($AA$4:$AA$13,MATCH($N178&amp;$Q178,$X$4:$X$13&amp;$Y$4:$Y$13,0)),2)</f>
        <v>56.01</v>
      </c>
      <c r="V178" s="2"/>
    </row>
    <row r="179" spans="1:22">
      <c r="A179" s="11" t="s">
        <v>5545</v>
      </c>
      <c r="B179" s="5" t="s">
        <v>5142</v>
      </c>
      <c r="C179" s="28">
        <v>46095</v>
      </c>
      <c r="D179" s="28">
        <v>46102</v>
      </c>
      <c r="E179" s="5" t="s">
        <v>1266</v>
      </c>
      <c r="F179" s="28"/>
      <c r="G179" s="28"/>
      <c r="H179" s="5"/>
      <c r="I179" s="11" t="s">
        <v>1375</v>
      </c>
      <c r="J179" s="11" t="s">
        <v>244</v>
      </c>
      <c r="K179" s="5" t="s">
        <v>1026</v>
      </c>
      <c r="L179" s="11"/>
      <c r="M179" s="11"/>
      <c r="N179" s="5" t="s">
        <v>4882</v>
      </c>
      <c r="O179" s="5" t="s">
        <v>5157</v>
      </c>
      <c r="P179" s="5" t="s">
        <v>5175</v>
      </c>
      <c r="Q179" s="5" t="s">
        <v>5145</v>
      </c>
      <c r="R179" s="5" t="s">
        <v>5146</v>
      </c>
      <c r="S179" s="11" t="s">
        <v>5019</v>
      </c>
      <c r="T179" s="5" t="s">
        <v>5546</v>
      </c>
      <c r="U179" s="88" cm="1">
        <f t="array" ref="U179">ROUND(SUMIF(Movements!$B$5:$B$329,$A179,Movements!$F$5:$F$329)*INDEX($Z$4:$Z$13,MATCH($N179&amp;$Q179,$X$4:$X$13&amp;$Y$4:$Y$13,0))+INDEX($AA$4:$AA$13,MATCH($N179&amp;$Q179,$X$4:$X$13&amp;$Y$4:$Y$13,0)),2)</f>
        <v>66.5</v>
      </c>
      <c r="V179" s="2"/>
    </row>
    <row r="180" spans="1:22">
      <c r="A180" s="11" t="s">
        <v>5547</v>
      </c>
      <c r="B180" s="5" t="s">
        <v>5155</v>
      </c>
      <c r="C180" s="28">
        <v>46085</v>
      </c>
      <c r="D180" s="28">
        <v>46091</v>
      </c>
      <c r="E180" s="5" t="s">
        <v>5143</v>
      </c>
      <c r="F180" s="28">
        <v>46085</v>
      </c>
      <c r="G180" s="28"/>
      <c r="H180" s="5" t="s">
        <v>5156</v>
      </c>
      <c r="I180" s="11"/>
      <c r="J180" s="11"/>
      <c r="K180" s="5"/>
      <c r="L180" s="11" t="s">
        <v>1359</v>
      </c>
      <c r="M180" s="11" t="s">
        <v>244</v>
      </c>
      <c r="N180" s="5" t="s">
        <v>4882</v>
      </c>
      <c r="O180" s="5" t="s">
        <v>5157</v>
      </c>
      <c r="P180" s="5" t="s">
        <v>5175</v>
      </c>
      <c r="Q180" s="5" t="s">
        <v>5145</v>
      </c>
      <c r="R180" s="5" t="s">
        <v>5146</v>
      </c>
      <c r="S180" s="11" t="s">
        <v>5081</v>
      </c>
      <c r="T180" s="5" t="s">
        <v>5548</v>
      </c>
      <c r="U180" s="88" cm="1">
        <f t="array" ref="U180">ROUND(SUMIF(Movements!$B$5:$B$329,$A180,Movements!$F$5:$F$329)*INDEX($Z$4:$Z$13,MATCH($N180&amp;$Q180,$X$4:$X$13&amp;$Y$4:$Y$13,0))+INDEX($AA$4:$AA$13,MATCH($N180&amp;$Q180,$X$4:$X$13&amp;$Y$4:$Y$13,0)),2)</f>
        <v>50</v>
      </c>
      <c r="V180" s="2"/>
    </row>
    <row r="181" spans="1:22">
      <c r="A181" s="11" t="s">
        <v>5549</v>
      </c>
      <c r="B181" s="5" t="s">
        <v>5155</v>
      </c>
      <c r="C181" s="28">
        <v>46094</v>
      </c>
      <c r="D181" s="28">
        <v>46102</v>
      </c>
      <c r="E181" s="5" t="s">
        <v>5143</v>
      </c>
      <c r="F181" s="28">
        <v>46095</v>
      </c>
      <c r="G181" s="28"/>
      <c r="H181" s="5" t="s">
        <v>5156</v>
      </c>
      <c r="I181" s="11"/>
      <c r="J181" s="11"/>
      <c r="K181" s="5"/>
      <c r="L181" s="11" t="s">
        <v>1367</v>
      </c>
      <c r="M181" s="11" t="s">
        <v>244</v>
      </c>
      <c r="N181" s="5" t="s">
        <v>4882</v>
      </c>
      <c r="O181" s="5" t="s">
        <v>5157</v>
      </c>
      <c r="P181" s="5" t="s">
        <v>5158</v>
      </c>
      <c r="Q181" s="5" t="s">
        <v>5145</v>
      </c>
      <c r="R181" s="5" t="s">
        <v>5159</v>
      </c>
      <c r="S181" s="11" t="s">
        <v>5029</v>
      </c>
      <c r="T181" s="5" t="s">
        <v>5550</v>
      </c>
      <c r="U181" s="88" cm="1">
        <f t="array" ref="U181">ROUND(SUMIF(Movements!$B$5:$B$329,$A181,Movements!$F$5:$F$329)*INDEX($Z$4:$Z$13,MATCH($N181&amp;$Q181,$X$4:$X$13&amp;$Y$4:$Y$13,0))+INDEX($AA$4:$AA$13,MATCH($N181&amp;$Q181,$X$4:$X$13&amp;$Y$4:$Y$13,0)),2)</f>
        <v>65.36</v>
      </c>
      <c r="V181" s="2"/>
    </row>
    <row r="182" spans="1:22">
      <c r="A182" s="11" t="s">
        <v>5551</v>
      </c>
      <c r="B182" s="5" t="s">
        <v>5155</v>
      </c>
      <c r="C182" s="28">
        <v>46105</v>
      </c>
      <c r="D182" s="28">
        <v>46107</v>
      </c>
      <c r="E182" s="5" t="s">
        <v>1266</v>
      </c>
      <c r="F182" s="28"/>
      <c r="G182" s="28"/>
      <c r="H182" s="5" t="s">
        <v>5156</v>
      </c>
      <c r="I182" s="11"/>
      <c r="J182" s="11"/>
      <c r="K182" s="5"/>
      <c r="L182" s="11" t="s">
        <v>1359</v>
      </c>
      <c r="M182" s="11" t="s">
        <v>220</v>
      </c>
      <c r="N182" s="5" t="s">
        <v>4882</v>
      </c>
      <c r="O182" s="5" t="s">
        <v>5157</v>
      </c>
      <c r="P182" s="5" t="s">
        <v>5175</v>
      </c>
      <c r="Q182" s="5" t="s">
        <v>5145</v>
      </c>
      <c r="R182" s="5" t="s">
        <v>5146</v>
      </c>
      <c r="S182" s="11" t="s">
        <v>4905</v>
      </c>
      <c r="T182" s="5" t="s">
        <v>5552</v>
      </c>
      <c r="U182" s="88" cm="1">
        <f t="array" ref="U182">ROUND(SUMIF(Movements!$B$5:$B$329,$A182,Movements!$F$5:$F$329)*INDEX($Z$4:$Z$13,MATCH($N182&amp;$Q182,$X$4:$X$13&amp;$Y$4:$Y$13,0))+INDEX($AA$4:$AA$13,MATCH($N182&amp;$Q182,$X$4:$X$13&amp;$Y$4:$Y$13,0)),2)</f>
        <v>55.24</v>
      </c>
      <c r="V182" s="2"/>
    </row>
    <row r="183" spans="1:22">
      <c r="A183" s="11" t="s">
        <v>5553</v>
      </c>
      <c r="B183" s="5" t="s">
        <v>5142</v>
      </c>
      <c r="C183" s="28">
        <v>46110</v>
      </c>
      <c r="D183" s="28">
        <v>46127</v>
      </c>
      <c r="E183" s="5" t="s">
        <v>5143</v>
      </c>
      <c r="F183" s="28">
        <v>46111</v>
      </c>
      <c r="G183" s="28"/>
      <c r="H183" s="5"/>
      <c r="I183" s="11" t="s">
        <v>1375</v>
      </c>
      <c r="J183" s="11" t="s">
        <v>234</v>
      </c>
      <c r="K183" s="5" t="s">
        <v>1054</v>
      </c>
      <c r="L183" s="11" t="s">
        <v>1297</v>
      </c>
      <c r="M183" s="11"/>
      <c r="N183" s="5" t="s">
        <v>4894</v>
      </c>
      <c r="O183" s="5" t="s">
        <v>5193</v>
      </c>
      <c r="P183" s="5" t="s">
        <v>5144</v>
      </c>
      <c r="Q183" s="5" t="s">
        <v>5151</v>
      </c>
      <c r="R183" s="5" t="s">
        <v>5152</v>
      </c>
      <c r="S183" s="11" t="s">
        <v>4994</v>
      </c>
      <c r="T183" s="5" t="s">
        <v>5554</v>
      </c>
      <c r="U183" s="88" cm="1">
        <f t="array" ref="U183">ROUND(SUMIF(Movements!$B$5:$B$329,$A183,Movements!$F$5:$F$329)*INDEX($Z$4:$Z$13,MATCH($N183&amp;$Q183,$X$4:$X$13&amp;$Y$4:$Y$13,0))+INDEX($AA$4:$AA$13,MATCH($N183&amp;$Q183,$X$4:$X$13&amp;$Y$4:$Y$13,0)),2)</f>
        <v>258.77</v>
      </c>
      <c r="V183" s="2"/>
    </row>
    <row r="184" spans="1:22">
      <c r="A184" s="11" t="s">
        <v>5555</v>
      </c>
      <c r="B184" s="5" t="s">
        <v>5142</v>
      </c>
      <c r="C184" s="28">
        <v>46086</v>
      </c>
      <c r="D184" s="28">
        <v>46101</v>
      </c>
      <c r="E184" s="5" t="s">
        <v>1280</v>
      </c>
      <c r="F184" s="28">
        <v>46088</v>
      </c>
      <c r="G184" s="28">
        <v>46101</v>
      </c>
      <c r="H184" s="5"/>
      <c r="I184" s="11" t="s">
        <v>1359</v>
      </c>
      <c r="J184" s="11" t="s">
        <v>234</v>
      </c>
      <c r="K184" s="5" t="s">
        <v>1057</v>
      </c>
      <c r="L184" s="11"/>
      <c r="M184" s="11"/>
      <c r="N184" s="5" t="s">
        <v>4919</v>
      </c>
      <c r="O184" s="5" t="s">
        <v>1197</v>
      </c>
      <c r="P184" s="5" t="s">
        <v>5175</v>
      </c>
      <c r="Q184" s="5" t="s">
        <v>5145</v>
      </c>
      <c r="R184" s="5" t="s">
        <v>5146</v>
      </c>
      <c r="S184" s="11" t="s">
        <v>5064</v>
      </c>
      <c r="T184" s="5" t="s">
        <v>5556</v>
      </c>
      <c r="U184" s="88" cm="1">
        <f t="array" ref="U184">ROUND(SUMIF(Movements!$B$5:$B$329,$A184,Movements!$F$5:$F$329)*INDEX($Z$4:$Z$13,MATCH($N184&amp;$Q184,$X$4:$X$13&amp;$Y$4:$Y$13,0))+INDEX($AA$4:$AA$13,MATCH($N184&amp;$Q184,$X$4:$X$13&amp;$Y$4:$Y$13,0)),2)</f>
        <v>47.46</v>
      </c>
      <c r="V184" s="2" t="s">
        <v>5557</v>
      </c>
    </row>
    <row r="185" spans="1:22">
      <c r="A185" s="11" t="s">
        <v>5558</v>
      </c>
      <c r="B185" s="5" t="s">
        <v>5174</v>
      </c>
      <c r="C185" s="28">
        <v>46102</v>
      </c>
      <c r="D185" s="28">
        <v>46109</v>
      </c>
      <c r="E185" s="5" t="s">
        <v>1266</v>
      </c>
      <c r="F185" s="28"/>
      <c r="G185" s="28"/>
      <c r="H185" s="5"/>
      <c r="I185" s="11" t="s">
        <v>1367</v>
      </c>
      <c r="J185" s="11"/>
      <c r="K185" s="5"/>
      <c r="L185" s="11" t="s">
        <v>1328</v>
      </c>
      <c r="M185" s="11"/>
      <c r="N185" s="5" t="s">
        <v>4931</v>
      </c>
      <c r="O185" s="5" t="s">
        <v>5149</v>
      </c>
      <c r="P185" s="5" t="s">
        <v>5175</v>
      </c>
      <c r="Q185" s="5" t="s">
        <v>5151</v>
      </c>
      <c r="R185" s="5" t="s">
        <v>5152</v>
      </c>
      <c r="S185" s="11" t="s">
        <v>4937</v>
      </c>
      <c r="T185" s="5" t="s">
        <v>5559</v>
      </c>
      <c r="U185" s="88" cm="1">
        <f t="array" ref="U185">ROUND(SUMIF(Movements!$B$5:$B$329,$A185,Movements!$F$5:$F$329)*INDEX($Z$4:$Z$13,MATCH($N185&amp;$Q185,$X$4:$X$13&amp;$Y$4:$Y$13,0))+INDEX($AA$4:$AA$13,MATCH($N185&amp;$Q185,$X$4:$X$13&amp;$Y$4:$Y$13,0)),2)</f>
        <v>200</v>
      </c>
      <c r="V185" s="2"/>
    </row>
    <row r="186" spans="1:22">
      <c r="A186" s="11" t="s">
        <v>5560</v>
      </c>
      <c r="B186" s="5" t="s">
        <v>5142</v>
      </c>
      <c r="C186" s="28">
        <v>46103</v>
      </c>
      <c r="D186" s="28">
        <v>46110</v>
      </c>
      <c r="E186" s="5" t="s">
        <v>1266</v>
      </c>
      <c r="F186" s="28"/>
      <c r="G186" s="28"/>
      <c r="H186" s="5"/>
      <c r="I186" s="11" t="s">
        <v>1351</v>
      </c>
      <c r="J186" s="11" t="s">
        <v>234</v>
      </c>
      <c r="K186" s="5" t="s">
        <v>1026</v>
      </c>
      <c r="L186" s="11" t="s">
        <v>1297</v>
      </c>
      <c r="M186" s="11"/>
      <c r="N186" s="5" t="s">
        <v>4931</v>
      </c>
      <c r="O186" s="5" t="s">
        <v>5193</v>
      </c>
      <c r="P186" s="5" t="s">
        <v>5158</v>
      </c>
      <c r="Q186" s="5" t="s">
        <v>5151</v>
      </c>
      <c r="R186" s="5" t="s">
        <v>5169</v>
      </c>
      <c r="S186" s="11" t="s">
        <v>4879</v>
      </c>
      <c r="T186" s="5" t="s">
        <v>5561</v>
      </c>
      <c r="U186" s="88" cm="1">
        <f t="array" ref="U186">ROUND(SUMIF(Movements!$B$5:$B$329,$A186,Movements!$F$5:$F$329)*INDEX($Z$4:$Z$13,MATCH($N186&amp;$Q186,$X$4:$X$13&amp;$Y$4:$Y$13,0))+INDEX($AA$4:$AA$13,MATCH($N186&amp;$Q186,$X$4:$X$13&amp;$Y$4:$Y$13,0)),2)</f>
        <v>200</v>
      </c>
      <c r="V186" s="2"/>
    </row>
    <row r="187" spans="1:22">
      <c r="A187" s="11" t="s">
        <v>5562</v>
      </c>
      <c r="B187" s="5" t="s">
        <v>5174</v>
      </c>
      <c r="C187" s="28">
        <v>46096</v>
      </c>
      <c r="D187" s="28">
        <v>46099</v>
      </c>
      <c r="E187" s="5" t="s">
        <v>1280</v>
      </c>
      <c r="F187" s="28">
        <v>46095</v>
      </c>
      <c r="G187" s="28">
        <v>46101</v>
      </c>
      <c r="H187" s="5"/>
      <c r="I187" s="11" t="s">
        <v>1367</v>
      </c>
      <c r="J187" s="11"/>
      <c r="K187" s="5"/>
      <c r="L187" s="11" t="s">
        <v>1343</v>
      </c>
      <c r="M187" s="11"/>
      <c r="N187" s="5" t="s">
        <v>4882</v>
      </c>
      <c r="O187" s="5" t="s">
        <v>5157</v>
      </c>
      <c r="P187" s="5" t="s">
        <v>5175</v>
      </c>
      <c r="Q187" s="5" t="s">
        <v>5145</v>
      </c>
      <c r="R187" s="5" t="s">
        <v>5146</v>
      </c>
      <c r="S187" s="11" t="s">
        <v>4981</v>
      </c>
      <c r="T187" s="5" t="s">
        <v>5563</v>
      </c>
      <c r="U187" s="88" cm="1">
        <f t="array" ref="U187">ROUND(SUMIF(Movements!$B$5:$B$329,$A187,Movements!$F$5:$F$329)*INDEX($Z$4:$Z$13,MATCH($N187&amp;$Q187,$X$4:$X$13&amp;$Y$4:$Y$13,0))+INDEX($AA$4:$AA$13,MATCH($N187&amp;$Q187,$X$4:$X$13&amp;$Y$4:$Y$13,0)),2)</f>
        <v>60.49</v>
      </c>
      <c r="V187" s="2" t="s">
        <v>5564</v>
      </c>
    </row>
    <row r="188" spans="1:22">
      <c r="A188" s="11" t="s">
        <v>5565</v>
      </c>
      <c r="B188" s="5" t="s">
        <v>5142</v>
      </c>
      <c r="C188" s="28">
        <v>46094</v>
      </c>
      <c r="D188" s="28">
        <v>46102</v>
      </c>
      <c r="E188" s="5" t="s">
        <v>1266</v>
      </c>
      <c r="F188" s="28"/>
      <c r="G188" s="28"/>
      <c r="H188" s="5"/>
      <c r="I188" s="11" t="s">
        <v>1351</v>
      </c>
      <c r="J188" s="11" t="s">
        <v>244</v>
      </c>
      <c r="K188" s="5" t="s">
        <v>1013</v>
      </c>
      <c r="L188" s="11"/>
      <c r="M188" s="11"/>
      <c r="N188" s="5" t="s">
        <v>4919</v>
      </c>
      <c r="O188" s="5" t="s">
        <v>1197</v>
      </c>
      <c r="P188" s="5" t="s">
        <v>5175</v>
      </c>
      <c r="Q188" s="5" t="s">
        <v>5145</v>
      </c>
      <c r="R188" s="5" t="s">
        <v>5146</v>
      </c>
      <c r="S188" s="11" t="s">
        <v>4988</v>
      </c>
      <c r="T188" s="5" t="s">
        <v>5566</v>
      </c>
      <c r="U188" s="88" cm="1">
        <f t="array" ref="U188">ROUND(SUMIF(Movements!$B$5:$B$329,$A188,Movements!$F$5:$F$329)*INDEX($Z$4:$Z$13,MATCH($N188&amp;$Q188,$X$4:$X$13&amp;$Y$4:$Y$13,0))+INDEX($AA$4:$AA$13,MATCH($N188&amp;$Q188,$X$4:$X$13&amp;$Y$4:$Y$13,0)),2)</f>
        <v>43.33</v>
      </c>
      <c r="V188" s="2"/>
    </row>
    <row r="189" spans="1:22">
      <c r="A189" s="11" t="s">
        <v>5567</v>
      </c>
      <c r="B189" s="5" t="s">
        <v>5142</v>
      </c>
      <c r="C189" s="28">
        <v>46084</v>
      </c>
      <c r="D189" s="28">
        <v>46090</v>
      </c>
      <c r="E189" s="5" t="s">
        <v>5143</v>
      </c>
      <c r="F189" s="28">
        <v>46086</v>
      </c>
      <c r="G189" s="28"/>
      <c r="H189" s="5"/>
      <c r="I189" s="11" t="s">
        <v>1375</v>
      </c>
      <c r="J189" s="11" t="s">
        <v>244</v>
      </c>
      <c r="K189" s="5" t="s">
        <v>1006</v>
      </c>
      <c r="L189" s="11"/>
      <c r="M189" s="11"/>
      <c r="N189" s="5" t="s">
        <v>4882</v>
      </c>
      <c r="O189" s="5" t="s">
        <v>5157</v>
      </c>
      <c r="P189" s="5" t="s">
        <v>5144</v>
      </c>
      <c r="Q189" s="5" t="s">
        <v>5145</v>
      </c>
      <c r="R189" s="5" t="s">
        <v>5146</v>
      </c>
      <c r="S189" s="11" t="s">
        <v>4974</v>
      </c>
      <c r="T189" s="5" t="s">
        <v>5568</v>
      </c>
      <c r="U189" s="88" cm="1">
        <f t="array" ref="U189">ROUND(SUMIF(Movements!$B$5:$B$329,$A189,Movements!$F$5:$F$329)*INDEX($Z$4:$Z$13,MATCH($N189&amp;$Q189,$X$4:$X$13&amp;$Y$4:$Y$13,0))+INDEX($AA$4:$AA$13,MATCH($N189&amp;$Q189,$X$4:$X$13&amp;$Y$4:$Y$13,0)),2)</f>
        <v>50</v>
      </c>
      <c r="V189" s="2"/>
    </row>
    <row r="190" spans="1:22">
      <c r="A190" s="11" t="s">
        <v>5569</v>
      </c>
      <c r="B190" s="5" t="s">
        <v>5155</v>
      </c>
      <c r="C190" s="28">
        <v>46095</v>
      </c>
      <c r="D190" s="28">
        <v>46096</v>
      </c>
      <c r="E190" s="5" t="s">
        <v>1280</v>
      </c>
      <c r="F190" s="28">
        <v>46094</v>
      </c>
      <c r="G190" s="28">
        <v>46095</v>
      </c>
      <c r="H190" s="5" t="s">
        <v>5156</v>
      </c>
      <c r="I190" s="11"/>
      <c r="J190" s="11"/>
      <c r="K190" s="5"/>
      <c r="L190" s="11" t="s">
        <v>1359</v>
      </c>
      <c r="M190" s="11" t="s">
        <v>220</v>
      </c>
      <c r="N190" s="5" t="s">
        <v>4882</v>
      </c>
      <c r="O190" s="5" t="s">
        <v>5157</v>
      </c>
      <c r="P190" s="5" t="s">
        <v>5175</v>
      </c>
      <c r="Q190" s="5" t="s">
        <v>5145</v>
      </c>
      <c r="R190" s="5" t="s">
        <v>5146</v>
      </c>
      <c r="S190" s="11" t="s">
        <v>4905</v>
      </c>
      <c r="T190" s="5" t="s">
        <v>5570</v>
      </c>
      <c r="U190" s="88" cm="1">
        <f t="array" ref="U190">ROUND(SUMIF(Movements!$B$5:$B$329,$A190,Movements!$F$5:$F$329)*INDEX($Z$4:$Z$13,MATCH($N190&amp;$Q190,$X$4:$X$13&amp;$Y$4:$Y$13,0))+INDEX($AA$4:$AA$13,MATCH($N190&amp;$Q190,$X$4:$X$13&amp;$Y$4:$Y$13,0)),2)</f>
        <v>59.66</v>
      </c>
      <c r="V190" s="2" t="s">
        <v>5571</v>
      </c>
    </row>
    <row r="191" spans="1:22">
      <c r="A191" s="11" t="s">
        <v>5572</v>
      </c>
      <c r="B191" s="5" t="s">
        <v>5174</v>
      </c>
      <c r="C191" s="28">
        <v>46097</v>
      </c>
      <c r="D191" s="28">
        <v>46105</v>
      </c>
      <c r="E191" s="5" t="s">
        <v>5143</v>
      </c>
      <c r="F191" s="28">
        <v>46096</v>
      </c>
      <c r="G191" s="28"/>
      <c r="H191" s="5"/>
      <c r="I191" s="11" t="s">
        <v>1367</v>
      </c>
      <c r="J191" s="11" t="s">
        <v>244</v>
      </c>
      <c r="K191" s="5"/>
      <c r="L191" s="11" t="s">
        <v>1328</v>
      </c>
      <c r="M191" s="11"/>
      <c r="N191" s="5" t="s">
        <v>4907</v>
      </c>
      <c r="O191" s="5" t="s">
        <v>5165</v>
      </c>
      <c r="P191" s="5" t="s">
        <v>5158</v>
      </c>
      <c r="Q191" s="5" t="s">
        <v>5151</v>
      </c>
      <c r="R191" s="5" t="s">
        <v>5169</v>
      </c>
      <c r="S191" s="11" t="s">
        <v>4892</v>
      </c>
      <c r="T191" s="5" t="s">
        <v>5573</v>
      </c>
      <c r="U191" s="88" cm="1">
        <f t="array" ref="U191">ROUND(SUMIF(Movements!$B$5:$B$329,$A191,Movements!$F$5:$F$329)*INDEX($Z$4:$Z$13,MATCH($N191&amp;$Q191,$X$4:$X$13&amp;$Y$4:$Y$13,0))+INDEX($AA$4:$AA$13,MATCH($N191&amp;$Q191,$X$4:$X$13&amp;$Y$4:$Y$13,0)),2)</f>
        <v>350</v>
      </c>
      <c r="V191" s="2"/>
    </row>
    <row r="192" spans="1:22">
      <c r="A192" s="11" t="s">
        <v>5574</v>
      </c>
      <c r="B192" s="5" t="s">
        <v>5142</v>
      </c>
      <c r="C192" s="28">
        <v>46109</v>
      </c>
      <c r="D192" s="28">
        <v>46122</v>
      </c>
      <c r="E192" s="5" t="s">
        <v>1266</v>
      </c>
      <c r="F192" s="28"/>
      <c r="G192" s="28"/>
      <c r="H192" s="5"/>
      <c r="I192" s="11" t="s">
        <v>1375</v>
      </c>
      <c r="J192" s="11" t="s">
        <v>234</v>
      </c>
      <c r="K192" s="5" t="s">
        <v>904</v>
      </c>
      <c r="L192" s="11"/>
      <c r="M192" s="11"/>
      <c r="N192" s="5" t="s">
        <v>4882</v>
      </c>
      <c r="O192" s="5" t="s">
        <v>1197</v>
      </c>
      <c r="P192" s="5" t="s">
        <v>5175</v>
      </c>
      <c r="Q192" s="5" t="s">
        <v>5145</v>
      </c>
      <c r="R192" s="5" t="s">
        <v>5146</v>
      </c>
      <c r="S192" s="11" t="s">
        <v>4999</v>
      </c>
      <c r="T192" s="5" t="s">
        <v>5575</v>
      </c>
      <c r="U192" s="88" cm="1">
        <f t="array" ref="U192">ROUND(SUMIF(Movements!$B$5:$B$329,$A192,Movements!$F$5:$F$329)*INDEX($Z$4:$Z$13,MATCH($N192&amp;$Q192,$X$4:$X$13&amp;$Y$4:$Y$13,0))+INDEX($AA$4:$AA$13,MATCH($N192&amp;$Q192,$X$4:$X$13&amp;$Y$4:$Y$13,0)),2)</f>
        <v>59.68</v>
      </c>
      <c r="V192" s="2"/>
    </row>
    <row r="193" spans="1:22">
      <c r="A193" s="11" t="s">
        <v>5576</v>
      </c>
      <c r="B193" s="5" t="s">
        <v>5142</v>
      </c>
      <c r="C193" s="28">
        <v>46085</v>
      </c>
      <c r="D193" s="28">
        <v>46102</v>
      </c>
      <c r="E193" s="5" t="s">
        <v>1280</v>
      </c>
      <c r="F193" s="28">
        <v>46086</v>
      </c>
      <c r="G193" s="28">
        <v>46103</v>
      </c>
      <c r="H193" s="5"/>
      <c r="I193" s="11" t="s">
        <v>1375</v>
      </c>
      <c r="J193" s="11" t="s">
        <v>244</v>
      </c>
      <c r="K193" s="5" t="s">
        <v>820</v>
      </c>
      <c r="L193" s="11" t="s">
        <v>1399</v>
      </c>
      <c r="M193" s="11"/>
      <c r="N193" s="5" t="s">
        <v>4894</v>
      </c>
      <c r="O193" s="5" t="s">
        <v>5193</v>
      </c>
      <c r="P193" s="5" t="s">
        <v>5158</v>
      </c>
      <c r="Q193" s="5" t="s">
        <v>5151</v>
      </c>
      <c r="R193" s="5" t="s">
        <v>5169</v>
      </c>
      <c r="S193" s="11" t="s">
        <v>5024</v>
      </c>
      <c r="T193" s="5" t="s">
        <v>5577</v>
      </c>
      <c r="U193" s="88" cm="1">
        <f t="array" ref="U193">ROUND(SUMIF(Movements!$B$5:$B$329,$A193,Movements!$F$5:$F$329)*INDEX($Z$4:$Z$13,MATCH($N193&amp;$Q193,$X$4:$X$13&amp;$Y$4:$Y$13,0))+INDEX($AA$4:$AA$13,MATCH($N193&amp;$Q193,$X$4:$X$13&amp;$Y$4:$Y$13,0)),2)</f>
        <v>250</v>
      </c>
      <c r="V193" s="2" t="s">
        <v>5578</v>
      </c>
    </row>
    <row r="194" spans="1:22">
      <c r="A194" s="11" t="s">
        <v>5579</v>
      </c>
      <c r="B194" s="5" t="s">
        <v>5155</v>
      </c>
      <c r="C194" s="28">
        <v>46096</v>
      </c>
      <c r="D194" s="28">
        <v>46103</v>
      </c>
      <c r="E194" s="5" t="s">
        <v>1266</v>
      </c>
      <c r="F194" s="28"/>
      <c r="G194" s="28"/>
      <c r="H194" s="5" t="s">
        <v>5156</v>
      </c>
      <c r="I194" s="11"/>
      <c r="J194" s="11"/>
      <c r="K194" s="5"/>
      <c r="L194" s="11" t="s">
        <v>1375</v>
      </c>
      <c r="M194" s="11" t="s">
        <v>234</v>
      </c>
      <c r="N194" s="5" t="s">
        <v>4931</v>
      </c>
      <c r="O194" s="5" t="s">
        <v>5157</v>
      </c>
      <c r="P194" s="5" t="s">
        <v>5175</v>
      </c>
      <c r="Q194" s="5" t="s">
        <v>5145</v>
      </c>
      <c r="R194" s="5" t="s">
        <v>5146</v>
      </c>
      <c r="S194" s="11" t="s">
        <v>4967</v>
      </c>
      <c r="T194" s="5" t="s">
        <v>5580</v>
      </c>
      <c r="U194" s="88" cm="1">
        <f t="array" ref="U194">ROUND(SUMIF(Movements!$B$5:$B$329,$A194,Movements!$F$5:$F$329)*INDEX($Z$4:$Z$13,MATCH($N194&amp;$Q194,$X$4:$X$13&amp;$Y$4:$Y$13,0))+INDEX($AA$4:$AA$13,MATCH($N194&amp;$Q194,$X$4:$X$13&amp;$Y$4:$Y$13,0)),2)</f>
        <v>80</v>
      </c>
      <c r="V194" s="2"/>
    </row>
    <row r="195" spans="1:22">
      <c r="A195" s="11" t="s">
        <v>5581</v>
      </c>
      <c r="B195" s="5" t="s">
        <v>5142</v>
      </c>
      <c r="C195" s="28">
        <v>46109</v>
      </c>
      <c r="D195" s="28">
        <v>46110</v>
      </c>
      <c r="E195" s="5" t="s">
        <v>1266</v>
      </c>
      <c r="F195" s="28"/>
      <c r="G195" s="28"/>
      <c r="H195" s="5"/>
      <c r="I195" s="11" t="s">
        <v>1375</v>
      </c>
      <c r="J195" s="11" t="s">
        <v>244</v>
      </c>
      <c r="K195" s="5" t="s">
        <v>932</v>
      </c>
      <c r="L195" s="11" t="s">
        <v>1328</v>
      </c>
      <c r="M195" s="11"/>
      <c r="N195" s="5" t="s">
        <v>4894</v>
      </c>
      <c r="O195" s="5" t="s">
        <v>5165</v>
      </c>
      <c r="P195" s="5" t="s">
        <v>5337</v>
      </c>
      <c r="Q195" s="5" t="s">
        <v>5151</v>
      </c>
      <c r="R195" s="5" t="s">
        <v>5152</v>
      </c>
      <c r="S195" s="11" t="s">
        <v>4974</v>
      </c>
      <c r="T195" s="5" t="s">
        <v>5582</v>
      </c>
      <c r="U195" s="88" cm="1">
        <f t="array" ref="U195">ROUND(SUMIF(Movements!$B$5:$B$329,$A195,Movements!$F$5:$F$329)*INDEX($Z$4:$Z$13,MATCH($N195&amp;$Q195,$X$4:$X$13&amp;$Y$4:$Y$13,0))+INDEX($AA$4:$AA$13,MATCH($N195&amp;$Q195,$X$4:$X$13&amp;$Y$4:$Y$13,0)),2)</f>
        <v>256.91000000000003</v>
      </c>
      <c r="V195" s="2"/>
    </row>
    <row r="196" spans="1:22">
      <c r="A196" s="11" t="s">
        <v>5583</v>
      </c>
      <c r="B196" s="5" t="s">
        <v>5155</v>
      </c>
      <c r="C196" s="28">
        <v>46087</v>
      </c>
      <c r="D196" s="28">
        <v>46092</v>
      </c>
      <c r="E196" s="5" t="s">
        <v>5143</v>
      </c>
      <c r="F196" s="28">
        <v>46089</v>
      </c>
      <c r="G196" s="28"/>
      <c r="H196" s="5" t="s">
        <v>5196</v>
      </c>
      <c r="I196" s="11"/>
      <c r="J196" s="11"/>
      <c r="K196" s="5"/>
      <c r="L196" s="11" t="s">
        <v>1351</v>
      </c>
      <c r="M196" s="11" t="s">
        <v>244</v>
      </c>
      <c r="N196" s="5" t="s">
        <v>4894</v>
      </c>
      <c r="O196" s="5" t="s">
        <v>5149</v>
      </c>
      <c r="P196" s="5" t="s">
        <v>5175</v>
      </c>
      <c r="Q196" s="5" t="s">
        <v>5151</v>
      </c>
      <c r="R196" s="5" t="s">
        <v>5152</v>
      </c>
      <c r="S196" s="11" t="s">
        <v>5089</v>
      </c>
      <c r="T196" s="5" t="s">
        <v>5584</v>
      </c>
      <c r="U196" s="88" cm="1">
        <f t="array" ref="U196">ROUND(SUMIF(Movements!$B$5:$B$329,$A196,Movements!$F$5:$F$329)*INDEX($Z$4:$Z$13,MATCH($N196&amp;$Q196,$X$4:$X$13&amp;$Y$4:$Y$13,0))+INDEX($AA$4:$AA$13,MATCH($N196&amp;$Q196,$X$4:$X$13&amp;$Y$4:$Y$13,0)),2)</f>
        <v>257.55</v>
      </c>
      <c r="V196" s="2"/>
    </row>
    <row r="197" spans="1:22">
      <c r="A197" s="11" t="s">
        <v>5585</v>
      </c>
      <c r="B197" s="5" t="s">
        <v>5142</v>
      </c>
      <c r="C197" s="28">
        <v>46090</v>
      </c>
      <c r="D197" s="28">
        <v>46100</v>
      </c>
      <c r="E197" s="5" t="s">
        <v>1280</v>
      </c>
      <c r="F197" s="28">
        <v>46089</v>
      </c>
      <c r="G197" s="28">
        <v>46099</v>
      </c>
      <c r="H197" s="5"/>
      <c r="I197" s="11" t="s">
        <v>1375</v>
      </c>
      <c r="J197" s="11" t="s">
        <v>244</v>
      </c>
      <c r="K197" s="5" t="s">
        <v>879</v>
      </c>
      <c r="L197" s="11"/>
      <c r="M197" s="11"/>
      <c r="N197" s="5" t="s">
        <v>4919</v>
      </c>
      <c r="O197" s="5" t="s">
        <v>1197</v>
      </c>
      <c r="P197" s="5" t="s">
        <v>5175</v>
      </c>
      <c r="Q197" s="5" t="s">
        <v>5145</v>
      </c>
      <c r="R197" s="5" t="s">
        <v>5146</v>
      </c>
      <c r="S197" s="11" t="s">
        <v>5024</v>
      </c>
      <c r="T197" s="5" t="s">
        <v>5586</v>
      </c>
      <c r="U197" s="88" cm="1">
        <f t="array" ref="U197">ROUND(SUMIF(Movements!$B$5:$B$329,$A197,Movements!$F$5:$F$329)*INDEX($Z$4:$Z$13,MATCH($N197&amp;$Q197,$X$4:$X$13&amp;$Y$4:$Y$13,0))+INDEX($AA$4:$AA$13,MATCH($N197&amp;$Q197,$X$4:$X$13&amp;$Y$4:$Y$13,0)),2)</f>
        <v>54.49</v>
      </c>
      <c r="V197" s="2" t="s">
        <v>5587</v>
      </c>
    </row>
    <row r="198" spans="1:22">
      <c r="A198" s="11" t="s">
        <v>5588</v>
      </c>
      <c r="B198" s="5" t="s">
        <v>5155</v>
      </c>
      <c r="C198" s="28">
        <v>46088</v>
      </c>
      <c r="D198" s="28">
        <v>46096</v>
      </c>
      <c r="E198" s="5" t="s">
        <v>1280</v>
      </c>
      <c r="F198" s="28">
        <v>46087</v>
      </c>
      <c r="G198" s="28">
        <v>46095</v>
      </c>
      <c r="H198" s="5" t="s">
        <v>5156</v>
      </c>
      <c r="I198" s="11"/>
      <c r="J198" s="11"/>
      <c r="K198" s="5"/>
      <c r="L198" s="11" t="s">
        <v>1375</v>
      </c>
      <c r="M198" s="11" t="s">
        <v>220</v>
      </c>
      <c r="N198" s="5" t="s">
        <v>4931</v>
      </c>
      <c r="O198" s="5" t="s">
        <v>5157</v>
      </c>
      <c r="P198" s="5" t="s">
        <v>5158</v>
      </c>
      <c r="Q198" s="5" t="s">
        <v>5145</v>
      </c>
      <c r="R198" s="5" t="s">
        <v>5159</v>
      </c>
      <c r="S198" s="11" t="s">
        <v>4937</v>
      </c>
      <c r="T198" s="5" t="s">
        <v>5589</v>
      </c>
      <c r="U198" s="88" cm="1">
        <f t="array" ref="U198">ROUND(SUMIF(Movements!$B$5:$B$329,$A198,Movements!$F$5:$F$329)*INDEX($Z$4:$Z$13,MATCH($N198&amp;$Q198,$X$4:$X$13&amp;$Y$4:$Y$13,0))+INDEX($AA$4:$AA$13,MATCH($N198&amp;$Q198,$X$4:$X$13&amp;$Y$4:$Y$13,0)),2)</f>
        <v>87.17</v>
      </c>
      <c r="V198" s="2" t="s">
        <v>5590</v>
      </c>
    </row>
    <row r="199" spans="1:22">
      <c r="A199" s="11" t="s">
        <v>5591</v>
      </c>
      <c r="B199" s="5" t="s">
        <v>5142</v>
      </c>
      <c r="C199" s="28">
        <v>46106</v>
      </c>
      <c r="D199" s="28">
        <v>46114</v>
      </c>
      <c r="E199" s="5" t="s">
        <v>5143</v>
      </c>
      <c r="F199" s="28">
        <v>46106</v>
      </c>
      <c r="G199" s="28"/>
      <c r="H199" s="5"/>
      <c r="I199" s="11" t="s">
        <v>1375</v>
      </c>
      <c r="J199" s="11" t="s">
        <v>234</v>
      </c>
      <c r="K199" s="5" t="s">
        <v>911</v>
      </c>
      <c r="L199" s="11" t="s">
        <v>1399</v>
      </c>
      <c r="M199" s="11"/>
      <c r="N199" s="5" t="s">
        <v>4894</v>
      </c>
      <c r="O199" s="5" t="s">
        <v>5165</v>
      </c>
      <c r="P199" s="5" t="s">
        <v>5175</v>
      </c>
      <c r="Q199" s="5" t="s">
        <v>5151</v>
      </c>
      <c r="R199" s="5" t="s">
        <v>5152</v>
      </c>
      <c r="S199" s="11" t="s">
        <v>4952</v>
      </c>
      <c r="T199" s="5" t="s">
        <v>5592</v>
      </c>
      <c r="U199" s="88" cm="1">
        <f t="array" ref="U199">ROUND(SUMIF(Movements!$B$5:$B$329,$A199,Movements!$F$5:$F$329)*INDEX($Z$4:$Z$13,MATCH($N199&amp;$Q199,$X$4:$X$13&amp;$Y$4:$Y$13,0))+INDEX($AA$4:$AA$13,MATCH($N199&amp;$Q199,$X$4:$X$13&amp;$Y$4:$Y$13,0)),2)</f>
        <v>258.73</v>
      </c>
      <c r="V199" s="2"/>
    </row>
    <row r="200" spans="1:22">
      <c r="A200" s="11" t="s">
        <v>5593</v>
      </c>
      <c r="B200" s="5" t="s">
        <v>5155</v>
      </c>
      <c r="C200" s="28">
        <v>46093</v>
      </c>
      <c r="D200" s="28">
        <v>46094</v>
      </c>
      <c r="E200" s="5" t="s">
        <v>1280</v>
      </c>
      <c r="F200" s="28">
        <v>46092</v>
      </c>
      <c r="G200" s="28">
        <v>46092</v>
      </c>
      <c r="H200" s="5" t="s">
        <v>5156</v>
      </c>
      <c r="I200" s="11"/>
      <c r="J200" s="11"/>
      <c r="K200" s="5"/>
      <c r="L200" s="11" t="s">
        <v>1359</v>
      </c>
      <c r="M200" s="11" t="s">
        <v>244</v>
      </c>
      <c r="N200" s="5" t="s">
        <v>4882</v>
      </c>
      <c r="O200" s="5" t="s">
        <v>5157</v>
      </c>
      <c r="P200" s="5" t="s">
        <v>5175</v>
      </c>
      <c r="Q200" s="5" t="s">
        <v>5145</v>
      </c>
      <c r="R200" s="5" t="s">
        <v>5146</v>
      </c>
      <c r="S200" s="11" t="s">
        <v>4974</v>
      </c>
      <c r="T200" s="5" t="s">
        <v>5594</v>
      </c>
      <c r="U200" s="88" cm="1">
        <f t="array" ref="U200">ROUND(SUMIF(Movements!$B$5:$B$329,$A200,Movements!$F$5:$F$329)*INDEX($Z$4:$Z$13,MATCH($N200&amp;$Q200,$X$4:$X$13&amp;$Y$4:$Y$13,0))+INDEX($AA$4:$AA$13,MATCH($N200&amp;$Q200,$X$4:$X$13&amp;$Y$4:$Y$13,0)),2)</f>
        <v>66.27</v>
      </c>
      <c r="V200" s="2" t="s">
        <v>5595</v>
      </c>
    </row>
    <row r="201" spans="1:22">
      <c r="A201" s="11" t="s">
        <v>5596</v>
      </c>
      <c r="B201" s="5" t="s">
        <v>5142</v>
      </c>
      <c r="C201" s="28">
        <v>46091</v>
      </c>
      <c r="D201" s="28">
        <v>46094</v>
      </c>
      <c r="E201" s="5" t="s">
        <v>5143</v>
      </c>
      <c r="F201" s="28">
        <v>46091</v>
      </c>
      <c r="G201" s="28"/>
      <c r="H201" s="5"/>
      <c r="I201" s="11" t="s">
        <v>1359</v>
      </c>
      <c r="J201" s="11" t="s">
        <v>234</v>
      </c>
      <c r="K201" s="5" t="s">
        <v>943</v>
      </c>
      <c r="L201" s="11" t="s">
        <v>1297</v>
      </c>
      <c r="M201" s="11"/>
      <c r="N201" s="5" t="s">
        <v>4894</v>
      </c>
      <c r="O201" s="5" t="s">
        <v>5165</v>
      </c>
      <c r="P201" s="5" t="s">
        <v>5175</v>
      </c>
      <c r="Q201" s="5" t="s">
        <v>5151</v>
      </c>
      <c r="R201" s="5" t="s">
        <v>5152</v>
      </c>
      <c r="S201" s="11" t="s">
        <v>5034</v>
      </c>
      <c r="T201" s="5" t="s">
        <v>5597</v>
      </c>
      <c r="U201" s="88" cm="1">
        <f t="array" ref="U201">ROUND(SUMIF(Movements!$B$5:$B$329,$A201,Movements!$F$5:$F$329)*INDEX($Z$4:$Z$13,MATCH($N201&amp;$Q201,$X$4:$X$13&amp;$Y$4:$Y$13,0))+INDEX($AA$4:$AA$13,MATCH($N201&amp;$Q201,$X$4:$X$13&amp;$Y$4:$Y$13,0)),2)</f>
        <v>250</v>
      </c>
      <c r="V201" s="2"/>
    </row>
    <row r="202" spans="1:22">
      <c r="A202" s="11" t="s">
        <v>5598</v>
      </c>
      <c r="B202" s="5" t="s">
        <v>5142</v>
      </c>
      <c r="C202" s="28">
        <v>46084</v>
      </c>
      <c r="D202" s="28">
        <v>46097</v>
      </c>
      <c r="E202" s="5" t="s">
        <v>1280</v>
      </c>
      <c r="F202" s="28">
        <v>46083</v>
      </c>
      <c r="G202" s="28">
        <v>46096</v>
      </c>
      <c r="H202" s="5"/>
      <c r="I202" s="11" t="s">
        <v>1375</v>
      </c>
      <c r="J202" s="11" t="s">
        <v>244</v>
      </c>
      <c r="K202" s="5" t="s">
        <v>1066</v>
      </c>
      <c r="L202" s="11"/>
      <c r="M202" s="11"/>
      <c r="N202" s="5" t="s">
        <v>4882</v>
      </c>
      <c r="O202" s="5" t="s">
        <v>5157</v>
      </c>
      <c r="P202" s="5" t="s">
        <v>5175</v>
      </c>
      <c r="Q202" s="5" t="s">
        <v>5145</v>
      </c>
      <c r="R202" s="5" t="s">
        <v>5146</v>
      </c>
      <c r="S202" s="11" t="s">
        <v>4981</v>
      </c>
      <c r="T202" s="5" t="s">
        <v>5599</v>
      </c>
      <c r="U202" s="88" cm="1">
        <f t="array" ref="U202">ROUND(SUMIF(Movements!$B$5:$B$329,$A202,Movements!$F$5:$F$329)*INDEX($Z$4:$Z$13,MATCH($N202&amp;$Q202,$X$4:$X$13&amp;$Y$4:$Y$13,0))+INDEX($AA$4:$AA$13,MATCH($N202&amp;$Q202,$X$4:$X$13&amp;$Y$4:$Y$13,0)),2)</f>
        <v>59.51</v>
      </c>
      <c r="V202" s="2" t="s">
        <v>5600</v>
      </c>
    </row>
    <row r="203" spans="1:22">
      <c r="A203" s="11" t="s">
        <v>5601</v>
      </c>
      <c r="B203" s="5" t="s">
        <v>5155</v>
      </c>
      <c r="C203" s="28">
        <v>46093</v>
      </c>
      <c r="D203" s="28">
        <v>46096</v>
      </c>
      <c r="E203" s="5" t="s">
        <v>5143</v>
      </c>
      <c r="F203" s="28">
        <v>46094</v>
      </c>
      <c r="G203" s="28"/>
      <c r="H203" s="5" t="s">
        <v>5156</v>
      </c>
      <c r="I203" s="11"/>
      <c r="J203" s="11"/>
      <c r="K203" s="5"/>
      <c r="L203" s="11" t="s">
        <v>1351</v>
      </c>
      <c r="M203" s="11" t="s">
        <v>234</v>
      </c>
      <c r="N203" s="5" t="s">
        <v>4882</v>
      </c>
      <c r="O203" s="5" t="s">
        <v>5157</v>
      </c>
      <c r="P203" s="5" t="s">
        <v>5175</v>
      </c>
      <c r="Q203" s="5" t="s">
        <v>5145</v>
      </c>
      <c r="R203" s="5" t="s">
        <v>5146</v>
      </c>
      <c r="S203" s="11" t="s">
        <v>4981</v>
      </c>
      <c r="T203" s="5" t="s">
        <v>5602</v>
      </c>
      <c r="U203" s="88" cm="1">
        <f t="array" ref="U203">ROUND(SUMIF(Movements!$B$5:$B$329,$A203,Movements!$F$5:$F$329)*INDEX($Z$4:$Z$13,MATCH($N203&amp;$Q203,$X$4:$X$13&amp;$Y$4:$Y$13,0))+INDEX($AA$4:$AA$13,MATCH($N203&amp;$Q203,$X$4:$X$13&amp;$Y$4:$Y$13,0)),2)</f>
        <v>65.650000000000006</v>
      </c>
      <c r="V203" s="2"/>
    </row>
    <row r="204" spans="1:22">
      <c r="A204" s="11" t="s">
        <v>5603</v>
      </c>
      <c r="B204" s="5" t="s">
        <v>5142</v>
      </c>
      <c r="C204" s="28">
        <v>46102</v>
      </c>
      <c r="D204" s="28">
        <v>46109</v>
      </c>
      <c r="E204" s="5" t="s">
        <v>1266</v>
      </c>
      <c r="F204" s="28"/>
      <c r="G204" s="28"/>
      <c r="H204" s="5"/>
      <c r="I204" s="11" t="s">
        <v>1375</v>
      </c>
      <c r="J204" s="11" t="s">
        <v>234</v>
      </c>
      <c r="K204" s="5" t="s">
        <v>919</v>
      </c>
      <c r="L204" s="11"/>
      <c r="M204" s="11"/>
      <c r="N204" s="5" t="s">
        <v>4919</v>
      </c>
      <c r="O204" s="5" t="s">
        <v>1197</v>
      </c>
      <c r="P204" s="5" t="s">
        <v>5158</v>
      </c>
      <c r="Q204" s="5" t="s">
        <v>5145</v>
      </c>
      <c r="R204" s="5" t="s">
        <v>5159</v>
      </c>
      <c r="S204" s="11" t="s">
        <v>5089</v>
      </c>
      <c r="T204" s="5" t="s">
        <v>5604</v>
      </c>
      <c r="U204" s="88" cm="1">
        <f t="array" ref="U204">ROUND(SUMIF(Movements!$B$5:$B$329,$A204,Movements!$F$5:$F$329)*INDEX($Z$4:$Z$13,MATCH($N204&amp;$Q204,$X$4:$X$13&amp;$Y$4:$Y$13,0))+INDEX($AA$4:$AA$13,MATCH($N204&amp;$Q204,$X$4:$X$13&amp;$Y$4:$Y$13,0)),2)</f>
        <v>43.73</v>
      </c>
      <c r="V204" s="2"/>
    </row>
    <row r="205" spans="1:22">
      <c r="A205" s="11" t="s">
        <v>5605</v>
      </c>
      <c r="B205" s="5" t="s">
        <v>5155</v>
      </c>
      <c r="C205" s="28">
        <v>46082</v>
      </c>
      <c r="D205" s="28">
        <v>46089</v>
      </c>
      <c r="E205" s="5" t="s">
        <v>1280</v>
      </c>
      <c r="F205" s="28">
        <v>46082</v>
      </c>
      <c r="G205" s="28">
        <v>46090</v>
      </c>
      <c r="H205" s="5" t="s">
        <v>5156</v>
      </c>
      <c r="I205" s="11"/>
      <c r="J205" s="11"/>
      <c r="K205" s="5"/>
      <c r="L205" s="11" t="s">
        <v>1367</v>
      </c>
      <c r="M205" s="11" t="s">
        <v>220</v>
      </c>
      <c r="N205" s="5" t="s">
        <v>4882</v>
      </c>
      <c r="O205" s="5" t="s">
        <v>5157</v>
      </c>
      <c r="P205" s="5" t="s">
        <v>5175</v>
      </c>
      <c r="Q205" s="5" t="s">
        <v>5145</v>
      </c>
      <c r="R205" s="5" t="s">
        <v>5146</v>
      </c>
      <c r="S205" s="11" t="s">
        <v>4928</v>
      </c>
      <c r="T205" s="5" t="s">
        <v>5606</v>
      </c>
      <c r="U205" s="88" cm="1">
        <f t="array" ref="U205">ROUND(SUMIF(Movements!$B$5:$B$329,$A205,Movements!$F$5:$F$329)*INDEX($Z$4:$Z$13,MATCH($N205&amp;$Q205,$X$4:$X$13&amp;$Y$4:$Y$13,0))+INDEX($AA$4:$AA$13,MATCH($N205&amp;$Q205,$X$4:$X$13&amp;$Y$4:$Y$13,0)),2)</f>
        <v>60.24</v>
      </c>
      <c r="V205" s="2" t="s">
        <v>5607</v>
      </c>
    </row>
    <row r="206" spans="1:22">
      <c r="A206" s="11" t="s">
        <v>5608</v>
      </c>
      <c r="B206" s="5" t="s">
        <v>5142</v>
      </c>
      <c r="C206" s="28">
        <v>46103</v>
      </c>
      <c r="D206" s="28">
        <v>46111</v>
      </c>
      <c r="E206" s="5" t="s">
        <v>1266</v>
      </c>
      <c r="F206" s="28"/>
      <c r="G206" s="28"/>
      <c r="H206" s="5"/>
      <c r="I206" s="11" t="s">
        <v>1375</v>
      </c>
      <c r="J206" s="11" t="s">
        <v>234</v>
      </c>
      <c r="K206" s="5" t="s">
        <v>1048</v>
      </c>
      <c r="L206" s="11" t="s">
        <v>1297</v>
      </c>
      <c r="M206" s="11"/>
      <c r="N206" s="5" t="s">
        <v>4894</v>
      </c>
      <c r="O206" s="5" t="s">
        <v>5149</v>
      </c>
      <c r="P206" s="5" t="s">
        <v>5144</v>
      </c>
      <c r="Q206" s="5" t="s">
        <v>5151</v>
      </c>
      <c r="R206" s="5" t="s">
        <v>5152</v>
      </c>
      <c r="S206" s="11" t="s">
        <v>4999</v>
      </c>
      <c r="T206" s="5" t="s">
        <v>5609</v>
      </c>
      <c r="U206" s="88" cm="1">
        <f t="array" ref="U206">ROUND(SUMIF(Movements!$B$5:$B$329,$A206,Movements!$F$5:$F$329)*INDEX($Z$4:$Z$13,MATCH($N206&amp;$Q206,$X$4:$X$13&amp;$Y$4:$Y$13,0))+INDEX($AA$4:$AA$13,MATCH($N206&amp;$Q206,$X$4:$X$13&amp;$Y$4:$Y$13,0)),2)</f>
        <v>257.08999999999997</v>
      </c>
      <c r="V206" s="2"/>
    </row>
    <row r="207" spans="1:22">
      <c r="A207" s="11" t="s">
        <v>5610</v>
      </c>
      <c r="B207" s="5" t="s">
        <v>5155</v>
      </c>
      <c r="C207" s="28">
        <v>46088</v>
      </c>
      <c r="D207" s="28">
        <v>46094</v>
      </c>
      <c r="E207" s="5" t="s">
        <v>5143</v>
      </c>
      <c r="F207" s="28">
        <v>46087</v>
      </c>
      <c r="G207" s="28"/>
      <c r="H207" s="5" t="s">
        <v>5196</v>
      </c>
      <c r="I207" s="11"/>
      <c r="J207" s="11"/>
      <c r="K207" s="5"/>
      <c r="L207" s="11" t="s">
        <v>1375</v>
      </c>
      <c r="M207" s="11" t="s">
        <v>234</v>
      </c>
      <c r="N207" s="5" t="s">
        <v>4931</v>
      </c>
      <c r="O207" s="5" t="s">
        <v>5157</v>
      </c>
      <c r="P207" s="5" t="s">
        <v>5281</v>
      </c>
      <c r="Q207" s="5" t="s">
        <v>5151</v>
      </c>
      <c r="R207" s="5" t="s">
        <v>5169</v>
      </c>
      <c r="S207" s="11" t="s">
        <v>5029</v>
      </c>
      <c r="T207" s="5" t="s">
        <v>5611</v>
      </c>
      <c r="U207" s="88" cm="1">
        <f t="array" ref="U207">ROUND(SUMIF(Movements!$B$5:$B$329,$A207,Movements!$F$5:$F$329)*INDEX($Z$4:$Z$13,MATCH($N207&amp;$Q207,$X$4:$X$13&amp;$Y$4:$Y$13,0))+INDEX($AA$4:$AA$13,MATCH($N207&amp;$Q207,$X$4:$X$13&amp;$Y$4:$Y$13,0)),2)</f>
        <v>221.14</v>
      </c>
      <c r="V207" s="2"/>
    </row>
    <row r="208" spans="1:22">
      <c r="A208" s="11" t="s">
        <v>5612</v>
      </c>
      <c r="B208" s="5" t="s">
        <v>5142</v>
      </c>
      <c r="C208" s="28">
        <v>46084</v>
      </c>
      <c r="D208" s="28">
        <v>46095</v>
      </c>
      <c r="E208" s="5" t="s">
        <v>1280</v>
      </c>
      <c r="F208" s="28">
        <v>46084</v>
      </c>
      <c r="G208" s="28">
        <v>46097</v>
      </c>
      <c r="H208" s="5"/>
      <c r="I208" s="11" t="s">
        <v>1343</v>
      </c>
      <c r="J208" s="11" t="s">
        <v>244</v>
      </c>
      <c r="K208" s="5" t="s">
        <v>1088</v>
      </c>
      <c r="L208" s="11"/>
      <c r="M208" s="11"/>
      <c r="N208" s="5" t="s">
        <v>4882</v>
      </c>
      <c r="O208" s="5" t="s">
        <v>1197</v>
      </c>
      <c r="P208" s="5" t="s">
        <v>5175</v>
      </c>
      <c r="Q208" s="5" t="s">
        <v>5145</v>
      </c>
      <c r="R208" s="5" t="s">
        <v>5146</v>
      </c>
      <c r="S208" s="11" t="s">
        <v>4944</v>
      </c>
      <c r="T208" s="5" t="s">
        <v>5613</v>
      </c>
      <c r="U208" s="88" cm="1">
        <f t="array" ref="U208">ROUND(SUMIF(Movements!$B$5:$B$329,$A208,Movements!$F$5:$F$329)*INDEX($Z$4:$Z$13,MATCH($N208&amp;$Q208,$X$4:$X$13&amp;$Y$4:$Y$13,0))+INDEX($AA$4:$AA$13,MATCH($N208&amp;$Q208,$X$4:$X$13&amp;$Y$4:$Y$13,0)),2)</f>
        <v>78.17</v>
      </c>
      <c r="V208" s="2" t="s">
        <v>5614</v>
      </c>
    </row>
    <row r="209" spans="1:22">
      <c r="A209" s="11" t="s">
        <v>5615</v>
      </c>
      <c r="B209" s="5" t="s">
        <v>5142</v>
      </c>
      <c r="C209" s="28">
        <v>46101</v>
      </c>
      <c r="D209" s="28">
        <v>46102</v>
      </c>
      <c r="E209" s="5" t="s">
        <v>1280</v>
      </c>
      <c r="F209" s="28">
        <v>46102</v>
      </c>
      <c r="G209" s="28">
        <v>46103</v>
      </c>
      <c r="H209" s="5"/>
      <c r="I209" s="11" t="s">
        <v>1375</v>
      </c>
      <c r="J209" s="11" t="s">
        <v>234</v>
      </c>
      <c r="K209" s="5" t="s">
        <v>1016</v>
      </c>
      <c r="L209" s="11" t="s">
        <v>1297</v>
      </c>
      <c r="M209" s="11"/>
      <c r="N209" s="5" t="s">
        <v>4894</v>
      </c>
      <c r="O209" s="5" t="s">
        <v>5304</v>
      </c>
      <c r="P209" s="5" t="s">
        <v>5281</v>
      </c>
      <c r="Q209" s="5" t="s">
        <v>5151</v>
      </c>
      <c r="R209" s="5" t="s">
        <v>5322</v>
      </c>
      <c r="S209" s="11" t="s">
        <v>4988</v>
      </c>
      <c r="T209" s="5" t="s">
        <v>5616</v>
      </c>
      <c r="U209" s="88" cm="1">
        <f t="array" ref="U209">ROUND(SUMIF(Movements!$B$5:$B$329,$A209,Movements!$F$5:$F$329)*INDEX($Z$4:$Z$13,MATCH($N209&amp;$Q209,$X$4:$X$13&amp;$Y$4:$Y$13,0))+INDEX($AA$4:$AA$13,MATCH($N209&amp;$Q209,$X$4:$X$13&amp;$Y$4:$Y$13,0)),2)</f>
        <v>264.89</v>
      </c>
      <c r="V209" s="2" t="s">
        <v>5617</v>
      </c>
    </row>
    <row r="210" spans="1:22">
      <c r="A210" s="11" t="s">
        <v>5618</v>
      </c>
      <c r="B210" s="5" t="s">
        <v>5142</v>
      </c>
      <c r="C210" s="28">
        <v>46106</v>
      </c>
      <c r="D210" s="28">
        <v>46112</v>
      </c>
      <c r="E210" s="5" t="s">
        <v>5143</v>
      </c>
      <c r="F210" s="28">
        <v>46108</v>
      </c>
      <c r="G210" s="28"/>
      <c r="H210" s="5"/>
      <c r="I210" s="11" t="s">
        <v>1375</v>
      </c>
      <c r="J210" s="11" t="s">
        <v>234</v>
      </c>
      <c r="K210" s="5" t="s">
        <v>939</v>
      </c>
      <c r="L210" s="11"/>
      <c r="M210" s="11"/>
      <c r="N210" s="5" t="s">
        <v>4882</v>
      </c>
      <c r="O210" s="5" t="s">
        <v>5157</v>
      </c>
      <c r="P210" s="5" t="s">
        <v>5175</v>
      </c>
      <c r="Q210" s="5" t="s">
        <v>5145</v>
      </c>
      <c r="R210" s="5" t="s">
        <v>5146</v>
      </c>
      <c r="S210" s="11" t="s">
        <v>5073</v>
      </c>
      <c r="T210" s="5" t="s">
        <v>5619</v>
      </c>
      <c r="U210" s="88" cm="1">
        <f t="array" ref="U210">ROUND(SUMIF(Movements!$B$5:$B$329,$A210,Movements!$F$5:$F$329)*INDEX($Z$4:$Z$13,MATCH($N210&amp;$Q210,$X$4:$X$13&amp;$Y$4:$Y$13,0))+INDEX($AA$4:$AA$13,MATCH($N210&amp;$Q210,$X$4:$X$13&amp;$Y$4:$Y$13,0)),2)</f>
        <v>61.46</v>
      </c>
      <c r="V210" s="2"/>
    </row>
    <row r="211" spans="1:22">
      <c r="A211" s="11" t="s">
        <v>5620</v>
      </c>
      <c r="B211" s="5" t="s">
        <v>5142</v>
      </c>
      <c r="C211" s="28">
        <v>46107</v>
      </c>
      <c r="D211" s="28">
        <v>46111</v>
      </c>
      <c r="E211" s="5" t="s">
        <v>1266</v>
      </c>
      <c r="F211" s="28"/>
      <c r="G211" s="28"/>
      <c r="H211" s="5"/>
      <c r="I211" s="11" t="s">
        <v>1351</v>
      </c>
      <c r="J211" s="11" t="s">
        <v>234</v>
      </c>
      <c r="K211" s="5" t="s">
        <v>1075</v>
      </c>
      <c r="L211" s="11" t="s">
        <v>1297</v>
      </c>
      <c r="M211" s="11"/>
      <c r="N211" s="5" t="s">
        <v>4894</v>
      </c>
      <c r="O211" s="5" t="s">
        <v>5165</v>
      </c>
      <c r="P211" s="5" t="s">
        <v>5175</v>
      </c>
      <c r="Q211" s="5" t="s">
        <v>5151</v>
      </c>
      <c r="R211" s="5" t="s">
        <v>5152</v>
      </c>
      <c r="S211" s="11" t="s">
        <v>4937</v>
      </c>
      <c r="T211" s="5" t="s">
        <v>5621</v>
      </c>
      <c r="U211" s="88" cm="1">
        <f t="array" ref="U211">ROUND(SUMIF(Movements!$B$5:$B$329,$A211,Movements!$F$5:$F$329)*INDEX($Z$4:$Z$13,MATCH($N211&amp;$Q211,$X$4:$X$13&amp;$Y$4:$Y$13,0))+INDEX($AA$4:$AA$13,MATCH($N211&amp;$Q211,$X$4:$X$13&amp;$Y$4:$Y$13,0)),2)</f>
        <v>257.77999999999997</v>
      </c>
      <c r="V211" s="2"/>
    </row>
    <row r="212" spans="1:22">
      <c r="A212" s="11" t="s">
        <v>5622</v>
      </c>
      <c r="B212" s="5" t="s">
        <v>5142</v>
      </c>
      <c r="C212" s="28">
        <v>46112</v>
      </c>
      <c r="D212" s="28">
        <v>46122</v>
      </c>
      <c r="E212" s="5" t="s">
        <v>5143</v>
      </c>
      <c r="F212" s="28">
        <v>46114</v>
      </c>
      <c r="G212" s="28"/>
      <c r="H212" s="5"/>
      <c r="I212" s="11" t="s">
        <v>1375</v>
      </c>
      <c r="J212" s="11" t="s">
        <v>244</v>
      </c>
      <c r="K212" s="5" t="s">
        <v>853</v>
      </c>
      <c r="L212" s="11"/>
      <c r="M212" s="11"/>
      <c r="N212" s="5" t="s">
        <v>4882</v>
      </c>
      <c r="O212" s="5" t="s">
        <v>1197</v>
      </c>
      <c r="P212" s="5" t="s">
        <v>5175</v>
      </c>
      <c r="Q212" s="5" t="s">
        <v>5145</v>
      </c>
      <c r="R212" s="5" t="s">
        <v>5146</v>
      </c>
      <c r="S212" s="11" t="s">
        <v>4937</v>
      </c>
      <c r="T212" s="5" t="s">
        <v>5623</v>
      </c>
      <c r="U212" s="88" cm="1">
        <f t="array" ref="U212">ROUND(SUMIF(Movements!$B$5:$B$329,$A212,Movements!$F$5:$F$329)*INDEX($Z$4:$Z$13,MATCH($N212&amp;$Q212,$X$4:$X$13&amp;$Y$4:$Y$13,0))+INDEX($AA$4:$AA$13,MATCH($N212&amp;$Q212,$X$4:$X$13&amp;$Y$4:$Y$13,0)),2)</f>
        <v>54.7</v>
      </c>
      <c r="V212" s="2"/>
    </row>
    <row r="213" spans="1:22">
      <c r="A213" s="11" t="s">
        <v>5624</v>
      </c>
      <c r="B213" s="5" t="s">
        <v>5142</v>
      </c>
      <c r="C213" s="28">
        <v>46096</v>
      </c>
      <c r="D213" s="28">
        <v>46107</v>
      </c>
      <c r="E213" s="5" t="s">
        <v>1280</v>
      </c>
      <c r="F213" s="28">
        <v>46096</v>
      </c>
      <c r="G213" s="28">
        <v>46107</v>
      </c>
      <c r="H213" s="5"/>
      <c r="I213" s="11" t="s">
        <v>1367</v>
      </c>
      <c r="J213" s="11" t="s">
        <v>234</v>
      </c>
      <c r="K213" s="5" t="s">
        <v>1023</v>
      </c>
      <c r="L213" s="11" t="s">
        <v>1383</v>
      </c>
      <c r="M213" s="11"/>
      <c r="N213" s="5" t="s">
        <v>4894</v>
      </c>
      <c r="O213" s="5" t="s">
        <v>5193</v>
      </c>
      <c r="P213" s="5" t="s">
        <v>5158</v>
      </c>
      <c r="Q213" s="5" t="s">
        <v>5151</v>
      </c>
      <c r="R213" s="5" t="s">
        <v>5169</v>
      </c>
      <c r="S213" s="11" t="s">
        <v>5089</v>
      </c>
      <c r="T213" s="5" t="s">
        <v>5625</v>
      </c>
      <c r="U213" s="88" cm="1">
        <f t="array" ref="U213">ROUND(SUMIF(Movements!$B$5:$B$329,$A213,Movements!$F$5:$F$329)*INDEX($Z$4:$Z$13,MATCH($N213&amp;$Q213,$X$4:$X$13&amp;$Y$4:$Y$13,0))+INDEX($AA$4:$AA$13,MATCH($N213&amp;$Q213,$X$4:$X$13&amp;$Y$4:$Y$13,0)),2)</f>
        <v>258.11</v>
      </c>
      <c r="V213" s="2"/>
    </row>
    <row r="214" spans="1:22">
      <c r="A214" s="11" t="s">
        <v>5626</v>
      </c>
      <c r="B214" s="5" t="s">
        <v>5174</v>
      </c>
      <c r="C214" s="28">
        <v>46097</v>
      </c>
      <c r="D214" s="28">
        <v>46106</v>
      </c>
      <c r="E214" s="5" t="s">
        <v>1280</v>
      </c>
      <c r="F214" s="28">
        <v>46097</v>
      </c>
      <c r="G214" s="28">
        <v>46104</v>
      </c>
      <c r="H214" s="5"/>
      <c r="I214" s="11" t="s">
        <v>1343</v>
      </c>
      <c r="J214" s="11"/>
      <c r="K214" s="5"/>
      <c r="L214" s="11" t="s">
        <v>1359</v>
      </c>
      <c r="M214" s="11"/>
      <c r="N214" s="5" t="s">
        <v>4919</v>
      </c>
      <c r="O214" s="5" t="s">
        <v>5157</v>
      </c>
      <c r="P214" s="5" t="s">
        <v>5175</v>
      </c>
      <c r="Q214" s="5" t="s">
        <v>5145</v>
      </c>
      <c r="R214" s="5" t="s">
        <v>5146</v>
      </c>
      <c r="S214" s="11" t="s">
        <v>5004</v>
      </c>
      <c r="T214" s="5" t="s">
        <v>5627</v>
      </c>
      <c r="U214" s="88" cm="1">
        <f t="array" ref="U214">ROUND(SUMIF(Movements!$B$5:$B$329,$A214,Movements!$F$5:$F$329)*INDEX($Z$4:$Z$13,MATCH($N214&amp;$Q214,$X$4:$X$13&amp;$Y$4:$Y$13,0))+INDEX($AA$4:$AA$13,MATCH($N214&amp;$Q214,$X$4:$X$13&amp;$Y$4:$Y$13,0)),2)</f>
        <v>43.36</v>
      </c>
      <c r="V214" s="2" t="s">
        <v>5628</v>
      </c>
    </row>
    <row r="215" spans="1:22">
      <c r="A215" s="11" t="s">
        <v>5629</v>
      </c>
      <c r="B215" s="5" t="s">
        <v>5142</v>
      </c>
      <c r="C215" s="28">
        <v>46086</v>
      </c>
      <c r="D215" s="28">
        <v>46089</v>
      </c>
      <c r="E215" s="5" t="s">
        <v>1280</v>
      </c>
      <c r="F215" s="28">
        <v>46088</v>
      </c>
      <c r="G215" s="28">
        <v>46091</v>
      </c>
      <c r="H215" s="5"/>
      <c r="I215" s="11" t="s">
        <v>1375</v>
      </c>
      <c r="J215" s="11" t="s">
        <v>234</v>
      </c>
      <c r="K215" s="5" t="s">
        <v>1099</v>
      </c>
      <c r="L215" s="11"/>
      <c r="M215" s="11"/>
      <c r="N215" s="5" t="s">
        <v>4882</v>
      </c>
      <c r="O215" s="5" t="s">
        <v>1197</v>
      </c>
      <c r="P215" s="5" t="s">
        <v>5175</v>
      </c>
      <c r="Q215" s="5" t="s">
        <v>5145</v>
      </c>
      <c r="R215" s="5" t="s">
        <v>5146</v>
      </c>
      <c r="S215" s="11" t="s">
        <v>5073</v>
      </c>
      <c r="T215" s="5" t="s">
        <v>5630</v>
      </c>
      <c r="U215" s="88" cm="1">
        <f t="array" ref="U215">ROUND(SUMIF(Movements!$B$5:$B$329,$A215,Movements!$F$5:$F$329)*INDEX($Z$4:$Z$13,MATCH($N215&amp;$Q215,$X$4:$X$13&amp;$Y$4:$Y$13,0))+INDEX($AA$4:$AA$13,MATCH($N215&amp;$Q215,$X$4:$X$13&amp;$Y$4:$Y$13,0)),2)</f>
        <v>55.45</v>
      </c>
      <c r="V215" s="2" t="s">
        <v>5631</v>
      </c>
    </row>
    <row r="216" spans="1:22">
      <c r="A216" s="11" t="s">
        <v>5632</v>
      </c>
      <c r="B216" s="5" t="s">
        <v>5155</v>
      </c>
      <c r="C216" s="28">
        <v>46103</v>
      </c>
      <c r="D216" s="28">
        <v>46104</v>
      </c>
      <c r="E216" s="5" t="s">
        <v>5143</v>
      </c>
      <c r="F216" s="28">
        <v>46104</v>
      </c>
      <c r="G216" s="28"/>
      <c r="H216" s="5" t="s">
        <v>5156</v>
      </c>
      <c r="I216" s="11"/>
      <c r="J216" s="11"/>
      <c r="K216" s="5"/>
      <c r="L216" s="11" t="s">
        <v>1375</v>
      </c>
      <c r="M216" s="11" t="s">
        <v>220</v>
      </c>
      <c r="N216" s="5" t="s">
        <v>4882</v>
      </c>
      <c r="O216" s="5" t="s">
        <v>5157</v>
      </c>
      <c r="P216" s="5" t="s">
        <v>5158</v>
      </c>
      <c r="Q216" s="5" t="s">
        <v>5145</v>
      </c>
      <c r="R216" s="5" t="s">
        <v>5159</v>
      </c>
      <c r="S216" s="11" t="s">
        <v>5085</v>
      </c>
      <c r="T216" s="5" t="s">
        <v>5633</v>
      </c>
      <c r="U216" s="88" cm="1">
        <f t="array" ref="U216">ROUND(SUMIF(Movements!$B$5:$B$329,$A216,Movements!$F$5:$F$329)*INDEX($Z$4:$Z$13,MATCH($N216&amp;$Q216,$X$4:$X$13&amp;$Y$4:$Y$13,0))+INDEX($AA$4:$AA$13,MATCH($N216&amp;$Q216,$X$4:$X$13&amp;$Y$4:$Y$13,0)),2)</f>
        <v>50</v>
      </c>
      <c r="V216" s="2"/>
    </row>
    <row r="217" spans="1:22">
      <c r="A217" s="11" t="s">
        <v>5634</v>
      </c>
      <c r="B217" s="5" t="s">
        <v>5142</v>
      </c>
      <c r="C217" s="28">
        <v>46102</v>
      </c>
      <c r="D217" s="28">
        <v>46114</v>
      </c>
      <c r="E217" s="5" t="s">
        <v>5143</v>
      </c>
      <c r="F217" s="28">
        <v>46101</v>
      </c>
      <c r="G217" s="28"/>
      <c r="H217" s="5"/>
      <c r="I217" s="11" t="s">
        <v>1375</v>
      </c>
      <c r="J217" s="11" t="s">
        <v>244</v>
      </c>
      <c r="K217" s="5" t="s">
        <v>1026</v>
      </c>
      <c r="L217" s="11" t="s">
        <v>1391</v>
      </c>
      <c r="M217" s="11"/>
      <c r="N217" s="5" t="s">
        <v>4894</v>
      </c>
      <c r="O217" s="5" t="s">
        <v>5149</v>
      </c>
      <c r="P217" s="5" t="s">
        <v>5337</v>
      </c>
      <c r="Q217" s="5" t="s">
        <v>5151</v>
      </c>
      <c r="R217" s="5" t="s">
        <v>5152</v>
      </c>
      <c r="S217" s="11" t="s">
        <v>5014</v>
      </c>
      <c r="T217" s="5" t="s">
        <v>5635</v>
      </c>
      <c r="U217" s="88" cm="1">
        <f t="array" ref="U217">ROUND(SUMIF(Movements!$B$5:$B$329,$A217,Movements!$F$5:$F$329)*INDEX($Z$4:$Z$13,MATCH($N217&amp;$Q217,$X$4:$X$13&amp;$Y$4:$Y$13,0))+INDEX($AA$4:$AA$13,MATCH($N217&amp;$Q217,$X$4:$X$13&amp;$Y$4:$Y$13,0)),2)</f>
        <v>267.32</v>
      </c>
      <c r="V217" s="2"/>
    </row>
    <row r="218" spans="1:22">
      <c r="A218" s="11" t="s">
        <v>5636</v>
      </c>
      <c r="B218" s="5" t="s">
        <v>5174</v>
      </c>
      <c r="C218" s="28">
        <v>46101</v>
      </c>
      <c r="D218" s="28">
        <v>46107</v>
      </c>
      <c r="E218" s="5" t="s">
        <v>5143</v>
      </c>
      <c r="F218" s="28">
        <v>46103</v>
      </c>
      <c r="G218" s="28"/>
      <c r="H218" s="5"/>
      <c r="I218" s="11" t="s">
        <v>1343</v>
      </c>
      <c r="J218" s="11"/>
      <c r="K218" s="5"/>
      <c r="L218" s="11" t="s">
        <v>1297</v>
      </c>
      <c r="M218" s="11"/>
      <c r="N218" s="5" t="s">
        <v>4894</v>
      </c>
      <c r="O218" s="5" t="s">
        <v>5165</v>
      </c>
      <c r="P218" s="5" t="s">
        <v>5175</v>
      </c>
      <c r="Q218" s="5" t="s">
        <v>5151</v>
      </c>
      <c r="R218" s="5" t="s">
        <v>5152</v>
      </c>
      <c r="S218" s="11" t="s">
        <v>5049</v>
      </c>
      <c r="T218" s="5" t="s">
        <v>5637</v>
      </c>
      <c r="U218" s="88" cm="1">
        <f t="array" ref="U218">ROUND(SUMIF(Movements!$B$5:$B$329,$A218,Movements!$F$5:$F$329)*INDEX($Z$4:$Z$13,MATCH($N218&amp;$Q218,$X$4:$X$13&amp;$Y$4:$Y$13,0))+INDEX($AA$4:$AA$13,MATCH($N218&amp;$Q218,$X$4:$X$13&amp;$Y$4:$Y$13,0)),2)</f>
        <v>256.5</v>
      </c>
      <c r="V218" s="2"/>
    </row>
    <row r="219" spans="1:22">
      <c r="A219" s="11" t="s">
        <v>5638</v>
      </c>
      <c r="B219" s="5" t="s">
        <v>5142</v>
      </c>
      <c r="C219" s="28">
        <v>46098</v>
      </c>
      <c r="D219" s="28">
        <v>46105</v>
      </c>
      <c r="E219" s="5" t="s">
        <v>1280</v>
      </c>
      <c r="F219" s="28">
        <v>46098</v>
      </c>
      <c r="G219" s="28">
        <v>46107</v>
      </c>
      <c r="H219" s="5"/>
      <c r="I219" s="11" t="s">
        <v>1351</v>
      </c>
      <c r="J219" s="11" t="s">
        <v>234</v>
      </c>
      <c r="K219" s="5" t="s">
        <v>1097</v>
      </c>
      <c r="L219" s="11"/>
      <c r="M219" s="11"/>
      <c r="N219" s="5" t="s">
        <v>4919</v>
      </c>
      <c r="O219" s="5" t="s">
        <v>1197</v>
      </c>
      <c r="P219" s="5" t="s">
        <v>5144</v>
      </c>
      <c r="Q219" s="5" t="s">
        <v>5145</v>
      </c>
      <c r="R219" s="5" t="s">
        <v>5146</v>
      </c>
      <c r="S219" s="11" t="s">
        <v>5009</v>
      </c>
      <c r="T219" s="5" t="s">
        <v>5639</v>
      </c>
      <c r="U219" s="88" cm="1">
        <f t="array" ref="U219">ROUND(SUMIF(Movements!$B$5:$B$329,$A219,Movements!$F$5:$F$329)*INDEX($Z$4:$Z$13,MATCH($N219&amp;$Q219,$X$4:$X$13&amp;$Y$4:$Y$13,0))+INDEX($AA$4:$AA$13,MATCH($N219&amp;$Q219,$X$4:$X$13&amp;$Y$4:$Y$13,0)),2)</f>
        <v>45.89</v>
      </c>
      <c r="V219" s="2" t="s">
        <v>5640</v>
      </c>
    </row>
    <row r="220" spans="1:22">
      <c r="A220" s="11" t="s">
        <v>5641</v>
      </c>
      <c r="B220" s="5" t="s">
        <v>5142</v>
      </c>
      <c r="C220" s="28">
        <v>46090</v>
      </c>
      <c r="D220" s="28">
        <v>46095</v>
      </c>
      <c r="E220" s="5" t="s">
        <v>5143</v>
      </c>
      <c r="F220" s="28">
        <v>46090</v>
      </c>
      <c r="G220" s="28"/>
      <c r="H220" s="5"/>
      <c r="I220" s="11" t="s">
        <v>1351</v>
      </c>
      <c r="J220" s="11" t="s">
        <v>244</v>
      </c>
      <c r="K220" s="5" t="s">
        <v>904</v>
      </c>
      <c r="L220" s="11"/>
      <c r="M220" s="11"/>
      <c r="N220" s="5" t="s">
        <v>4919</v>
      </c>
      <c r="O220" s="5" t="s">
        <v>5157</v>
      </c>
      <c r="P220" s="5" t="s">
        <v>5158</v>
      </c>
      <c r="Q220" s="5" t="s">
        <v>5145</v>
      </c>
      <c r="R220" s="5" t="s">
        <v>5159</v>
      </c>
      <c r="S220" s="11" t="s">
        <v>5064</v>
      </c>
      <c r="T220" s="5" t="s">
        <v>5642</v>
      </c>
      <c r="U220" s="88" cm="1">
        <f t="array" ref="U220">ROUND(SUMIF(Movements!$B$5:$B$329,$A220,Movements!$F$5:$F$329)*INDEX($Z$4:$Z$13,MATCH($N220&amp;$Q220,$X$4:$X$13&amp;$Y$4:$Y$13,0))+INDEX($AA$4:$AA$13,MATCH($N220&amp;$Q220,$X$4:$X$13&amp;$Y$4:$Y$13,0)),2)</f>
        <v>46.51</v>
      </c>
      <c r="V220" s="2"/>
    </row>
    <row r="221" spans="1:22">
      <c r="A221" s="11" t="s">
        <v>5643</v>
      </c>
      <c r="B221" s="5" t="s">
        <v>5155</v>
      </c>
      <c r="C221" s="28">
        <v>46110</v>
      </c>
      <c r="D221" s="28">
        <v>46114</v>
      </c>
      <c r="E221" s="5" t="s">
        <v>1266</v>
      </c>
      <c r="F221" s="28"/>
      <c r="G221" s="28"/>
      <c r="H221" s="5" t="s">
        <v>5156</v>
      </c>
      <c r="I221" s="11"/>
      <c r="J221" s="11"/>
      <c r="K221" s="5"/>
      <c r="L221" s="11" t="s">
        <v>1367</v>
      </c>
      <c r="M221" s="11" t="s">
        <v>244</v>
      </c>
      <c r="N221" s="5" t="s">
        <v>4882</v>
      </c>
      <c r="O221" s="5" t="s">
        <v>5157</v>
      </c>
      <c r="P221" s="5" t="s">
        <v>5175</v>
      </c>
      <c r="Q221" s="5" t="s">
        <v>5145</v>
      </c>
      <c r="R221" s="5" t="s">
        <v>5146</v>
      </c>
      <c r="S221" s="11" t="s">
        <v>4928</v>
      </c>
      <c r="T221" s="5" t="s">
        <v>5644</v>
      </c>
      <c r="U221" s="88" cm="1">
        <f t="array" ref="U221">ROUND(SUMIF(Movements!$B$5:$B$329,$A221,Movements!$F$5:$F$329)*INDEX($Z$4:$Z$13,MATCH($N221&amp;$Q221,$X$4:$X$13&amp;$Y$4:$Y$13,0))+INDEX($AA$4:$AA$13,MATCH($N221&amp;$Q221,$X$4:$X$13&amp;$Y$4:$Y$13,0)),2)</f>
        <v>75.55</v>
      </c>
      <c r="V221" s="2"/>
    </row>
    <row r="222" spans="1:22">
      <c r="A222" s="11" t="s">
        <v>5645</v>
      </c>
      <c r="B222" s="5" t="s">
        <v>5155</v>
      </c>
      <c r="C222" s="28">
        <v>46097</v>
      </c>
      <c r="D222" s="28">
        <v>46099</v>
      </c>
      <c r="E222" s="5" t="s">
        <v>1280</v>
      </c>
      <c r="F222" s="28">
        <v>46097</v>
      </c>
      <c r="G222" s="28">
        <v>46098</v>
      </c>
      <c r="H222" s="5" t="s">
        <v>5156</v>
      </c>
      <c r="I222" s="11"/>
      <c r="J222" s="11"/>
      <c r="K222" s="5"/>
      <c r="L222" s="11" t="s">
        <v>1359</v>
      </c>
      <c r="M222" s="11" t="s">
        <v>244</v>
      </c>
      <c r="N222" s="5" t="s">
        <v>4931</v>
      </c>
      <c r="O222" s="5" t="s">
        <v>5157</v>
      </c>
      <c r="P222" s="5" t="s">
        <v>5144</v>
      </c>
      <c r="Q222" s="5" t="s">
        <v>5145</v>
      </c>
      <c r="R222" s="5" t="s">
        <v>5146</v>
      </c>
      <c r="S222" s="11" t="s">
        <v>5069</v>
      </c>
      <c r="T222" s="5" t="s">
        <v>5646</v>
      </c>
      <c r="U222" s="88" cm="1">
        <f t="array" ref="U222">ROUND(SUMIF(Movements!$B$5:$B$329,$A222,Movements!$F$5:$F$329)*INDEX($Z$4:$Z$13,MATCH($N222&amp;$Q222,$X$4:$X$13&amp;$Y$4:$Y$13,0))+INDEX($AA$4:$AA$13,MATCH($N222&amp;$Q222,$X$4:$X$13&amp;$Y$4:$Y$13,0)),2)</f>
        <v>101.19</v>
      </c>
      <c r="V222" s="2"/>
    </row>
    <row r="223" spans="1:22">
      <c r="A223" s="11" t="s">
        <v>5647</v>
      </c>
      <c r="B223" s="5" t="s">
        <v>5142</v>
      </c>
      <c r="C223" s="28">
        <v>46095</v>
      </c>
      <c r="D223" s="28">
        <v>46110</v>
      </c>
      <c r="E223" s="5" t="s">
        <v>5143</v>
      </c>
      <c r="F223" s="28">
        <v>46095</v>
      </c>
      <c r="G223" s="28"/>
      <c r="H223" s="5"/>
      <c r="I223" s="11" t="s">
        <v>1359</v>
      </c>
      <c r="J223" s="11" t="s">
        <v>234</v>
      </c>
      <c r="K223" s="5" t="s">
        <v>1085</v>
      </c>
      <c r="L223" s="11"/>
      <c r="M223" s="11"/>
      <c r="N223" s="5" t="s">
        <v>4882</v>
      </c>
      <c r="O223" s="5" t="s">
        <v>5157</v>
      </c>
      <c r="P223" s="5" t="s">
        <v>5158</v>
      </c>
      <c r="Q223" s="5" t="s">
        <v>5145</v>
      </c>
      <c r="R223" s="5" t="s">
        <v>5159</v>
      </c>
      <c r="S223" s="11" t="s">
        <v>5014</v>
      </c>
      <c r="T223" s="5" t="s">
        <v>5648</v>
      </c>
      <c r="U223" s="88" cm="1">
        <f t="array" ref="U223">ROUND(SUMIF(Movements!$B$5:$B$329,$A223,Movements!$F$5:$F$329)*INDEX($Z$4:$Z$13,MATCH($N223&amp;$Q223,$X$4:$X$13&amp;$Y$4:$Y$13,0))+INDEX($AA$4:$AA$13,MATCH($N223&amp;$Q223,$X$4:$X$13&amp;$Y$4:$Y$13,0)),2)</f>
        <v>61.42</v>
      </c>
      <c r="V223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08D8-96BF-9447-BBCA-912092ABA02A}">
  <sheetPr filterMode="1">
    <tabColor rgb="FF92D050"/>
  </sheetPr>
  <dimension ref="A1:F329"/>
  <sheetViews>
    <sheetView workbookViewId="0">
      <selection activeCell="B103" sqref="B103"/>
    </sheetView>
  </sheetViews>
  <sheetFormatPr defaultColWidth="11.5546875" defaultRowHeight="15.95"/>
  <cols>
    <col min="1" max="1" width="26.33203125" bestFit="1" customWidth="1"/>
    <col min="2" max="2" width="17" bestFit="1" customWidth="1"/>
    <col min="3" max="3" width="19.109375" bestFit="1" customWidth="1"/>
    <col min="4" max="4" width="16.33203125" bestFit="1" customWidth="1"/>
    <col min="5" max="5" width="15.44140625" bestFit="1" customWidth="1"/>
    <col min="6" max="6" width="8.77734375" bestFit="1" customWidth="1"/>
  </cols>
  <sheetData>
    <row r="1" spans="1:6">
      <c r="A1" s="33" t="s">
        <v>1267</v>
      </c>
      <c r="B1" s="33">
        <v>66.67</v>
      </c>
    </row>
    <row r="2" spans="1:6">
      <c r="A2" s="33" t="s">
        <v>2413</v>
      </c>
      <c r="B2" s="64">
        <v>0.1</v>
      </c>
    </row>
    <row r="3" spans="1:6">
      <c r="A3" s="33" t="s">
        <v>1269</v>
      </c>
      <c r="B3" s="33">
        <v>325</v>
      </c>
    </row>
    <row r="4" spans="1:6">
      <c r="A4" s="20" t="s">
        <v>5649</v>
      </c>
      <c r="B4" s="26" t="s">
        <v>5650</v>
      </c>
      <c r="C4" s="26" t="s">
        <v>5651</v>
      </c>
      <c r="D4" s="26" t="s">
        <v>5652</v>
      </c>
      <c r="E4" s="26" t="s">
        <v>5653</v>
      </c>
      <c r="F4" s="48" t="s">
        <v>1974</v>
      </c>
    </row>
    <row r="5" spans="1:6" hidden="1">
      <c r="A5" s="4" t="s">
        <v>5654</v>
      </c>
      <c r="B5" s="5" t="s">
        <v>5177</v>
      </c>
      <c r="C5" s="5" t="s">
        <v>4093</v>
      </c>
      <c r="D5" s="5" t="s">
        <v>1458</v>
      </c>
      <c r="E5" s="5"/>
      <c r="F5" s="45">
        <v>68.680000000000007</v>
      </c>
    </row>
    <row r="6" spans="1:6" hidden="1">
      <c r="A6" s="4" t="s">
        <v>5655</v>
      </c>
      <c r="B6" s="5" t="s">
        <v>5585</v>
      </c>
      <c r="C6" s="5" t="s">
        <v>4089</v>
      </c>
      <c r="D6" s="5" t="s">
        <v>1454</v>
      </c>
      <c r="E6" s="5"/>
      <c r="F6" s="45">
        <v>73.42</v>
      </c>
    </row>
    <row r="7" spans="1:6">
      <c r="A7" s="4" t="s">
        <v>5656</v>
      </c>
      <c r="B7" s="5" t="s">
        <v>5141</v>
      </c>
      <c r="C7" s="5" t="s">
        <v>3950</v>
      </c>
      <c r="D7" s="5" t="s">
        <v>1484</v>
      </c>
      <c r="E7" s="5"/>
      <c r="F7" s="45">
        <v>57.96</v>
      </c>
    </row>
    <row r="8" spans="1:6" hidden="1">
      <c r="A8" s="4" t="s">
        <v>5657</v>
      </c>
      <c r="B8" s="5" t="s">
        <v>5280</v>
      </c>
      <c r="C8" s="5" t="s">
        <v>4197</v>
      </c>
      <c r="D8" s="5" t="s">
        <v>1362</v>
      </c>
      <c r="E8" s="5"/>
      <c r="F8" s="45">
        <v>59.52</v>
      </c>
    </row>
    <row r="9" spans="1:6" hidden="1">
      <c r="A9" s="4" t="s">
        <v>5658</v>
      </c>
      <c r="B9" s="5" t="s">
        <v>5161</v>
      </c>
      <c r="C9" s="5" t="s">
        <v>4217</v>
      </c>
      <c r="D9" s="5" t="s">
        <v>1438</v>
      </c>
      <c r="E9" s="5"/>
      <c r="F9" s="45">
        <v>63.5</v>
      </c>
    </row>
    <row r="10" spans="1:6" hidden="1">
      <c r="A10" s="4" t="s">
        <v>5659</v>
      </c>
      <c r="B10" s="5" t="s">
        <v>5234</v>
      </c>
      <c r="C10" s="5" t="s">
        <v>4027</v>
      </c>
      <c r="D10" s="5" t="s">
        <v>1329</v>
      </c>
      <c r="E10" s="5"/>
      <c r="F10" s="45">
        <v>69.61</v>
      </c>
    </row>
    <row r="11" spans="1:6" hidden="1">
      <c r="A11" s="4" t="s">
        <v>5660</v>
      </c>
      <c r="B11" s="5" t="s">
        <v>5289</v>
      </c>
      <c r="C11" s="5" t="s">
        <v>3908</v>
      </c>
      <c r="D11" s="5" t="s">
        <v>1450</v>
      </c>
      <c r="E11" s="5"/>
      <c r="F11" s="45">
        <v>72.78</v>
      </c>
    </row>
    <row r="12" spans="1:6" hidden="1">
      <c r="A12" s="4" t="s">
        <v>5661</v>
      </c>
      <c r="B12" s="5" t="s">
        <v>5240</v>
      </c>
      <c r="C12" s="5" t="s">
        <v>4020</v>
      </c>
      <c r="D12" s="5" t="s">
        <v>1444</v>
      </c>
      <c r="E12" s="5"/>
      <c r="F12" s="45">
        <v>73.45</v>
      </c>
    </row>
    <row r="13" spans="1:6" hidden="1">
      <c r="A13" s="4" t="s">
        <v>5662</v>
      </c>
      <c r="B13" s="5" t="s">
        <v>5354</v>
      </c>
      <c r="C13" s="5" t="s">
        <v>4167</v>
      </c>
      <c r="D13" s="5" t="s">
        <v>1353</v>
      </c>
      <c r="E13" s="5"/>
      <c r="F13" s="45">
        <v>64.42</v>
      </c>
    </row>
    <row r="14" spans="1:6" hidden="1">
      <c r="A14" s="4" t="s">
        <v>5663</v>
      </c>
      <c r="B14" s="5" t="s">
        <v>5148</v>
      </c>
      <c r="C14" s="5" t="s">
        <v>4223</v>
      </c>
      <c r="D14" s="5" t="s">
        <v>1365</v>
      </c>
      <c r="E14" s="5"/>
      <c r="F14" s="45">
        <v>67.2</v>
      </c>
    </row>
    <row r="15" spans="1:6" hidden="1">
      <c r="A15" s="4" t="s">
        <v>5664</v>
      </c>
      <c r="B15" s="5" t="s">
        <v>5612</v>
      </c>
      <c r="C15" s="5" t="s">
        <v>3845</v>
      </c>
      <c r="D15" s="5" t="s">
        <v>1348</v>
      </c>
      <c r="E15" s="5"/>
      <c r="F15" s="45">
        <v>62.38</v>
      </c>
    </row>
    <row r="16" spans="1:6" hidden="1">
      <c r="A16" s="4" t="s">
        <v>5665</v>
      </c>
      <c r="B16" s="5" t="s">
        <v>5524</v>
      </c>
      <c r="C16" s="5" t="s">
        <v>4124</v>
      </c>
      <c r="D16" s="5" t="s">
        <v>1355</v>
      </c>
      <c r="E16" s="5"/>
      <c r="F16" s="45">
        <v>77.27</v>
      </c>
    </row>
    <row r="17" spans="1:6" hidden="1">
      <c r="A17" s="4" t="s">
        <v>5666</v>
      </c>
      <c r="B17" s="5" t="s">
        <v>5458</v>
      </c>
      <c r="C17" s="5" t="s">
        <v>4110</v>
      </c>
      <c r="D17" s="5" t="s">
        <v>1416</v>
      </c>
      <c r="E17" s="5"/>
      <c r="F17" s="45">
        <v>72.099999999999994</v>
      </c>
    </row>
    <row r="18" spans="1:6" hidden="1">
      <c r="A18" s="4" t="s">
        <v>5667</v>
      </c>
      <c r="B18" s="5" t="s">
        <v>5420</v>
      </c>
      <c r="C18" s="5" t="s">
        <v>4021</v>
      </c>
      <c r="D18" s="5" t="s">
        <v>1499</v>
      </c>
      <c r="E18" s="5"/>
      <c r="F18" s="45">
        <v>64.27</v>
      </c>
    </row>
    <row r="19" spans="1:6" hidden="1">
      <c r="A19" s="4" t="s">
        <v>5668</v>
      </c>
      <c r="B19" s="5" t="s">
        <v>5179</v>
      </c>
      <c r="C19" s="5" t="s">
        <v>3998</v>
      </c>
      <c r="D19" s="5" t="s">
        <v>1472</v>
      </c>
      <c r="E19" s="5"/>
      <c r="F19" s="45">
        <v>71.3</v>
      </c>
    </row>
    <row r="20" spans="1:6" hidden="1">
      <c r="A20" s="4" t="s">
        <v>5669</v>
      </c>
      <c r="B20" s="5" t="s">
        <v>5407</v>
      </c>
      <c r="C20" s="5" t="s">
        <v>4206</v>
      </c>
      <c r="D20" s="5" t="s">
        <v>1394</v>
      </c>
      <c r="E20" s="5"/>
      <c r="F20" s="45">
        <v>61.31</v>
      </c>
    </row>
    <row r="21" spans="1:6" hidden="1">
      <c r="A21" s="4" t="s">
        <v>5670</v>
      </c>
      <c r="B21" s="5" t="s">
        <v>5181</v>
      </c>
      <c r="C21" s="5" t="s">
        <v>3916</v>
      </c>
      <c r="D21" s="5" t="s">
        <v>1484</v>
      </c>
      <c r="E21" s="5"/>
      <c r="F21" s="45">
        <v>72</v>
      </c>
    </row>
    <row r="22" spans="1:6" hidden="1">
      <c r="A22" s="4" t="s">
        <v>5671</v>
      </c>
      <c r="B22" s="5" t="s">
        <v>5618</v>
      </c>
      <c r="C22" s="5" t="s">
        <v>4077</v>
      </c>
      <c r="D22" s="5" t="s">
        <v>1309</v>
      </c>
      <c r="E22" s="5"/>
      <c r="F22" s="45">
        <v>68.94</v>
      </c>
    </row>
    <row r="23" spans="1:6" hidden="1">
      <c r="A23" s="4" t="s">
        <v>5672</v>
      </c>
      <c r="B23" s="5" t="s">
        <v>5565</v>
      </c>
      <c r="C23" s="5" t="s">
        <v>3996</v>
      </c>
      <c r="D23" s="5" t="s">
        <v>1305</v>
      </c>
      <c r="E23" s="5"/>
      <c r="F23" s="45">
        <v>66.61</v>
      </c>
    </row>
    <row r="24" spans="1:6" hidden="1">
      <c r="A24" s="4" t="s">
        <v>5673</v>
      </c>
      <c r="B24" s="5" t="s">
        <v>5545</v>
      </c>
      <c r="C24" s="5" t="s">
        <v>4050</v>
      </c>
      <c r="D24" s="5" t="s">
        <v>1473</v>
      </c>
      <c r="E24" s="5"/>
      <c r="F24" s="45">
        <v>61.38</v>
      </c>
    </row>
    <row r="25" spans="1:6" hidden="1">
      <c r="A25" s="4" t="s">
        <v>5674</v>
      </c>
      <c r="B25" s="5" t="s">
        <v>5622</v>
      </c>
      <c r="C25" s="5" t="s">
        <v>3983</v>
      </c>
      <c r="D25" s="5" t="s">
        <v>1372</v>
      </c>
      <c r="E25" s="5"/>
      <c r="F25" s="45">
        <v>58.73</v>
      </c>
    </row>
    <row r="26" spans="1:6" hidden="1">
      <c r="A26" s="4" t="s">
        <v>5675</v>
      </c>
      <c r="B26" s="5" t="s">
        <v>5280</v>
      </c>
      <c r="C26" s="5" t="s">
        <v>4201</v>
      </c>
      <c r="D26" s="5" t="s">
        <v>1352</v>
      </c>
      <c r="E26" s="5"/>
      <c r="F26" s="45">
        <v>59.58</v>
      </c>
    </row>
    <row r="27" spans="1:6" hidden="1">
      <c r="A27" s="4" t="s">
        <v>5676</v>
      </c>
      <c r="B27" s="5" t="s">
        <v>5332</v>
      </c>
      <c r="C27" s="5" t="s">
        <v>4074</v>
      </c>
      <c r="D27" s="5" t="s">
        <v>1466</v>
      </c>
      <c r="E27" s="5"/>
      <c r="F27" s="45">
        <v>65.81</v>
      </c>
    </row>
    <row r="28" spans="1:6" hidden="1">
      <c r="A28" s="4" t="s">
        <v>5677</v>
      </c>
      <c r="B28" s="5" t="s">
        <v>5181</v>
      </c>
      <c r="C28" s="5" t="s">
        <v>4141</v>
      </c>
      <c r="D28" s="5" t="s">
        <v>1316</v>
      </c>
      <c r="E28" s="5"/>
      <c r="F28" s="45">
        <v>59.99</v>
      </c>
    </row>
    <row r="29" spans="1:6" hidden="1">
      <c r="A29" s="4" t="s">
        <v>5678</v>
      </c>
      <c r="B29" s="5" t="s">
        <v>5555</v>
      </c>
      <c r="C29" s="5" t="s">
        <v>4023</v>
      </c>
      <c r="D29" s="5" t="s">
        <v>1395</v>
      </c>
      <c r="E29" s="5"/>
      <c r="F29" s="45">
        <v>73.239999999999995</v>
      </c>
    </row>
    <row r="30" spans="1:6">
      <c r="A30" s="4" t="s">
        <v>5679</v>
      </c>
      <c r="B30" s="5" t="s">
        <v>5141</v>
      </c>
      <c r="C30" s="5" t="s">
        <v>4221</v>
      </c>
      <c r="D30" s="5" t="s">
        <v>1303</v>
      </c>
      <c r="E30" s="5"/>
      <c r="F30" s="45">
        <v>72.48</v>
      </c>
    </row>
    <row r="31" spans="1:6" hidden="1">
      <c r="A31" s="4" t="s">
        <v>5680</v>
      </c>
      <c r="B31" s="5" t="s">
        <v>5380</v>
      </c>
      <c r="C31" s="5" t="s">
        <v>4090</v>
      </c>
      <c r="D31" s="5" t="s">
        <v>1354</v>
      </c>
      <c r="E31" s="5"/>
      <c r="F31" s="45">
        <v>53.86</v>
      </c>
    </row>
    <row r="32" spans="1:6" hidden="1">
      <c r="A32" s="4" t="s">
        <v>5681</v>
      </c>
      <c r="B32" s="5" t="s">
        <v>5509</v>
      </c>
      <c r="C32" s="5" t="s">
        <v>4110</v>
      </c>
      <c r="D32" s="5" t="s">
        <v>1356</v>
      </c>
      <c r="E32" s="5"/>
      <c r="F32" s="45">
        <v>82.94</v>
      </c>
    </row>
    <row r="33" spans="1:6" hidden="1">
      <c r="A33" s="4" t="s">
        <v>5682</v>
      </c>
      <c r="B33" s="5" t="s">
        <v>5216</v>
      </c>
      <c r="C33" s="5" t="s">
        <v>3971</v>
      </c>
      <c r="D33" s="5" t="s">
        <v>1487</v>
      </c>
      <c r="E33" s="5"/>
      <c r="F33" s="45">
        <v>65.63</v>
      </c>
    </row>
    <row r="34" spans="1:6" hidden="1">
      <c r="A34" s="4" t="s">
        <v>5683</v>
      </c>
      <c r="B34" s="5" t="s">
        <v>5641</v>
      </c>
      <c r="C34" s="5" t="s">
        <v>4159</v>
      </c>
      <c r="D34" s="5" t="s">
        <v>1284</v>
      </c>
      <c r="E34" s="5"/>
      <c r="F34" s="45">
        <v>62.93</v>
      </c>
    </row>
    <row r="35" spans="1:6" hidden="1">
      <c r="A35" s="4" t="s">
        <v>5684</v>
      </c>
      <c r="B35" s="5" t="s">
        <v>5317</v>
      </c>
      <c r="C35" s="5" t="s">
        <v>4013</v>
      </c>
      <c r="D35" s="5" t="s">
        <v>1397</v>
      </c>
      <c r="E35" s="5"/>
      <c r="F35" s="45">
        <v>73.709999999999994</v>
      </c>
    </row>
    <row r="36" spans="1:6" hidden="1">
      <c r="A36" s="4" t="s">
        <v>5685</v>
      </c>
      <c r="B36" s="5" t="s">
        <v>5317</v>
      </c>
      <c r="C36" s="5" t="s">
        <v>4106</v>
      </c>
      <c r="D36" s="5" t="s">
        <v>1471</v>
      </c>
      <c r="E36" s="5"/>
      <c r="F36" s="45">
        <v>66.98</v>
      </c>
    </row>
    <row r="37" spans="1:6" hidden="1">
      <c r="A37" s="4" t="s">
        <v>5686</v>
      </c>
      <c r="B37" s="5" t="s">
        <v>5238</v>
      </c>
      <c r="C37" s="5" t="s">
        <v>3983</v>
      </c>
      <c r="D37" s="5" t="s">
        <v>1401</v>
      </c>
      <c r="E37" s="5"/>
      <c r="F37" s="45">
        <v>61.46</v>
      </c>
    </row>
    <row r="38" spans="1:6" hidden="1">
      <c r="A38" s="4" t="s">
        <v>5687</v>
      </c>
      <c r="B38" s="5" t="s">
        <v>5317</v>
      </c>
      <c r="C38" s="5" t="s">
        <v>4194</v>
      </c>
      <c r="D38" s="5" t="s">
        <v>1499</v>
      </c>
      <c r="E38" s="5"/>
      <c r="F38" s="45">
        <v>69.45</v>
      </c>
    </row>
    <row r="39" spans="1:6" hidden="1">
      <c r="A39" s="4" t="s">
        <v>5688</v>
      </c>
      <c r="B39" s="5" t="s">
        <v>5612</v>
      </c>
      <c r="C39" s="5" t="s">
        <v>4205</v>
      </c>
      <c r="D39" s="5" t="s">
        <v>1485</v>
      </c>
      <c r="E39" s="5"/>
      <c r="F39" s="45">
        <v>64.099999999999994</v>
      </c>
    </row>
    <row r="40" spans="1:6" hidden="1">
      <c r="A40" s="4" t="s">
        <v>5689</v>
      </c>
      <c r="B40" s="5" t="s">
        <v>5148</v>
      </c>
      <c r="C40" s="5" t="s">
        <v>3996</v>
      </c>
      <c r="D40" s="5" t="s">
        <v>1378</v>
      </c>
      <c r="E40" s="5"/>
      <c r="F40" s="45">
        <v>70.28</v>
      </c>
    </row>
    <row r="41" spans="1:6" hidden="1">
      <c r="A41" s="4" t="s">
        <v>5690</v>
      </c>
      <c r="B41" s="5" t="s">
        <v>5413</v>
      </c>
      <c r="C41" s="5" t="s">
        <v>3914</v>
      </c>
      <c r="D41" s="5" t="s">
        <v>1494</v>
      </c>
      <c r="E41" s="5"/>
      <c r="F41" s="45">
        <v>70.97</v>
      </c>
    </row>
    <row r="42" spans="1:6" hidden="1">
      <c r="A42" s="4" t="s">
        <v>5691</v>
      </c>
      <c r="B42" s="5" t="s">
        <v>5222</v>
      </c>
      <c r="C42" s="5" t="s">
        <v>3989</v>
      </c>
      <c r="D42" s="5" t="s">
        <v>1347</v>
      </c>
      <c r="E42" s="5"/>
      <c r="F42" s="45">
        <v>77.489999999999995</v>
      </c>
    </row>
    <row r="43" spans="1:6" hidden="1">
      <c r="A43" s="4" t="s">
        <v>5692</v>
      </c>
      <c r="B43" s="5" t="s">
        <v>5277</v>
      </c>
      <c r="C43" s="5" t="s">
        <v>3884</v>
      </c>
      <c r="D43" s="5" t="s">
        <v>1492</v>
      </c>
      <c r="E43" s="5"/>
      <c r="F43" s="45">
        <v>65.56</v>
      </c>
    </row>
    <row r="44" spans="1:6" hidden="1">
      <c r="A44" s="4" t="s">
        <v>5693</v>
      </c>
      <c r="B44" s="5" t="s">
        <v>5326</v>
      </c>
      <c r="C44" s="5" t="s">
        <v>4216</v>
      </c>
      <c r="D44" s="5" t="s">
        <v>1443</v>
      </c>
      <c r="E44" s="5"/>
      <c r="F44" s="45">
        <v>75.319999999999993</v>
      </c>
    </row>
    <row r="45" spans="1:6" hidden="1">
      <c r="A45" s="4" t="s">
        <v>5694</v>
      </c>
      <c r="B45" s="5" t="s">
        <v>5524</v>
      </c>
      <c r="C45" s="5" t="s">
        <v>3958</v>
      </c>
      <c r="D45" s="5" t="s">
        <v>1445</v>
      </c>
      <c r="E45" s="5"/>
      <c r="F45" s="45">
        <v>72.59</v>
      </c>
    </row>
    <row r="46" spans="1:6" hidden="1">
      <c r="A46" s="4" t="s">
        <v>5695</v>
      </c>
      <c r="B46" s="5" t="s">
        <v>5620</v>
      </c>
      <c r="C46" s="5" t="s">
        <v>3945</v>
      </c>
      <c r="D46" s="5" t="s">
        <v>1492</v>
      </c>
      <c r="E46" s="5"/>
      <c r="F46" s="45">
        <v>64.819999999999993</v>
      </c>
    </row>
    <row r="47" spans="1:6" hidden="1">
      <c r="A47" s="4" t="s">
        <v>5696</v>
      </c>
      <c r="B47" s="5" t="s">
        <v>5624</v>
      </c>
      <c r="C47" s="5" t="s">
        <v>4142</v>
      </c>
      <c r="D47" s="5" t="s">
        <v>1405</v>
      </c>
      <c r="E47" s="5"/>
      <c r="F47" s="45">
        <v>67.55</v>
      </c>
    </row>
    <row r="48" spans="1:6" hidden="1">
      <c r="A48" s="4" t="s">
        <v>5697</v>
      </c>
      <c r="B48" s="5" t="s">
        <v>5177</v>
      </c>
      <c r="C48" s="5" t="s">
        <v>4023</v>
      </c>
      <c r="D48" s="5" t="s">
        <v>1369</v>
      </c>
      <c r="E48" s="5"/>
      <c r="F48" s="45">
        <v>63.6</v>
      </c>
    </row>
    <row r="49" spans="1:6" hidden="1">
      <c r="A49" s="4" t="s">
        <v>5698</v>
      </c>
      <c r="B49" s="5" t="s">
        <v>5361</v>
      </c>
      <c r="C49" s="5" t="s">
        <v>3978</v>
      </c>
      <c r="D49" s="5" t="s">
        <v>1480</v>
      </c>
      <c r="E49" s="5"/>
      <c r="F49" s="45">
        <v>66.59</v>
      </c>
    </row>
    <row r="50" spans="1:6" hidden="1">
      <c r="A50" s="4" t="s">
        <v>5699</v>
      </c>
      <c r="B50" s="5" t="s">
        <v>5246</v>
      </c>
      <c r="C50" s="5" t="s">
        <v>4214</v>
      </c>
      <c r="D50" s="5" t="s">
        <v>1303</v>
      </c>
      <c r="E50" s="5"/>
      <c r="F50" s="45">
        <v>62.78</v>
      </c>
    </row>
    <row r="51" spans="1:6" hidden="1">
      <c r="A51" s="4" t="s">
        <v>5700</v>
      </c>
      <c r="B51" s="5" t="s">
        <v>5438</v>
      </c>
      <c r="C51" s="5" t="s">
        <v>4195</v>
      </c>
      <c r="D51" s="5" t="s">
        <v>1373</v>
      </c>
      <c r="E51" s="5"/>
      <c r="F51" s="45">
        <v>74.989999999999995</v>
      </c>
    </row>
    <row r="52" spans="1:6" hidden="1">
      <c r="A52" s="4" t="s">
        <v>5701</v>
      </c>
      <c r="B52" s="5" t="s">
        <v>5321</v>
      </c>
      <c r="C52" s="5" t="s">
        <v>4182</v>
      </c>
      <c r="D52" s="5" t="s">
        <v>1426</v>
      </c>
      <c r="E52" s="5"/>
      <c r="F52" s="45">
        <v>67.52</v>
      </c>
    </row>
    <row r="53" spans="1:6" hidden="1">
      <c r="A53" s="4" t="s">
        <v>5702</v>
      </c>
      <c r="B53" s="5" t="s">
        <v>5148</v>
      </c>
      <c r="C53" s="5" t="s">
        <v>4130</v>
      </c>
      <c r="D53" s="5" t="s">
        <v>1442</v>
      </c>
      <c r="E53" s="5"/>
      <c r="F53" s="45">
        <v>55.94</v>
      </c>
    </row>
    <row r="54" spans="1:6" hidden="1">
      <c r="A54" s="4" t="s">
        <v>5703</v>
      </c>
      <c r="B54" s="5" t="s">
        <v>5612</v>
      </c>
      <c r="C54" s="5" t="s">
        <v>4071</v>
      </c>
      <c r="D54" s="5" t="s">
        <v>1446</v>
      </c>
      <c r="E54" s="5"/>
      <c r="F54" s="45">
        <v>63.67</v>
      </c>
    </row>
    <row r="55" spans="1:6" hidden="1">
      <c r="A55" s="4" t="s">
        <v>5704</v>
      </c>
      <c r="B55" s="5" t="s">
        <v>5275</v>
      </c>
      <c r="C55" s="5" t="s">
        <v>4086</v>
      </c>
      <c r="D55" s="5" t="s">
        <v>1405</v>
      </c>
      <c r="E55" s="5"/>
      <c r="F55" s="45">
        <v>65.22</v>
      </c>
    </row>
    <row r="56" spans="1:6" hidden="1">
      <c r="A56" s="4" t="s">
        <v>5705</v>
      </c>
      <c r="B56" s="5" t="s">
        <v>5396</v>
      </c>
      <c r="C56" s="5" t="s">
        <v>4094</v>
      </c>
      <c r="D56" s="5" t="s">
        <v>1451</v>
      </c>
      <c r="E56" s="5"/>
      <c r="F56" s="45">
        <v>62.66</v>
      </c>
    </row>
    <row r="57" spans="1:6" hidden="1">
      <c r="A57" s="4" t="s">
        <v>5706</v>
      </c>
      <c r="B57" s="5" t="s">
        <v>5297</v>
      </c>
      <c r="C57" s="5" t="s">
        <v>3840</v>
      </c>
      <c r="D57" s="5" t="s">
        <v>1292</v>
      </c>
      <c r="E57" s="5"/>
      <c r="F57" s="45">
        <v>74.55</v>
      </c>
    </row>
    <row r="58" spans="1:6" hidden="1">
      <c r="A58" s="4" t="s">
        <v>5707</v>
      </c>
      <c r="B58" s="5" t="s">
        <v>5273</v>
      </c>
      <c r="C58" s="5" t="s">
        <v>3845</v>
      </c>
      <c r="D58" s="5" t="s">
        <v>1414</v>
      </c>
      <c r="E58" s="5"/>
      <c r="F58" s="45">
        <v>59.4</v>
      </c>
    </row>
    <row r="59" spans="1:6" hidden="1">
      <c r="A59" s="4" t="s">
        <v>5708</v>
      </c>
      <c r="B59" s="5" t="s">
        <v>5363</v>
      </c>
      <c r="C59" s="5" t="s">
        <v>4189</v>
      </c>
      <c r="D59" s="5" t="s">
        <v>1463</v>
      </c>
      <c r="E59" s="5"/>
      <c r="F59" s="45">
        <v>71.7</v>
      </c>
    </row>
    <row r="60" spans="1:6" hidden="1">
      <c r="A60" s="4" t="s">
        <v>5709</v>
      </c>
      <c r="B60" s="5" t="s">
        <v>5400</v>
      </c>
      <c r="C60" s="5" t="s">
        <v>3882</v>
      </c>
      <c r="D60" s="5" t="s">
        <v>1371</v>
      </c>
      <c r="E60" s="5"/>
      <c r="F60" s="45">
        <v>82.14</v>
      </c>
    </row>
    <row r="61" spans="1:6" hidden="1">
      <c r="A61" s="4" t="s">
        <v>5710</v>
      </c>
      <c r="B61" s="5" t="s">
        <v>5321</v>
      </c>
      <c r="C61" s="5" t="s">
        <v>4000</v>
      </c>
      <c r="D61" s="5" t="s">
        <v>1493</v>
      </c>
      <c r="E61" s="5"/>
      <c r="F61" s="45">
        <v>76.64</v>
      </c>
    </row>
    <row r="62" spans="1:6" hidden="1">
      <c r="A62" s="4" t="s">
        <v>5711</v>
      </c>
      <c r="B62" s="5" t="s">
        <v>5186</v>
      </c>
      <c r="C62" s="5" t="s">
        <v>4198</v>
      </c>
      <c r="D62" s="5" t="s">
        <v>1488</v>
      </c>
      <c r="E62" s="5"/>
      <c r="F62" s="45">
        <v>79.36</v>
      </c>
    </row>
    <row r="63" spans="1:6" hidden="1">
      <c r="A63" s="4" t="s">
        <v>5712</v>
      </c>
      <c r="B63" s="5" t="s">
        <v>5483</v>
      </c>
      <c r="C63" s="5" t="s">
        <v>4195</v>
      </c>
      <c r="D63" s="5" t="s">
        <v>1472</v>
      </c>
      <c r="E63" s="5"/>
      <c r="F63" s="45">
        <v>78.510000000000005</v>
      </c>
    </row>
    <row r="64" spans="1:6" hidden="1">
      <c r="A64" s="4" t="s">
        <v>5713</v>
      </c>
      <c r="B64" s="5" t="s">
        <v>5238</v>
      </c>
      <c r="C64" s="5" t="s">
        <v>4063</v>
      </c>
      <c r="D64" s="5" t="s">
        <v>1401</v>
      </c>
      <c r="E64" s="5"/>
      <c r="F64" s="45">
        <v>70.94</v>
      </c>
    </row>
    <row r="65" spans="1:6" hidden="1">
      <c r="A65" s="4" t="s">
        <v>5714</v>
      </c>
      <c r="B65" s="5" t="s">
        <v>5258</v>
      </c>
      <c r="C65" s="5" t="s">
        <v>4116</v>
      </c>
      <c r="D65" s="5" t="s">
        <v>1491</v>
      </c>
      <c r="E65" s="5"/>
      <c r="F65" s="45">
        <v>63.24</v>
      </c>
    </row>
    <row r="66" spans="1:6" hidden="1">
      <c r="A66" s="4" t="s">
        <v>5715</v>
      </c>
      <c r="B66" s="5" t="s">
        <v>5228</v>
      </c>
      <c r="C66" s="5" t="s">
        <v>3901</v>
      </c>
      <c r="D66" s="5" t="s">
        <v>1488</v>
      </c>
      <c r="E66" s="5"/>
      <c r="F66" s="45">
        <v>73.849999999999994</v>
      </c>
    </row>
    <row r="67" spans="1:6" hidden="1">
      <c r="A67" s="4" t="s">
        <v>5716</v>
      </c>
      <c r="B67" s="5" t="s">
        <v>5612</v>
      </c>
      <c r="C67" s="5" t="s">
        <v>4110</v>
      </c>
      <c r="D67" s="5" t="s">
        <v>1354</v>
      </c>
      <c r="E67" s="5"/>
      <c r="F67" s="45">
        <v>47.51</v>
      </c>
    </row>
    <row r="68" spans="1:6" hidden="1">
      <c r="A68" s="4" t="s">
        <v>5717</v>
      </c>
      <c r="B68" s="5" t="s">
        <v>5244</v>
      </c>
      <c r="C68" s="5" t="s">
        <v>3927</v>
      </c>
      <c r="D68" s="5" t="s">
        <v>1408</v>
      </c>
      <c r="E68" s="5"/>
      <c r="F68" s="45">
        <v>70.42</v>
      </c>
    </row>
    <row r="69" spans="1:6" hidden="1">
      <c r="A69" s="4" t="s">
        <v>5718</v>
      </c>
      <c r="B69" s="5" t="s">
        <v>5615</v>
      </c>
      <c r="C69" s="5" t="s">
        <v>3849</v>
      </c>
      <c r="D69" s="5" t="s">
        <v>1356</v>
      </c>
      <c r="E69" s="5"/>
      <c r="F69" s="45">
        <v>66.33</v>
      </c>
    </row>
    <row r="70" spans="1:6" hidden="1">
      <c r="A70" s="4" t="s">
        <v>5719</v>
      </c>
      <c r="B70" s="5" t="s">
        <v>5179</v>
      </c>
      <c r="C70" s="5" t="s">
        <v>4117</v>
      </c>
      <c r="D70" s="5" t="s">
        <v>1410</v>
      </c>
      <c r="E70" s="5"/>
      <c r="F70" s="45">
        <v>58.51</v>
      </c>
    </row>
    <row r="71" spans="1:6" hidden="1">
      <c r="A71" s="4" t="s">
        <v>5720</v>
      </c>
      <c r="B71" s="5" t="s">
        <v>5345</v>
      </c>
      <c r="C71" s="5" t="s">
        <v>3993</v>
      </c>
      <c r="D71" s="5" t="s">
        <v>1348</v>
      </c>
      <c r="E71" s="5"/>
      <c r="F71" s="45">
        <v>72.430000000000007</v>
      </c>
    </row>
    <row r="72" spans="1:6" hidden="1">
      <c r="A72" s="4" t="s">
        <v>5721</v>
      </c>
      <c r="B72" s="5" t="s">
        <v>5380</v>
      </c>
      <c r="C72" s="5" t="s">
        <v>3889</v>
      </c>
      <c r="D72" s="5" t="s">
        <v>1415</v>
      </c>
      <c r="E72" s="5"/>
      <c r="F72" s="45">
        <v>64.510000000000005</v>
      </c>
    </row>
    <row r="73" spans="1:6" hidden="1">
      <c r="A73" s="4" t="s">
        <v>5722</v>
      </c>
      <c r="B73" s="5" t="s">
        <v>5220</v>
      </c>
      <c r="C73" s="5" t="s">
        <v>4005</v>
      </c>
      <c r="D73" s="5" t="s">
        <v>1437</v>
      </c>
      <c r="E73" s="5"/>
      <c r="F73" s="45">
        <v>59.25</v>
      </c>
    </row>
    <row r="74" spans="1:6" hidden="1">
      <c r="A74" s="4" t="s">
        <v>5723</v>
      </c>
      <c r="B74" s="5" t="s">
        <v>5438</v>
      </c>
      <c r="C74" s="5" t="s">
        <v>4112</v>
      </c>
      <c r="D74" s="5" t="s">
        <v>1373</v>
      </c>
      <c r="E74" s="5"/>
      <c r="F74" s="45">
        <v>77.12</v>
      </c>
    </row>
    <row r="75" spans="1:6" hidden="1">
      <c r="A75" s="4" t="s">
        <v>5724</v>
      </c>
      <c r="B75" s="5" t="s">
        <v>5317</v>
      </c>
      <c r="C75" s="5" t="s">
        <v>4162</v>
      </c>
      <c r="D75" s="5" t="s">
        <v>1424</v>
      </c>
      <c r="E75" s="5"/>
      <c r="F75" s="45">
        <v>56.14</v>
      </c>
    </row>
    <row r="76" spans="1:6" hidden="1">
      <c r="A76" s="4" t="s">
        <v>5725</v>
      </c>
      <c r="B76" s="5" t="s">
        <v>5585</v>
      </c>
      <c r="C76" s="5" t="s">
        <v>4040</v>
      </c>
      <c r="D76" s="5" t="s">
        <v>1402</v>
      </c>
      <c r="E76" s="5"/>
      <c r="F76" s="45">
        <v>82.61</v>
      </c>
    </row>
    <row r="77" spans="1:6" hidden="1">
      <c r="A77" s="4" t="s">
        <v>5726</v>
      </c>
      <c r="B77" s="5" t="s">
        <v>5326</v>
      </c>
      <c r="C77" s="5" t="s">
        <v>4196</v>
      </c>
      <c r="D77" s="5" t="s">
        <v>1281</v>
      </c>
      <c r="E77" s="5"/>
      <c r="F77" s="45">
        <v>61.18</v>
      </c>
    </row>
    <row r="78" spans="1:6" hidden="1">
      <c r="A78" s="4" t="s">
        <v>5727</v>
      </c>
      <c r="B78" s="5" t="s">
        <v>5585</v>
      </c>
      <c r="C78" s="5" t="s">
        <v>4152</v>
      </c>
      <c r="D78" s="5" t="s">
        <v>1370</v>
      </c>
      <c r="E78" s="5"/>
      <c r="F78" s="45">
        <v>67.73</v>
      </c>
    </row>
    <row r="79" spans="1:6" hidden="1">
      <c r="A79" s="4" t="s">
        <v>5728</v>
      </c>
      <c r="B79" s="5" t="s">
        <v>5629</v>
      </c>
      <c r="C79" s="5" t="s">
        <v>4137</v>
      </c>
      <c r="D79" s="5" t="s">
        <v>1418</v>
      </c>
      <c r="E79" s="5"/>
      <c r="F79" s="45">
        <v>68.08</v>
      </c>
    </row>
    <row r="80" spans="1:6" hidden="1">
      <c r="A80" s="4" t="s">
        <v>5729</v>
      </c>
      <c r="B80" s="5" t="s">
        <v>5517</v>
      </c>
      <c r="C80" s="5" t="s">
        <v>4062</v>
      </c>
      <c r="D80" s="5" t="s">
        <v>1402</v>
      </c>
      <c r="E80" s="5"/>
      <c r="F80" s="45">
        <v>54.29</v>
      </c>
    </row>
    <row r="81" spans="1:6" hidden="1">
      <c r="A81" s="4" t="s">
        <v>5730</v>
      </c>
      <c r="B81" s="5" t="s">
        <v>5458</v>
      </c>
      <c r="C81" s="5" t="s">
        <v>3962</v>
      </c>
      <c r="D81" s="5" t="s">
        <v>1486</v>
      </c>
      <c r="E81" s="5"/>
      <c r="F81" s="45">
        <v>62.88</v>
      </c>
    </row>
    <row r="82" spans="1:6" hidden="1">
      <c r="A82" s="4" t="s">
        <v>5731</v>
      </c>
      <c r="B82" s="5" t="s">
        <v>5363</v>
      </c>
      <c r="C82" s="5" t="s">
        <v>4038</v>
      </c>
      <c r="D82" s="5" t="s">
        <v>1337</v>
      </c>
      <c r="E82" s="5"/>
      <c r="F82" s="45">
        <v>63.97</v>
      </c>
    </row>
    <row r="83" spans="1:6" hidden="1">
      <c r="A83" s="4" t="s">
        <v>5732</v>
      </c>
      <c r="B83" s="5" t="s">
        <v>5612</v>
      </c>
      <c r="C83" s="5" t="s">
        <v>4021</v>
      </c>
      <c r="D83" s="5" t="s">
        <v>1443</v>
      </c>
      <c r="E83" s="5"/>
      <c r="F83" s="45">
        <v>59.28</v>
      </c>
    </row>
    <row r="84" spans="1:6" hidden="1">
      <c r="A84" s="4" t="s">
        <v>5733</v>
      </c>
      <c r="B84" s="5" t="s">
        <v>5356</v>
      </c>
      <c r="C84" s="5" t="s">
        <v>3853</v>
      </c>
      <c r="D84" s="5" t="s">
        <v>1333</v>
      </c>
      <c r="E84" s="5"/>
      <c r="F84" s="45">
        <v>69.95</v>
      </c>
    </row>
    <row r="85" spans="1:6" hidden="1">
      <c r="A85" s="4" t="s">
        <v>5734</v>
      </c>
      <c r="B85" s="5" t="s">
        <v>5496</v>
      </c>
      <c r="C85" s="5" t="s">
        <v>4181</v>
      </c>
      <c r="D85" s="5" t="s">
        <v>1411</v>
      </c>
      <c r="E85" s="5"/>
      <c r="F85" s="45">
        <v>63.49</v>
      </c>
    </row>
    <row r="86" spans="1:6" hidden="1">
      <c r="A86" s="4" t="s">
        <v>5735</v>
      </c>
      <c r="B86" s="5" t="s">
        <v>5528</v>
      </c>
      <c r="C86" s="5" t="s">
        <v>4067</v>
      </c>
      <c r="D86" s="5" t="s">
        <v>1494</v>
      </c>
      <c r="E86" s="5"/>
      <c r="F86" s="45">
        <v>58.8</v>
      </c>
    </row>
    <row r="87" spans="1:6" hidden="1">
      <c r="A87" s="4" t="s">
        <v>5736</v>
      </c>
      <c r="B87" s="5" t="s">
        <v>5164</v>
      </c>
      <c r="C87" s="5" t="s">
        <v>4211</v>
      </c>
      <c r="D87" s="5" t="s">
        <v>1376</v>
      </c>
      <c r="E87" s="5"/>
      <c r="F87" s="45">
        <v>74.650000000000006</v>
      </c>
    </row>
    <row r="88" spans="1:6" hidden="1">
      <c r="A88" s="4" t="s">
        <v>5737</v>
      </c>
      <c r="B88" s="5" t="s">
        <v>5416</v>
      </c>
      <c r="C88" s="5" t="s">
        <v>3990</v>
      </c>
      <c r="D88" s="5" t="s">
        <v>1289</v>
      </c>
      <c r="E88" s="5"/>
      <c r="F88" s="45">
        <v>59.55</v>
      </c>
    </row>
    <row r="89" spans="1:6" hidden="1">
      <c r="A89" s="4" t="s">
        <v>5738</v>
      </c>
      <c r="B89" s="5" t="s">
        <v>5283</v>
      </c>
      <c r="C89" s="5" t="s">
        <v>4189</v>
      </c>
      <c r="D89" s="5" t="s">
        <v>1432</v>
      </c>
      <c r="E89" s="5"/>
      <c r="F89" s="45">
        <v>57.41</v>
      </c>
    </row>
    <row r="90" spans="1:6" hidden="1">
      <c r="A90" s="4" t="s">
        <v>5739</v>
      </c>
      <c r="B90" s="5" t="s">
        <v>5280</v>
      </c>
      <c r="C90" s="5" t="s">
        <v>4183</v>
      </c>
      <c r="D90" s="5" t="s">
        <v>1451</v>
      </c>
      <c r="E90" s="5"/>
      <c r="F90" s="45">
        <v>66.89</v>
      </c>
    </row>
    <row r="91" spans="1:6" hidden="1">
      <c r="A91" s="4" t="s">
        <v>5740</v>
      </c>
      <c r="B91" s="5" t="s">
        <v>5297</v>
      </c>
      <c r="C91" s="5" t="s">
        <v>3907</v>
      </c>
      <c r="D91" s="5" t="s">
        <v>1450</v>
      </c>
      <c r="E91" s="5"/>
      <c r="F91" s="45">
        <v>63.75</v>
      </c>
    </row>
    <row r="92" spans="1:6" hidden="1">
      <c r="A92" s="4" t="s">
        <v>5741</v>
      </c>
      <c r="B92" s="5" t="s">
        <v>5467</v>
      </c>
      <c r="C92" s="5" t="s">
        <v>4070</v>
      </c>
      <c r="D92" s="5" t="s">
        <v>1384</v>
      </c>
      <c r="E92" s="5"/>
      <c r="F92" s="45">
        <v>60.53</v>
      </c>
    </row>
    <row r="93" spans="1:6" hidden="1">
      <c r="A93" s="4" t="s">
        <v>5742</v>
      </c>
      <c r="B93" s="5" t="s">
        <v>5634</v>
      </c>
      <c r="C93" s="5" t="s">
        <v>4111</v>
      </c>
      <c r="D93" s="5" t="s">
        <v>1418</v>
      </c>
      <c r="E93" s="5"/>
      <c r="F93" s="45">
        <v>84.53</v>
      </c>
    </row>
    <row r="94" spans="1:6" hidden="1">
      <c r="A94" s="4" t="s">
        <v>5743</v>
      </c>
      <c r="B94" s="5" t="s">
        <v>5315</v>
      </c>
      <c r="C94" s="5" t="s">
        <v>3841</v>
      </c>
      <c r="D94" s="5" t="s">
        <v>1408</v>
      </c>
      <c r="E94" s="5"/>
      <c r="F94" s="45">
        <v>66.31</v>
      </c>
    </row>
    <row r="95" spans="1:6" hidden="1">
      <c r="A95" s="4" t="s">
        <v>5744</v>
      </c>
      <c r="B95" s="5" t="s">
        <v>5409</v>
      </c>
      <c r="C95" s="5" t="s">
        <v>4224</v>
      </c>
      <c r="D95" s="5" t="s">
        <v>1276</v>
      </c>
      <c r="E95" s="5"/>
      <c r="F95" s="45">
        <v>61.78</v>
      </c>
    </row>
    <row r="96" spans="1:6" hidden="1">
      <c r="A96" s="4" t="s">
        <v>5745</v>
      </c>
      <c r="B96" s="5" t="s">
        <v>5232</v>
      </c>
      <c r="C96" s="5" t="s">
        <v>4214</v>
      </c>
      <c r="D96" s="5" t="s">
        <v>1451</v>
      </c>
      <c r="E96" s="5"/>
      <c r="F96" s="45">
        <v>69.709999999999994</v>
      </c>
    </row>
    <row r="97" spans="1:6" hidden="1">
      <c r="A97" s="4" t="s">
        <v>5746</v>
      </c>
      <c r="B97" s="5" t="s">
        <v>5467</v>
      </c>
      <c r="C97" s="5" t="s">
        <v>4216</v>
      </c>
      <c r="D97" s="5" t="s">
        <v>1379</v>
      </c>
      <c r="E97" s="5"/>
      <c r="F97" s="45">
        <v>55.32</v>
      </c>
    </row>
    <row r="98" spans="1:6" hidden="1">
      <c r="A98" s="4" t="s">
        <v>5747</v>
      </c>
      <c r="B98" s="5" t="s">
        <v>5378</v>
      </c>
      <c r="C98" s="5" t="s">
        <v>4058</v>
      </c>
      <c r="D98" s="5" t="s">
        <v>1487</v>
      </c>
      <c r="E98" s="5"/>
      <c r="F98" s="45">
        <v>64.56</v>
      </c>
    </row>
    <row r="99" spans="1:6" hidden="1">
      <c r="A99" s="4" t="s">
        <v>5748</v>
      </c>
      <c r="B99" s="5" t="s">
        <v>5454</v>
      </c>
      <c r="C99" s="5" t="s">
        <v>4233</v>
      </c>
      <c r="D99" s="5" t="s">
        <v>1309</v>
      </c>
      <c r="E99" s="5"/>
      <c r="F99" s="45">
        <v>57.23</v>
      </c>
    </row>
    <row r="100" spans="1:6" hidden="1">
      <c r="A100" s="4" t="s">
        <v>5749</v>
      </c>
      <c r="B100" s="5" t="s">
        <v>5222</v>
      </c>
      <c r="C100" s="5" t="s">
        <v>4076</v>
      </c>
      <c r="D100" s="5" t="s">
        <v>1459</v>
      </c>
      <c r="E100" s="5"/>
      <c r="F100" s="45">
        <v>61.75</v>
      </c>
    </row>
    <row r="101" spans="1:6" hidden="1">
      <c r="A101" s="4" t="s">
        <v>5750</v>
      </c>
      <c r="B101" s="5" t="s">
        <v>5228</v>
      </c>
      <c r="C101" s="5" t="s">
        <v>3882</v>
      </c>
      <c r="D101" s="5" t="s">
        <v>1316</v>
      </c>
      <c r="E101" s="5"/>
      <c r="F101" s="45">
        <v>79.150000000000006</v>
      </c>
    </row>
    <row r="102" spans="1:6" hidden="1">
      <c r="A102" s="4" t="s">
        <v>5751</v>
      </c>
      <c r="B102" s="5" t="s">
        <v>5310</v>
      </c>
      <c r="C102" s="5" t="s">
        <v>4062</v>
      </c>
      <c r="D102" s="5" t="s">
        <v>1377</v>
      </c>
      <c r="E102" s="5"/>
      <c r="F102" s="45">
        <v>67.3</v>
      </c>
    </row>
    <row r="103" spans="1:6">
      <c r="A103" s="4" t="s">
        <v>5752</v>
      </c>
      <c r="B103" s="5" t="s">
        <v>5141</v>
      </c>
      <c r="C103" s="5" t="s">
        <v>3971</v>
      </c>
      <c r="D103" s="5" t="s">
        <v>1426</v>
      </c>
      <c r="E103" s="5"/>
      <c r="F103" s="45">
        <v>63.94</v>
      </c>
    </row>
    <row r="104" spans="1:6" hidden="1">
      <c r="A104" s="4" t="s">
        <v>5753</v>
      </c>
      <c r="B104" s="5" t="s">
        <v>5545</v>
      </c>
      <c r="C104" s="5" t="s">
        <v>3924</v>
      </c>
      <c r="D104" s="5" t="s">
        <v>1417</v>
      </c>
      <c r="E104" s="5"/>
      <c r="F104" s="45">
        <v>80.62</v>
      </c>
    </row>
    <row r="105" spans="1:6" hidden="1">
      <c r="A105" s="4" t="s">
        <v>5754</v>
      </c>
      <c r="B105" s="5" t="s">
        <v>5638</v>
      </c>
      <c r="C105" s="5" t="s">
        <v>3978</v>
      </c>
      <c r="D105" s="5" t="s">
        <v>1473</v>
      </c>
      <c r="E105" s="5"/>
      <c r="F105" s="45">
        <v>63.56</v>
      </c>
    </row>
    <row r="106" spans="1:6" hidden="1">
      <c r="A106" s="4" t="s">
        <v>5755</v>
      </c>
      <c r="B106" s="5" t="s">
        <v>5541</v>
      </c>
      <c r="C106" s="5" t="s">
        <v>4214</v>
      </c>
      <c r="D106" s="5" t="s">
        <v>1301</v>
      </c>
      <c r="E106" s="5"/>
      <c r="F106" s="45">
        <v>65.459999999999994</v>
      </c>
    </row>
    <row r="107" spans="1:6" hidden="1">
      <c r="A107" s="4" t="s">
        <v>5756</v>
      </c>
      <c r="B107" s="5" t="s">
        <v>5345</v>
      </c>
      <c r="C107" s="5" t="s">
        <v>3851</v>
      </c>
      <c r="D107" s="5" t="s">
        <v>1485</v>
      </c>
      <c r="E107" s="5"/>
      <c r="F107" s="45">
        <v>57.29</v>
      </c>
    </row>
    <row r="108" spans="1:6" hidden="1">
      <c r="A108" s="4" t="s">
        <v>5757</v>
      </c>
      <c r="B108" s="5" t="s">
        <v>5242</v>
      </c>
      <c r="C108" s="5" t="s">
        <v>4064</v>
      </c>
      <c r="D108" s="5" t="s">
        <v>1377</v>
      </c>
      <c r="E108" s="5"/>
      <c r="F108" s="45">
        <v>74.05</v>
      </c>
    </row>
    <row r="109" spans="1:6" hidden="1">
      <c r="A109" s="4" t="s">
        <v>5758</v>
      </c>
      <c r="B109" s="5" t="s">
        <v>5285</v>
      </c>
      <c r="C109" s="5" t="s">
        <v>4009</v>
      </c>
      <c r="D109" s="5" t="s">
        <v>1487</v>
      </c>
      <c r="E109" s="5"/>
      <c r="F109" s="45">
        <v>81.180000000000007</v>
      </c>
    </row>
    <row r="110" spans="1:6" hidden="1">
      <c r="A110" s="4" t="s">
        <v>5759</v>
      </c>
      <c r="B110" s="5" t="s">
        <v>5224</v>
      </c>
      <c r="C110" s="5" t="s">
        <v>3994</v>
      </c>
      <c r="D110" s="5" t="s">
        <v>1428</v>
      </c>
      <c r="E110" s="5"/>
      <c r="F110" s="45">
        <v>64.91</v>
      </c>
    </row>
    <row r="111" spans="1:6" hidden="1">
      <c r="A111" s="4" t="s">
        <v>5760</v>
      </c>
      <c r="B111" s="5" t="s">
        <v>5608</v>
      </c>
      <c r="C111" s="5" t="s">
        <v>4221</v>
      </c>
      <c r="D111" s="5" t="s">
        <v>1381</v>
      </c>
      <c r="E111" s="5"/>
      <c r="F111" s="45">
        <v>59.08</v>
      </c>
    </row>
    <row r="112" spans="1:6" hidden="1">
      <c r="A112" s="4" t="s">
        <v>5761</v>
      </c>
      <c r="B112" s="5" t="s">
        <v>5303</v>
      </c>
      <c r="C112" s="5" t="s">
        <v>4215</v>
      </c>
      <c r="D112" s="5" t="s">
        <v>1286</v>
      </c>
      <c r="E112" s="5"/>
      <c r="F112" s="45">
        <v>76.3</v>
      </c>
    </row>
    <row r="113" spans="1:6" hidden="1">
      <c r="A113" s="4" t="s">
        <v>5762</v>
      </c>
      <c r="B113" s="5" t="s">
        <v>5179</v>
      </c>
      <c r="C113" s="5" t="s">
        <v>3976</v>
      </c>
      <c r="D113" s="5" t="s">
        <v>1348</v>
      </c>
      <c r="E113" s="5"/>
      <c r="F113" s="45">
        <v>59.05</v>
      </c>
    </row>
    <row r="114" spans="1:6" hidden="1">
      <c r="A114" s="4" t="s">
        <v>5763</v>
      </c>
      <c r="B114" s="5" t="s">
        <v>5148</v>
      </c>
      <c r="C114" s="5" t="s">
        <v>4050</v>
      </c>
      <c r="D114" s="5" t="s">
        <v>1393</v>
      </c>
      <c r="E114" s="5"/>
      <c r="F114" s="45">
        <v>59.08</v>
      </c>
    </row>
    <row r="115" spans="1:6" hidden="1">
      <c r="A115" s="4" t="s">
        <v>5764</v>
      </c>
      <c r="B115" s="5" t="s">
        <v>5528</v>
      </c>
      <c r="C115" s="5" t="s">
        <v>4089</v>
      </c>
      <c r="D115" s="5" t="s">
        <v>1403</v>
      </c>
      <c r="E115" s="5"/>
      <c r="F115" s="45">
        <v>51.57</v>
      </c>
    </row>
    <row r="116" spans="1:6" hidden="1">
      <c r="A116" s="4" t="s">
        <v>5765</v>
      </c>
      <c r="B116" s="5" t="s">
        <v>5598</v>
      </c>
      <c r="C116" s="5" t="s">
        <v>3916</v>
      </c>
      <c r="D116" s="5" t="s">
        <v>1309</v>
      </c>
      <c r="E116" s="5"/>
      <c r="F116" s="45">
        <v>56.61</v>
      </c>
    </row>
    <row r="117" spans="1:6" hidden="1">
      <c r="A117" s="4" t="s">
        <v>5766</v>
      </c>
      <c r="B117" s="5" t="s">
        <v>5336</v>
      </c>
      <c r="C117" s="5" t="s">
        <v>3900</v>
      </c>
      <c r="D117" s="5" t="s">
        <v>1467</v>
      </c>
      <c r="E117" s="5"/>
      <c r="F117" s="45">
        <v>65.569999999999993</v>
      </c>
    </row>
    <row r="118" spans="1:6" hidden="1">
      <c r="A118" s="4" t="s">
        <v>5767</v>
      </c>
      <c r="B118" s="5" t="s">
        <v>5267</v>
      </c>
      <c r="C118" s="5" t="s">
        <v>4076</v>
      </c>
      <c r="D118" s="5" t="s">
        <v>1426</v>
      </c>
      <c r="E118" s="5"/>
      <c r="F118" s="45">
        <v>73.510000000000005</v>
      </c>
    </row>
    <row r="119" spans="1:6" hidden="1">
      <c r="A119" s="4" t="s">
        <v>5768</v>
      </c>
      <c r="B119" s="5" t="s">
        <v>5603</v>
      </c>
      <c r="C119" s="5" t="s">
        <v>4079</v>
      </c>
      <c r="D119" s="5" t="s">
        <v>1456</v>
      </c>
      <c r="E119" s="5"/>
      <c r="F119" s="45">
        <v>74.63</v>
      </c>
    </row>
    <row r="120" spans="1:6" hidden="1">
      <c r="A120" s="4" t="s">
        <v>5769</v>
      </c>
      <c r="B120" s="5" t="s">
        <v>5574</v>
      </c>
      <c r="C120" s="5" t="s">
        <v>3983</v>
      </c>
      <c r="D120" s="5" t="s">
        <v>1394</v>
      </c>
      <c r="E120" s="5"/>
      <c r="F120" s="45">
        <v>66.489999999999995</v>
      </c>
    </row>
    <row r="121" spans="1:6" hidden="1">
      <c r="A121" s="4" t="s">
        <v>5770</v>
      </c>
      <c r="B121" s="5" t="s">
        <v>5171</v>
      </c>
      <c r="C121" s="5" t="s">
        <v>4178</v>
      </c>
      <c r="D121" s="5" t="s">
        <v>1396</v>
      </c>
      <c r="E121" s="5"/>
      <c r="F121" s="45">
        <v>59.7</v>
      </c>
    </row>
    <row r="122" spans="1:6" hidden="1">
      <c r="A122" s="4" t="s">
        <v>5771</v>
      </c>
      <c r="B122" s="5" t="s">
        <v>5232</v>
      </c>
      <c r="C122" s="5" t="s">
        <v>4156</v>
      </c>
      <c r="D122" s="5" t="s">
        <v>1496</v>
      </c>
      <c r="E122" s="5"/>
      <c r="F122" s="45">
        <v>62.78</v>
      </c>
    </row>
    <row r="123" spans="1:6" hidden="1">
      <c r="A123" s="4" t="s">
        <v>5772</v>
      </c>
      <c r="B123" s="5" t="s">
        <v>5396</v>
      </c>
      <c r="C123" s="5" t="s">
        <v>4118</v>
      </c>
      <c r="D123" s="5" t="s">
        <v>1457</v>
      </c>
      <c r="E123" s="5"/>
      <c r="F123" s="45">
        <v>71.09</v>
      </c>
    </row>
    <row r="124" spans="1:6" hidden="1">
      <c r="A124" s="4" t="s">
        <v>5773</v>
      </c>
      <c r="B124" s="5" t="s">
        <v>5526</v>
      </c>
      <c r="C124" s="5" t="s">
        <v>4035</v>
      </c>
      <c r="D124" s="5" t="s">
        <v>1419</v>
      </c>
      <c r="E124" s="5"/>
      <c r="F124" s="45">
        <v>68.44</v>
      </c>
    </row>
    <row r="125" spans="1:6" hidden="1">
      <c r="A125" s="4" t="s">
        <v>5774</v>
      </c>
      <c r="B125" s="5" t="s">
        <v>5509</v>
      </c>
      <c r="C125" s="5" t="s">
        <v>3916</v>
      </c>
      <c r="D125" s="5" t="s">
        <v>1456</v>
      </c>
      <c r="E125" s="5"/>
      <c r="F125" s="45">
        <v>74.23</v>
      </c>
    </row>
    <row r="126" spans="1:6" hidden="1">
      <c r="A126" s="4" t="s">
        <v>5775</v>
      </c>
      <c r="B126" s="5" t="s">
        <v>5634</v>
      </c>
      <c r="C126" s="5" t="s">
        <v>3888</v>
      </c>
      <c r="D126" s="5" t="s">
        <v>1404</v>
      </c>
      <c r="E126" s="5"/>
      <c r="F126" s="45">
        <v>59.79</v>
      </c>
    </row>
    <row r="127" spans="1:6" hidden="1">
      <c r="A127" s="4" t="s">
        <v>5776</v>
      </c>
      <c r="B127" s="5" t="s">
        <v>5449</v>
      </c>
      <c r="C127" s="5" t="s">
        <v>3930</v>
      </c>
      <c r="D127" s="5" t="s">
        <v>1360</v>
      </c>
      <c r="E127" s="5"/>
      <c r="F127" s="45">
        <v>63.87</v>
      </c>
    </row>
    <row r="128" spans="1:6" hidden="1">
      <c r="A128" s="4" t="s">
        <v>5777</v>
      </c>
      <c r="B128" s="5" t="s">
        <v>5612</v>
      </c>
      <c r="C128" s="5" t="s">
        <v>3950</v>
      </c>
      <c r="D128" s="5" t="s">
        <v>1360</v>
      </c>
      <c r="E128" s="5"/>
      <c r="F128" s="45">
        <v>55.19</v>
      </c>
    </row>
    <row r="129" spans="1:6" hidden="1">
      <c r="A129" s="4" t="s">
        <v>5778</v>
      </c>
      <c r="B129" s="5" t="s">
        <v>5539</v>
      </c>
      <c r="C129" s="5" t="s">
        <v>4027</v>
      </c>
      <c r="D129" s="5" t="s">
        <v>1479</v>
      </c>
      <c r="E129" s="5"/>
      <c r="F129" s="45">
        <v>73.47</v>
      </c>
    </row>
    <row r="130" spans="1:6" hidden="1">
      <c r="A130" s="4" t="s">
        <v>5779</v>
      </c>
      <c r="B130" s="5" t="s">
        <v>5200</v>
      </c>
      <c r="C130" s="5" t="s">
        <v>4193</v>
      </c>
      <c r="D130" s="5" t="s">
        <v>1425</v>
      </c>
      <c r="E130" s="5"/>
      <c r="F130" s="45">
        <v>69.709999999999994</v>
      </c>
    </row>
    <row r="131" spans="1:6" hidden="1">
      <c r="A131" s="4" t="s">
        <v>5780</v>
      </c>
      <c r="B131" s="5" t="s">
        <v>5585</v>
      </c>
      <c r="C131" s="5" t="s">
        <v>3869</v>
      </c>
      <c r="D131" s="5" t="s">
        <v>1368</v>
      </c>
      <c r="E131" s="5"/>
      <c r="F131" s="45">
        <v>66.13</v>
      </c>
    </row>
    <row r="132" spans="1:6" hidden="1">
      <c r="A132" s="4" t="s">
        <v>5781</v>
      </c>
      <c r="B132" s="5" t="s">
        <v>5228</v>
      </c>
      <c r="C132" s="5" t="s">
        <v>4025</v>
      </c>
      <c r="D132" s="5" t="s">
        <v>1395</v>
      </c>
      <c r="E132" s="5"/>
      <c r="F132" s="45">
        <v>69.489999999999995</v>
      </c>
    </row>
    <row r="133" spans="1:6" hidden="1">
      <c r="A133" s="4" t="s">
        <v>5782</v>
      </c>
      <c r="B133" s="5" t="s">
        <v>5416</v>
      </c>
      <c r="C133" s="5" t="s">
        <v>3868</v>
      </c>
      <c r="D133" s="5" t="s">
        <v>1491</v>
      </c>
      <c r="E133" s="5"/>
      <c r="F133" s="45">
        <v>62.41</v>
      </c>
    </row>
    <row r="134" spans="1:6" hidden="1">
      <c r="A134" s="4" t="s">
        <v>5783</v>
      </c>
      <c r="B134" s="5" t="s">
        <v>5475</v>
      </c>
      <c r="C134" s="5" t="s">
        <v>4017</v>
      </c>
      <c r="D134" s="5" t="s">
        <v>1362</v>
      </c>
      <c r="E134" s="5"/>
      <c r="F134" s="45">
        <v>48.78</v>
      </c>
    </row>
    <row r="135" spans="1:6" hidden="1">
      <c r="A135" s="4" t="s">
        <v>5784</v>
      </c>
      <c r="B135" s="5" t="s">
        <v>5336</v>
      </c>
      <c r="C135" s="5" t="s">
        <v>3879</v>
      </c>
      <c r="D135" s="5" t="s">
        <v>1299</v>
      </c>
      <c r="E135" s="5"/>
      <c r="F135" s="45">
        <v>80.94</v>
      </c>
    </row>
    <row r="136" spans="1:6" hidden="1">
      <c r="A136" s="4" t="s">
        <v>5785</v>
      </c>
      <c r="B136" s="5" t="s">
        <v>5615</v>
      </c>
      <c r="C136" s="5" t="s">
        <v>4028</v>
      </c>
      <c r="D136" s="5" t="s">
        <v>1405</v>
      </c>
      <c r="E136" s="5"/>
      <c r="F136" s="45">
        <v>57.78</v>
      </c>
    </row>
    <row r="137" spans="1:6" hidden="1">
      <c r="A137" s="4" t="s">
        <v>5786</v>
      </c>
      <c r="B137" s="5" t="s">
        <v>5200</v>
      </c>
      <c r="C137" s="5" t="s">
        <v>4039</v>
      </c>
      <c r="D137" s="5" t="s">
        <v>1397</v>
      </c>
      <c r="E137" s="5"/>
      <c r="F137" s="45">
        <v>68.989999999999995</v>
      </c>
    </row>
    <row r="138" spans="1:6" hidden="1">
      <c r="A138" s="4" t="s">
        <v>5787</v>
      </c>
      <c r="B138" s="5" t="s">
        <v>5581</v>
      </c>
      <c r="C138" s="5" t="s">
        <v>3855</v>
      </c>
      <c r="D138" s="5" t="s">
        <v>1466</v>
      </c>
      <c r="E138" s="5"/>
      <c r="F138" s="45">
        <v>57.6</v>
      </c>
    </row>
    <row r="139" spans="1:6" hidden="1">
      <c r="A139" s="4" t="s">
        <v>5788</v>
      </c>
      <c r="B139" s="5" t="s">
        <v>5555</v>
      </c>
      <c r="C139" s="5" t="s">
        <v>3881</v>
      </c>
      <c r="D139" s="5" t="s">
        <v>1318</v>
      </c>
      <c r="E139" s="5"/>
      <c r="F139" s="45">
        <v>76.010000000000005</v>
      </c>
    </row>
    <row r="140" spans="1:6" hidden="1">
      <c r="A140" s="4" t="s">
        <v>5789</v>
      </c>
      <c r="B140" s="5" t="s">
        <v>5526</v>
      </c>
      <c r="C140" s="5" t="s">
        <v>4146</v>
      </c>
      <c r="D140" s="5" t="s">
        <v>1484</v>
      </c>
      <c r="E140" s="5"/>
      <c r="F140" s="45">
        <v>56.38</v>
      </c>
    </row>
    <row r="141" spans="1:6" hidden="1">
      <c r="A141" s="4" t="s">
        <v>5790</v>
      </c>
      <c r="B141" s="5" t="s">
        <v>5232</v>
      </c>
      <c r="C141" s="5" t="s">
        <v>3949</v>
      </c>
      <c r="D141" s="5" t="s">
        <v>1438</v>
      </c>
      <c r="E141" s="5"/>
      <c r="F141" s="45">
        <v>72.75</v>
      </c>
    </row>
    <row r="142" spans="1:6" hidden="1">
      <c r="A142" s="4" t="s">
        <v>5791</v>
      </c>
      <c r="B142" s="5" t="s">
        <v>5638</v>
      </c>
      <c r="C142" s="5" t="s">
        <v>4093</v>
      </c>
      <c r="D142" s="5" t="s">
        <v>1467</v>
      </c>
      <c r="E142" s="5"/>
      <c r="F142" s="45">
        <v>54.25</v>
      </c>
    </row>
    <row r="143" spans="1:6" hidden="1">
      <c r="A143" s="4" t="s">
        <v>5792</v>
      </c>
      <c r="B143" s="5" t="s">
        <v>5398</v>
      </c>
      <c r="C143" s="5" t="s">
        <v>4049</v>
      </c>
      <c r="D143" s="5" t="s">
        <v>1473</v>
      </c>
      <c r="E143" s="5"/>
      <c r="F143" s="45">
        <v>66.09</v>
      </c>
    </row>
    <row r="144" spans="1:6" hidden="1">
      <c r="A144" s="4" t="s">
        <v>5793</v>
      </c>
      <c r="B144" s="5" t="s">
        <v>5258</v>
      </c>
      <c r="C144" s="5" t="s">
        <v>3854</v>
      </c>
      <c r="D144" s="5" t="s">
        <v>1459</v>
      </c>
      <c r="E144" s="5"/>
      <c r="F144" s="45">
        <v>61.62</v>
      </c>
    </row>
    <row r="145" spans="1:6" hidden="1">
      <c r="A145" s="4" t="s">
        <v>5794</v>
      </c>
      <c r="B145" s="5" t="s">
        <v>5289</v>
      </c>
      <c r="C145" s="5" t="s">
        <v>4117</v>
      </c>
      <c r="D145" s="5" t="s">
        <v>1276</v>
      </c>
      <c r="E145" s="5"/>
      <c r="F145" s="45">
        <v>53.6</v>
      </c>
    </row>
    <row r="146" spans="1:6" hidden="1">
      <c r="A146" s="4" t="s">
        <v>5795</v>
      </c>
      <c r="B146" s="5" t="s">
        <v>5319</v>
      </c>
      <c r="C146" s="5" t="s">
        <v>3913</v>
      </c>
      <c r="D146" s="5" t="s">
        <v>1379</v>
      </c>
      <c r="E146" s="5"/>
      <c r="F146" s="45">
        <v>77.77</v>
      </c>
    </row>
    <row r="147" spans="1:6" hidden="1">
      <c r="A147" s="4" t="s">
        <v>5796</v>
      </c>
      <c r="B147" s="5" t="s">
        <v>5267</v>
      </c>
      <c r="C147" s="5" t="s">
        <v>3998</v>
      </c>
      <c r="D147" s="5" t="s">
        <v>1353</v>
      </c>
      <c r="E147" s="5"/>
      <c r="F147" s="45">
        <v>61.64</v>
      </c>
    </row>
    <row r="148" spans="1:6" hidden="1">
      <c r="A148" s="4" t="s">
        <v>5797</v>
      </c>
      <c r="B148" s="5" t="s">
        <v>5232</v>
      </c>
      <c r="C148" s="5" t="s">
        <v>3862</v>
      </c>
      <c r="D148" s="5" t="s">
        <v>1471</v>
      </c>
      <c r="E148" s="5"/>
      <c r="F148" s="45">
        <v>72.760000000000005</v>
      </c>
    </row>
    <row r="149" spans="1:6" hidden="1">
      <c r="A149" s="4" t="s">
        <v>5798</v>
      </c>
      <c r="B149" s="5" t="s">
        <v>5467</v>
      </c>
      <c r="C149" s="5" t="s">
        <v>3988</v>
      </c>
      <c r="D149" s="5" t="s">
        <v>1493</v>
      </c>
      <c r="E149" s="5"/>
      <c r="F149" s="45">
        <v>66.92</v>
      </c>
    </row>
    <row r="150" spans="1:6" hidden="1">
      <c r="A150" s="4" t="s">
        <v>5799</v>
      </c>
      <c r="B150" s="5" t="s">
        <v>5433</v>
      </c>
      <c r="C150" s="5" t="s">
        <v>4086</v>
      </c>
      <c r="D150" s="5" t="s">
        <v>1402</v>
      </c>
      <c r="E150" s="5"/>
      <c r="F150" s="45">
        <v>63.74</v>
      </c>
    </row>
    <row r="151" spans="1:6" hidden="1">
      <c r="A151" s="4" t="s">
        <v>5800</v>
      </c>
      <c r="B151" s="5" t="s">
        <v>5234</v>
      </c>
      <c r="C151" s="5" t="s">
        <v>4209</v>
      </c>
      <c r="D151" s="5" t="s">
        <v>1324</v>
      </c>
      <c r="E151" s="5"/>
      <c r="F151" s="45">
        <v>70.3</v>
      </c>
    </row>
    <row r="152" spans="1:6" hidden="1">
      <c r="A152" s="4" t="s">
        <v>5801</v>
      </c>
      <c r="B152" s="5" t="s">
        <v>5208</v>
      </c>
      <c r="C152" s="5" t="s">
        <v>4203</v>
      </c>
      <c r="D152" s="5" t="s">
        <v>1472</v>
      </c>
      <c r="E152" s="5"/>
      <c r="F152" s="45">
        <v>58.96</v>
      </c>
    </row>
    <row r="153" spans="1:6" hidden="1">
      <c r="A153" s="4" t="s">
        <v>5802</v>
      </c>
      <c r="B153" s="5" t="s">
        <v>5232</v>
      </c>
      <c r="C153" s="5" t="s">
        <v>4041</v>
      </c>
      <c r="D153" s="5" t="s">
        <v>1422</v>
      </c>
      <c r="E153" s="5"/>
      <c r="F153" s="45">
        <v>66.02</v>
      </c>
    </row>
    <row r="154" spans="1:6" hidden="1">
      <c r="A154" s="4" t="s">
        <v>5803</v>
      </c>
      <c r="B154" s="5" t="s">
        <v>5361</v>
      </c>
      <c r="C154" s="5" t="s">
        <v>4016</v>
      </c>
      <c r="D154" s="5" t="s">
        <v>1432</v>
      </c>
      <c r="E154" s="5"/>
      <c r="F154" s="45">
        <v>69.760000000000005</v>
      </c>
    </row>
    <row r="155" spans="1:6" hidden="1">
      <c r="A155" s="4" t="s">
        <v>5804</v>
      </c>
      <c r="B155" s="5" t="s">
        <v>5148</v>
      </c>
      <c r="C155" s="5" t="s">
        <v>3942</v>
      </c>
      <c r="D155" s="5" t="s">
        <v>1480</v>
      </c>
      <c r="E155" s="5"/>
      <c r="F155" s="45">
        <v>64.180000000000007</v>
      </c>
    </row>
    <row r="156" spans="1:6" hidden="1">
      <c r="A156" s="4" t="s">
        <v>5805</v>
      </c>
      <c r="B156" s="5" t="s">
        <v>5526</v>
      </c>
      <c r="C156" s="5" t="s">
        <v>4088</v>
      </c>
      <c r="D156" s="5" t="s">
        <v>1364</v>
      </c>
      <c r="E156" s="5"/>
      <c r="F156" s="45">
        <v>60.68</v>
      </c>
    </row>
    <row r="157" spans="1:6" hidden="1">
      <c r="A157" s="4" t="s">
        <v>5806</v>
      </c>
      <c r="B157" s="5" t="s">
        <v>5332</v>
      </c>
      <c r="C157" s="5" t="s">
        <v>4106</v>
      </c>
      <c r="D157" s="5" t="s">
        <v>1426</v>
      </c>
      <c r="E157" s="5"/>
      <c r="F157" s="45">
        <v>60.15</v>
      </c>
    </row>
    <row r="158" spans="1:6" hidden="1">
      <c r="A158" s="4" t="s">
        <v>5807</v>
      </c>
      <c r="B158" s="5" t="s">
        <v>5647</v>
      </c>
      <c r="C158" s="5" t="s">
        <v>4222</v>
      </c>
      <c r="D158" s="5" t="s">
        <v>1499</v>
      </c>
      <c r="E158" s="5"/>
      <c r="F158" s="45">
        <v>63.43</v>
      </c>
    </row>
    <row r="159" spans="1:6" hidden="1">
      <c r="A159" s="4" t="s">
        <v>5808</v>
      </c>
      <c r="B159" s="5" t="s">
        <v>5280</v>
      </c>
      <c r="C159" s="5" t="s">
        <v>4041</v>
      </c>
      <c r="D159" s="5" t="s">
        <v>1480</v>
      </c>
      <c r="E159" s="5"/>
      <c r="F159" s="45">
        <v>70.739999999999995</v>
      </c>
    </row>
    <row r="160" spans="1:6" hidden="1">
      <c r="A160" s="4" t="s">
        <v>5809</v>
      </c>
      <c r="B160" s="5" t="s">
        <v>5291</v>
      </c>
      <c r="C160" s="5" t="s">
        <v>4099</v>
      </c>
      <c r="D160" s="5" t="s">
        <v>1372</v>
      </c>
      <c r="E160" s="5"/>
      <c r="F160" s="45">
        <v>72.17</v>
      </c>
    </row>
    <row r="161" spans="1:6" hidden="1">
      <c r="A161" s="4" t="s">
        <v>5810</v>
      </c>
      <c r="B161" s="5" t="s">
        <v>5422</v>
      </c>
      <c r="C161" s="5" t="s">
        <v>4228</v>
      </c>
      <c r="D161" s="5" t="s">
        <v>1492</v>
      </c>
      <c r="E161" s="5"/>
      <c r="F161" s="45">
        <v>70.900000000000006</v>
      </c>
    </row>
    <row r="162" spans="1:6" hidden="1">
      <c r="A162" s="4" t="s">
        <v>5811</v>
      </c>
      <c r="B162" s="5" t="s">
        <v>5216</v>
      </c>
      <c r="C162" s="5" t="s">
        <v>3908</v>
      </c>
      <c r="D162" s="5" t="s">
        <v>1322</v>
      </c>
      <c r="E162" s="5"/>
      <c r="F162" s="45">
        <v>58.77</v>
      </c>
    </row>
    <row r="163" spans="1:6" hidden="1">
      <c r="A163" s="4" t="s">
        <v>5812</v>
      </c>
      <c r="B163" s="5" t="s">
        <v>5641</v>
      </c>
      <c r="C163" s="5" t="s">
        <v>4208</v>
      </c>
      <c r="D163" s="5" t="s">
        <v>1495</v>
      </c>
      <c r="E163" s="5"/>
      <c r="F163" s="45">
        <v>67.22</v>
      </c>
    </row>
    <row r="164" spans="1:6" hidden="1">
      <c r="A164" s="4" t="s">
        <v>5813</v>
      </c>
      <c r="B164" s="5" t="s">
        <v>5456</v>
      </c>
      <c r="C164" s="5" t="s">
        <v>4009</v>
      </c>
      <c r="D164" s="5" t="s">
        <v>1494</v>
      </c>
      <c r="E164" s="5"/>
      <c r="F164" s="45">
        <v>68.58</v>
      </c>
    </row>
    <row r="165" spans="1:6" hidden="1">
      <c r="A165" s="4" t="s">
        <v>5814</v>
      </c>
      <c r="B165" s="5" t="s">
        <v>5368</v>
      </c>
      <c r="C165" s="5" t="s">
        <v>4227</v>
      </c>
      <c r="D165" s="5" t="s">
        <v>1284</v>
      </c>
      <c r="E165" s="5"/>
      <c r="F165" s="45">
        <v>64.8</v>
      </c>
    </row>
    <row r="166" spans="1:6" hidden="1">
      <c r="A166" s="4" t="s">
        <v>5815</v>
      </c>
      <c r="B166" s="5" t="s">
        <v>5475</v>
      </c>
      <c r="C166" s="5" t="s">
        <v>3994</v>
      </c>
      <c r="D166" s="5" t="s">
        <v>1481</v>
      </c>
      <c r="E166" s="5"/>
      <c r="F166" s="45">
        <v>72.489999999999995</v>
      </c>
    </row>
    <row r="167" spans="1:6" hidden="1">
      <c r="A167" s="4" t="s">
        <v>5816</v>
      </c>
      <c r="B167" s="5" t="s">
        <v>5591</v>
      </c>
      <c r="C167" s="5" t="s">
        <v>4016</v>
      </c>
      <c r="D167" s="5" t="s">
        <v>1449</v>
      </c>
      <c r="E167" s="5"/>
      <c r="F167" s="45">
        <v>72.790000000000006</v>
      </c>
    </row>
    <row r="168" spans="1:6" hidden="1">
      <c r="A168" s="4" t="s">
        <v>5817</v>
      </c>
      <c r="B168" s="5" t="s">
        <v>5297</v>
      </c>
      <c r="C168" s="5" t="s">
        <v>4030</v>
      </c>
      <c r="D168" s="5" t="s">
        <v>1443</v>
      </c>
      <c r="E168" s="5"/>
      <c r="F168" s="45">
        <v>59.06</v>
      </c>
    </row>
    <row r="169" spans="1:6" hidden="1">
      <c r="A169" s="4" t="s">
        <v>5818</v>
      </c>
      <c r="B169" s="5" t="s">
        <v>5511</v>
      </c>
      <c r="C169" s="5" t="s">
        <v>3947</v>
      </c>
      <c r="D169" s="5" t="s">
        <v>1468</v>
      </c>
      <c r="E169" s="5"/>
      <c r="F169" s="45">
        <v>49.37</v>
      </c>
    </row>
    <row r="170" spans="1:6" hidden="1">
      <c r="A170" s="4" t="s">
        <v>5819</v>
      </c>
      <c r="B170" s="5" t="s">
        <v>5462</v>
      </c>
      <c r="C170" s="5" t="s">
        <v>4154</v>
      </c>
      <c r="D170" s="5" t="s">
        <v>1457</v>
      </c>
      <c r="E170" s="5"/>
      <c r="F170" s="45">
        <v>68.81</v>
      </c>
    </row>
    <row r="171" spans="1:6" hidden="1">
      <c r="A171" s="4" t="s">
        <v>5820</v>
      </c>
      <c r="B171" s="5" t="s">
        <v>5390</v>
      </c>
      <c r="C171" s="5" t="s">
        <v>3845</v>
      </c>
      <c r="D171" s="5" t="s">
        <v>1431</v>
      </c>
      <c r="E171" s="5"/>
      <c r="F171" s="45">
        <v>62.73</v>
      </c>
    </row>
    <row r="172" spans="1:6" hidden="1">
      <c r="A172" s="4" t="s">
        <v>5821</v>
      </c>
      <c r="B172" s="5" t="s">
        <v>5181</v>
      </c>
      <c r="C172" s="5" t="s">
        <v>4116</v>
      </c>
      <c r="D172" s="5" t="s">
        <v>1475</v>
      </c>
      <c r="E172" s="5"/>
      <c r="F172" s="45">
        <v>62.39</v>
      </c>
    </row>
    <row r="173" spans="1:6" hidden="1">
      <c r="A173" s="4" t="s">
        <v>5822</v>
      </c>
      <c r="B173" s="5" t="s">
        <v>5647</v>
      </c>
      <c r="C173" s="5" t="s">
        <v>4193</v>
      </c>
      <c r="D173" s="5" t="s">
        <v>1498</v>
      </c>
      <c r="E173" s="5"/>
      <c r="F173" s="45">
        <v>79.260000000000005</v>
      </c>
    </row>
    <row r="174" spans="1:6" hidden="1">
      <c r="A174" s="4" t="s">
        <v>5823</v>
      </c>
      <c r="B174" s="5" t="s">
        <v>5258</v>
      </c>
      <c r="C174" s="5" t="s">
        <v>4100</v>
      </c>
      <c r="D174" s="5" t="s">
        <v>1400</v>
      </c>
      <c r="E174" s="5"/>
      <c r="F174" s="45">
        <v>73.3</v>
      </c>
    </row>
    <row r="175" spans="1:6" hidden="1">
      <c r="A175" s="4" t="s">
        <v>5824</v>
      </c>
      <c r="B175" s="5" t="s">
        <v>5186</v>
      </c>
      <c r="C175" s="5" t="s">
        <v>4234</v>
      </c>
      <c r="D175" s="5" t="s">
        <v>1452</v>
      </c>
      <c r="E175" s="5"/>
      <c r="F175" s="45">
        <v>68.22</v>
      </c>
    </row>
    <row r="176" spans="1:6" hidden="1">
      <c r="A176" s="4" t="s">
        <v>5825</v>
      </c>
      <c r="B176" s="5" t="s">
        <v>5380</v>
      </c>
      <c r="C176" s="5" t="s">
        <v>4156</v>
      </c>
      <c r="D176" s="5" t="s">
        <v>1320</v>
      </c>
      <c r="E176" s="5"/>
      <c r="F176" s="45">
        <v>76.77</v>
      </c>
    </row>
    <row r="177" spans="1:6" hidden="1">
      <c r="A177" s="4" t="s">
        <v>5826</v>
      </c>
      <c r="B177" s="5" t="s">
        <v>5456</v>
      </c>
      <c r="C177" s="5" t="s">
        <v>4078</v>
      </c>
      <c r="D177" s="5" t="s">
        <v>1307</v>
      </c>
      <c r="E177" s="5"/>
      <c r="F177" s="45">
        <v>70.989999999999995</v>
      </c>
    </row>
    <row r="178" spans="1:6" hidden="1">
      <c r="A178" s="4" t="s">
        <v>5827</v>
      </c>
      <c r="B178" s="5" t="s">
        <v>5164</v>
      </c>
      <c r="C178" s="5" t="s">
        <v>3844</v>
      </c>
      <c r="D178" s="5" t="s">
        <v>1426</v>
      </c>
      <c r="E178" s="5"/>
      <c r="F178" s="45">
        <v>66.77</v>
      </c>
    </row>
    <row r="179" spans="1:6" hidden="1">
      <c r="A179" s="4" t="s">
        <v>5828</v>
      </c>
      <c r="B179" s="5" t="s">
        <v>5475</v>
      </c>
      <c r="C179" s="5" t="s">
        <v>3930</v>
      </c>
      <c r="D179" s="5" t="s">
        <v>1471</v>
      </c>
      <c r="E179" s="5"/>
      <c r="F179" s="45">
        <v>76.14</v>
      </c>
    </row>
    <row r="180" spans="1:6" hidden="1">
      <c r="A180" s="4" t="s">
        <v>5829</v>
      </c>
      <c r="B180" s="5" t="s">
        <v>5222</v>
      </c>
      <c r="C180" s="5" t="s">
        <v>4024</v>
      </c>
      <c r="D180" s="5" t="s">
        <v>1480</v>
      </c>
      <c r="E180" s="5"/>
      <c r="F180" s="45">
        <v>55.23</v>
      </c>
    </row>
    <row r="181" spans="1:6" hidden="1">
      <c r="A181" s="4" t="s">
        <v>5830</v>
      </c>
      <c r="B181" s="5" t="s">
        <v>5297</v>
      </c>
      <c r="C181" s="5" t="s">
        <v>3906</v>
      </c>
      <c r="D181" s="5" t="s">
        <v>1404</v>
      </c>
      <c r="E181" s="5"/>
      <c r="F181" s="45">
        <v>72.52</v>
      </c>
    </row>
    <row r="182" spans="1:6" hidden="1">
      <c r="A182" s="4" t="s">
        <v>5831</v>
      </c>
      <c r="B182" s="5" t="s">
        <v>5456</v>
      </c>
      <c r="C182" s="5" t="s">
        <v>4088</v>
      </c>
      <c r="D182" s="5" t="s">
        <v>1331</v>
      </c>
      <c r="E182" s="5"/>
      <c r="F182" s="45">
        <v>68.83</v>
      </c>
    </row>
    <row r="183" spans="1:6" hidden="1">
      <c r="A183" s="4" t="s">
        <v>5832</v>
      </c>
      <c r="B183" s="5" t="s">
        <v>5574</v>
      </c>
      <c r="C183" s="5" t="s">
        <v>3848</v>
      </c>
      <c r="D183" s="5" t="s">
        <v>1347</v>
      </c>
      <c r="E183" s="5"/>
      <c r="F183" s="45">
        <v>54.48</v>
      </c>
    </row>
    <row r="184" spans="1:6" hidden="1">
      <c r="A184" s="4" t="s">
        <v>5833</v>
      </c>
      <c r="B184" s="5" t="s">
        <v>5477</v>
      </c>
      <c r="C184" s="5" t="s">
        <v>3974</v>
      </c>
      <c r="D184" s="5" t="s">
        <v>1463</v>
      </c>
      <c r="E184" s="5"/>
      <c r="F184" s="45">
        <v>62.47</v>
      </c>
    </row>
    <row r="185" spans="1:6" hidden="1">
      <c r="A185" s="4" t="s">
        <v>5834</v>
      </c>
      <c r="B185" s="5" t="s">
        <v>5456</v>
      </c>
      <c r="C185" s="5" t="s">
        <v>3976</v>
      </c>
      <c r="D185" s="5" t="s">
        <v>1454</v>
      </c>
      <c r="E185" s="5"/>
      <c r="F185" s="45">
        <v>72.760000000000005</v>
      </c>
    </row>
    <row r="186" spans="1:6" hidden="1">
      <c r="A186" s="4" t="s">
        <v>5835</v>
      </c>
      <c r="B186" s="5" t="s">
        <v>5475</v>
      </c>
      <c r="C186" s="5" t="s">
        <v>4065</v>
      </c>
      <c r="D186" s="5" t="s">
        <v>1498</v>
      </c>
      <c r="E186" s="5"/>
      <c r="F186" s="45">
        <v>72.75</v>
      </c>
    </row>
    <row r="187" spans="1:6" hidden="1">
      <c r="A187" s="4" t="s">
        <v>5836</v>
      </c>
      <c r="B187" s="5" t="s">
        <v>5208</v>
      </c>
      <c r="C187" s="5" t="s">
        <v>4170</v>
      </c>
      <c r="D187" s="5" t="s">
        <v>1368</v>
      </c>
      <c r="E187" s="5"/>
      <c r="F187" s="45">
        <v>51.64</v>
      </c>
    </row>
    <row r="188" spans="1:6" hidden="1">
      <c r="A188" s="4" t="s">
        <v>5837</v>
      </c>
      <c r="B188" s="5" t="s">
        <v>5513</v>
      </c>
      <c r="C188" s="5" t="s">
        <v>4104</v>
      </c>
      <c r="D188" s="5" t="s">
        <v>1281</v>
      </c>
      <c r="E188" s="5"/>
      <c r="F188" s="45">
        <v>66.69</v>
      </c>
    </row>
    <row r="189" spans="1:6" hidden="1">
      <c r="A189" s="4" t="s">
        <v>5838</v>
      </c>
      <c r="B189" s="5" t="s">
        <v>5477</v>
      </c>
      <c r="C189" s="5" t="s">
        <v>3958</v>
      </c>
      <c r="D189" s="5" t="s">
        <v>1479</v>
      </c>
      <c r="E189" s="5"/>
      <c r="F189" s="45">
        <v>66.819999999999993</v>
      </c>
    </row>
    <row r="190" spans="1:6" hidden="1">
      <c r="A190" s="4" t="s">
        <v>5839</v>
      </c>
      <c r="B190" s="5" t="s">
        <v>5315</v>
      </c>
      <c r="C190" s="5" t="s">
        <v>3973</v>
      </c>
      <c r="D190" s="5" t="s">
        <v>1331</v>
      </c>
      <c r="E190" s="5"/>
      <c r="F190" s="45">
        <v>69.59</v>
      </c>
    </row>
    <row r="191" spans="1:6" hidden="1">
      <c r="A191" s="4" t="s">
        <v>5840</v>
      </c>
      <c r="B191" s="5" t="s">
        <v>5438</v>
      </c>
      <c r="C191" s="5" t="s">
        <v>4104</v>
      </c>
      <c r="D191" s="5" t="s">
        <v>1377</v>
      </c>
      <c r="E191" s="5"/>
      <c r="F191" s="45">
        <v>63.84</v>
      </c>
    </row>
    <row r="192" spans="1:6" hidden="1">
      <c r="A192" s="4" t="s">
        <v>5841</v>
      </c>
      <c r="B192" s="5" t="s">
        <v>5598</v>
      </c>
      <c r="C192" s="5" t="s">
        <v>3987</v>
      </c>
      <c r="D192" s="5" t="s">
        <v>1307</v>
      </c>
      <c r="E192" s="5"/>
      <c r="F192" s="45">
        <v>62.28</v>
      </c>
    </row>
    <row r="193" spans="1:6" hidden="1">
      <c r="A193" s="4" t="s">
        <v>5842</v>
      </c>
      <c r="B193" s="5" t="s">
        <v>5545</v>
      </c>
      <c r="C193" s="5" t="s">
        <v>4130</v>
      </c>
      <c r="D193" s="5" t="s">
        <v>1353</v>
      </c>
      <c r="E193" s="5"/>
      <c r="F193" s="45">
        <v>64.23</v>
      </c>
    </row>
    <row r="194" spans="1:6" hidden="1">
      <c r="A194" s="4" t="s">
        <v>5843</v>
      </c>
      <c r="B194" s="5" t="s">
        <v>5483</v>
      </c>
      <c r="C194" s="5" t="s">
        <v>3945</v>
      </c>
      <c r="D194" s="5" t="s">
        <v>1494</v>
      </c>
      <c r="E194" s="5"/>
      <c r="F194" s="45">
        <v>70.739999999999995</v>
      </c>
    </row>
    <row r="195" spans="1:6" hidden="1">
      <c r="A195" s="4" t="s">
        <v>5844</v>
      </c>
      <c r="B195" s="5" t="s">
        <v>5354</v>
      </c>
      <c r="C195" s="5" t="s">
        <v>4155</v>
      </c>
      <c r="D195" s="5" t="s">
        <v>1400</v>
      </c>
      <c r="E195" s="5"/>
      <c r="F195" s="45">
        <v>63.17</v>
      </c>
    </row>
    <row r="196" spans="1:6" hidden="1">
      <c r="A196" s="4" t="s">
        <v>5845</v>
      </c>
      <c r="B196" s="5" t="s">
        <v>5222</v>
      </c>
      <c r="C196" s="5" t="s">
        <v>4023</v>
      </c>
      <c r="D196" s="5" t="s">
        <v>1345</v>
      </c>
      <c r="E196" s="5"/>
      <c r="F196" s="45">
        <v>70.069999999999993</v>
      </c>
    </row>
    <row r="197" spans="1:6" hidden="1">
      <c r="A197" s="4" t="s">
        <v>5846</v>
      </c>
      <c r="B197" s="5" t="s">
        <v>5310</v>
      </c>
      <c r="C197" s="5" t="s">
        <v>3926</v>
      </c>
      <c r="D197" s="5" t="s">
        <v>1498</v>
      </c>
      <c r="E197" s="5"/>
      <c r="F197" s="45">
        <v>76.37</v>
      </c>
    </row>
    <row r="198" spans="1:6" hidden="1">
      <c r="A198" s="4" t="s">
        <v>5847</v>
      </c>
      <c r="B198" s="5" t="s">
        <v>5238</v>
      </c>
      <c r="C198" s="5" t="s">
        <v>4065</v>
      </c>
      <c r="D198" s="5" t="s">
        <v>1453</v>
      </c>
      <c r="E198" s="5"/>
      <c r="F198" s="45">
        <v>72.099999999999994</v>
      </c>
    </row>
    <row r="199" spans="1:6" hidden="1">
      <c r="A199" s="4" t="s">
        <v>5848</v>
      </c>
      <c r="B199" s="5" t="s">
        <v>5275</v>
      </c>
      <c r="C199" s="5" t="s">
        <v>3912</v>
      </c>
      <c r="D199" s="5" t="s">
        <v>1466</v>
      </c>
      <c r="E199" s="5"/>
      <c r="F199" s="45">
        <v>71.13</v>
      </c>
    </row>
    <row r="200" spans="1:6" hidden="1">
      <c r="A200" s="4" t="s">
        <v>5849</v>
      </c>
      <c r="B200" s="5" t="s">
        <v>5553</v>
      </c>
      <c r="C200" s="5" t="s">
        <v>4009</v>
      </c>
      <c r="D200" s="5" t="s">
        <v>1419</v>
      </c>
      <c r="E200" s="5"/>
      <c r="F200" s="45">
        <v>73.09</v>
      </c>
    </row>
    <row r="201" spans="1:6" hidden="1">
      <c r="A201" s="4" t="s">
        <v>5850</v>
      </c>
      <c r="B201" s="5" t="s">
        <v>5271</v>
      </c>
      <c r="C201" s="5" t="s">
        <v>4090</v>
      </c>
      <c r="D201" s="5" t="s">
        <v>1417</v>
      </c>
      <c r="E201" s="5"/>
      <c r="F201" s="45">
        <v>70.959999999999994</v>
      </c>
    </row>
    <row r="202" spans="1:6" hidden="1">
      <c r="A202" s="4" t="s">
        <v>5851</v>
      </c>
      <c r="B202" s="5" t="s">
        <v>5509</v>
      </c>
      <c r="C202" s="5" t="s">
        <v>4148</v>
      </c>
      <c r="D202" s="5" t="s">
        <v>1360</v>
      </c>
      <c r="E202" s="5"/>
      <c r="F202" s="45">
        <v>57.41</v>
      </c>
    </row>
    <row r="203" spans="1:6" hidden="1">
      <c r="A203" s="4" t="s">
        <v>5852</v>
      </c>
      <c r="B203" s="5" t="s">
        <v>5297</v>
      </c>
      <c r="C203" s="5" t="s">
        <v>4070</v>
      </c>
      <c r="D203" s="5" t="s">
        <v>1353</v>
      </c>
      <c r="E203" s="5"/>
      <c r="F203" s="45">
        <v>69.59</v>
      </c>
    </row>
    <row r="204" spans="1:6" hidden="1">
      <c r="A204" s="4" t="s">
        <v>5853</v>
      </c>
      <c r="B204" s="5" t="s">
        <v>5618</v>
      </c>
      <c r="C204" s="5" t="s">
        <v>3889</v>
      </c>
      <c r="D204" s="5" t="s">
        <v>1432</v>
      </c>
      <c r="E204" s="5"/>
      <c r="F204" s="45">
        <v>74.27</v>
      </c>
    </row>
    <row r="205" spans="1:6" hidden="1">
      <c r="A205" s="4" t="s">
        <v>5854</v>
      </c>
      <c r="B205" s="5" t="s">
        <v>5473</v>
      </c>
      <c r="C205" s="5" t="s">
        <v>4291</v>
      </c>
      <c r="D205" s="5"/>
      <c r="E205" s="5" t="s">
        <v>2559</v>
      </c>
      <c r="F205" s="45">
        <v>69.010000000000005</v>
      </c>
    </row>
    <row r="206" spans="1:6" hidden="1">
      <c r="A206" s="4" t="s">
        <v>5855</v>
      </c>
      <c r="B206" s="5" t="s">
        <v>5230</v>
      </c>
      <c r="C206" s="5" t="s">
        <v>4288</v>
      </c>
      <c r="D206" s="5"/>
      <c r="E206" s="5" t="s">
        <v>2541</v>
      </c>
      <c r="F206" s="45">
        <v>69.98</v>
      </c>
    </row>
    <row r="207" spans="1:6" hidden="1">
      <c r="A207" s="4" t="s">
        <v>5856</v>
      </c>
      <c r="B207" s="5" t="s">
        <v>5519</v>
      </c>
      <c r="C207" s="5" t="s">
        <v>4302</v>
      </c>
      <c r="D207" s="5"/>
      <c r="E207" s="5" t="s">
        <v>2579</v>
      </c>
      <c r="F207" s="45">
        <v>64.069999999999993</v>
      </c>
    </row>
    <row r="208" spans="1:6" hidden="1">
      <c r="A208" s="4" t="s">
        <v>5857</v>
      </c>
      <c r="B208" s="5" t="s">
        <v>5643</v>
      </c>
      <c r="C208" s="5" t="s">
        <v>4244</v>
      </c>
      <c r="D208" s="5"/>
      <c r="E208" s="5" t="s">
        <v>2445</v>
      </c>
      <c r="F208" s="45">
        <v>56.65</v>
      </c>
    </row>
    <row r="209" spans="1:6" hidden="1">
      <c r="A209" s="4" t="s">
        <v>5858</v>
      </c>
      <c r="B209" s="5" t="s">
        <v>5488</v>
      </c>
      <c r="C209" s="5" t="s">
        <v>4241</v>
      </c>
      <c r="D209" s="5"/>
      <c r="E209" s="5" t="s">
        <v>2443</v>
      </c>
      <c r="F209" s="45">
        <v>60.96</v>
      </c>
    </row>
    <row r="210" spans="1:6" hidden="1">
      <c r="A210" s="4" t="s">
        <v>5859</v>
      </c>
      <c r="B210" s="5" t="s">
        <v>5494</v>
      </c>
      <c r="C210" s="5" t="s">
        <v>4258</v>
      </c>
      <c r="D210" s="5"/>
      <c r="E210" s="5" t="s">
        <v>2475</v>
      </c>
      <c r="F210" s="45">
        <v>68.94</v>
      </c>
    </row>
    <row r="211" spans="1:6" hidden="1">
      <c r="A211" s="4" t="s">
        <v>5860</v>
      </c>
      <c r="B211" s="5" t="s">
        <v>5503</v>
      </c>
      <c r="C211" s="5" t="s">
        <v>4302</v>
      </c>
      <c r="D211" s="5"/>
      <c r="E211" s="5" t="s">
        <v>2579</v>
      </c>
      <c r="F211" s="45">
        <v>71.64</v>
      </c>
    </row>
    <row r="212" spans="1:6" hidden="1">
      <c r="A212" s="4" t="s">
        <v>5861</v>
      </c>
      <c r="B212" s="5" t="s">
        <v>5643</v>
      </c>
      <c r="C212" s="5" t="s">
        <v>4292</v>
      </c>
      <c r="D212" s="5"/>
      <c r="E212" s="5" t="s">
        <v>2559</v>
      </c>
      <c r="F212" s="45">
        <v>50.28</v>
      </c>
    </row>
    <row r="213" spans="1:6" hidden="1">
      <c r="A213" s="4" t="s">
        <v>5862</v>
      </c>
      <c r="B213" s="5" t="s">
        <v>5236</v>
      </c>
      <c r="C213" s="5" t="s">
        <v>4309</v>
      </c>
      <c r="D213" s="5"/>
      <c r="E213" s="5" t="s">
        <v>2598</v>
      </c>
      <c r="F213" s="45">
        <v>62.75</v>
      </c>
    </row>
    <row r="214" spans="1:6" hidden="1">
      <c r="A214" s="4" t="s">
        <v>5863</v>
      </c>
      <c r="B214" s="5" t="s">
        <v>5605</v>
      </c>
      <c r="C214" s="5" t="s">
        <v>4281</v>
      </c>
      <c r="D214" s="5"/>
      <c r="E214" s="5" t="s">
        <v>2538</v>
      </c>
      <c r="F214" s="45">
        <v>64.3</v>
      </c>
    </row>
    <row r="215" spans="1:6" hidden="1">
      <c r="A215" s="4" t="s">
        <v>5864</v>
      </c>
      <c r="B215" s="5" t="s">
        <v>5343</v>
      </c>
      <c r="C215" s="5" t="s">
        <v>4315</v>
      </c>
      <c r="D215" s="5"/>
      <c r="E215" s="5" t="s">
        <v>2601</v>
      </c>
      <c r="F215" s="45">
        <v>70.58</v>
      </c>
    </row>
    <row r="216" spans="1:6" hidden="1">
      <c r="A216" s="4" t="s">
        <v>5865</v>
      </c>
      <c r="B216" s="5" t="s">
        <v>5195</v>
      </c>
      <c r="C216" s="5" t="s">
        <v>4288</v>
      </c>
      <c r="D216" s="5"/>
      <c r="E216" s="5" t="s">
        <v>2541</v>
      </c>
      <c r="F216" s="45">
        <v>70.55</v>
      </c>
    </row>
    <row r="217" spans="1:6" hidden="1">
      <c r="A217" s="4" t="s">
        <v>5866</v>
      </c>
      <c r="B217" s="5" t="s">
        <v>5543</v>
      </c>
      <c r="C217" s="5" t="s">
        <v>4337</v>
      </c>
      <c r="D217" s="5"/>
      <c r="E217" s="5" t="s">
        <v>2642</v>
      </c>
      <c r="F217" s="45">
        <v>75.11</v>
      </c>
    </row>
    <row r="218" spans="1:6" hidden="1">
      <c r="A218" s="4" t="s">
        <v>5867</v>
      </c>
      <c r="B218" s="5" t="s">
        <v>5269</v>
      </c>
      <c r="C218" s="5" t="s">
        <v>4244</v>
      </c>
      <c r="D218" s="5"/>
      <c r="E218" s="5" t="s">
        <v>2445</v>
      </c>
      <c r="F218" s="45">
        <v>69.489999999999995</v>
      </c>
    </row>
    <row r="219" spans="1:6" hidden="1">
      <c r="A219" s="4" t="s">
        <v>5868</v>
      </c>
      <c r="B219" s="5" t="s">
        <v>5226</v>
      </c>
      <c r="C219" s="5" t="s">
        <v>4332</v>
      </c>
      <c r="D219" s="5"/>
      <c r="E219" s="5" t="s">
        <v>2639</v>
      </c>
      <c r="F219" s="45">
        <v>61.92</v>
      </c>
    </row>
    <row r="220" spans="1:6" hidden="1">
      <c r="A220" s="4" t="s">
        <v>5869</v>
      </c>
      <c r="B220" s="5" t="s">
        <v>5593</v>
      </c>
      <c r="C220" s="5" t="s">
        <v>4279</v>
      </c>
      <c r="D220" s="5"/>
      <c r="E220" s="5" t="s">
        <v>2537</v>
      </c>
      <c r="F220" s="45">
        <v>62.81</v>
      </c>
    </row>
    <row r="221" spans="1:6" hidden="1">
      <c r="A221" s="4" t="s">
        <v>5870</v>
      </c>
      <c r="B221" s="5" t="s">
        <v>5403</v>
      </c>
      <c r="C221" s="5" t="s">
        <v>4301</v>
      </c>
      <c r="D221" s="5"/>
      <c r="E221" s="5" t="s">
        <v>2579</v>
      </c>
      <c r="F221" s="45">
        <v>81.569999999999993</v>
      </c>
    </row>
    <row r="222" spans="1:6" hidden="1">
      <c r="A222" s="4" t="s">
        <v>5871</v>
      </c>
      <c r="B222" s="5" t="s">
        <v>5537</v>
      </c>
      <c r="C222" s="5" t="s">
        <v>4313</v>
      </c>
      <c r="D222" s="5"/>
      <c r="E222" s="5" t="s">
        <v>2600</v>
      </c>
      <c r="F222" s="45">
        <v>71.97</v>
      </c>
    </row>
    <row r="223" spans="1:6" hidden="1">
      <c r="A223" s="4" t="s">
        <v>5872</v>
      </c>
      <c r="B223" s="5" t="s">
        <v>5503</v>
      </c>
      <c r="C223" s="5" t="s">
        <v>4270</v>
      </c>
      <c r="D223" s="5"/>
      <c r="E223" s="5" t="s">
        <v>2514</v>
      </c>
      <c r="F223" s="45">
        <v>60.76</v>
      </c>
    </row>
    <row r="224" spans="1:6" hidden="1">
      <c r="A224" s="4" t="s">
        <v>5873</v>
      </c>
      <c r="B224" s="5" t="s">
        <v>5643</v>
      </c>
      <c r="C224" s="5" t="s">
        <v>4330</v>
      </c>
      <c r="D224" s="5"/>
      <c r="E224" s="5" t="s">
        <v>2638</v>
      </c>
      <c r="F224" s="45">
        <v>70.36</v>
      </c>
    </row>
    <row r="225" spans="1:6" hidden="1">
      <c r="A225" s="4" t="s">
        <v>5874</v>
      </c>
      <c r="B225" s="5" t="s">
        <v>5569</v>
      </c>
      <c r="C225" s="5" t="s">
        <v>4313</v>
      </c>
      <c r="D225" s="5"/>
      <c r="E225" s="5" t="s">
        <v>2600</v>
      </c>
      <c r="F225" s="45">
        <v>50.78</v>
      </c>
    </row>
    <row r="226" spans="1:6" hidden="1">
      <c r="A226" s="4" t="s">
        <v>5875</v>
      </c>
      <c r="B226" s="5" t="s">
        <v>5494</v>
      </c>
      <c r="C226" s="5" t="s">
        <v>4324</v>
      </c>
      <c r="D226" s="5"/>
      <c r="E226" s="5" t="s">
        <v>2620</v>
      </c>
      <c r="F226" s="45">
        <v>78.06</v>
      </c>
    </row>
    <row r="227" spans="1:6" hidden="1">
      <c r="A227" s="4" t="s">
        <v>5876</v>
      </c>
      <c r="B227" s="5" t="s">
        <v>5479</v>
      </c>
      <c r="C227" s="5" t="s">
        <v>4311</v>
      </c>
      <c r="D227" s="5"/>
      <c r="E227" s="5" t="s">
        <v>2599</v>
      </c>
      <c r="F227" s="45">
        <v>63.49</v>
      </c>
    </row>
    <row r="228" spans="1:6" hidden="1">
      <c r="A228" s="4" t="s">
        <v>5877</v>
      </c>
      <c r="B228" s="5" t="s">
        <v>5479</v>
      </c>
      <c r="C228" s="5" t="s">
        <v>4323</v>
      </c>
      <c r="D228" s="5"/>
      <c r="E228" s="5" t="s">
        <v>2620</v>
      </c>
      <c r="F228" s="45">
        <v>72.12</v>
      </c>
    </row>
    <row r="229" spans="1:6" hidden="1">
      <c r="A229" s="4" t="s">
        <v>5878</v>
      </c>
      <c r="B229" s="5" t="s">
        <v>5645</v>
      </c>
      <c r="C229" s="5" t="s">
        <v>4334</v>
      </c>
      <c r="D229" s="5"/>
      <c r="E229" s="5" t="s">
        <v>2640</v>
      </c>
      <c r="F229" s="45">
        <v>75.290000000000006</v>
      </c>
    </row>
    <row r="230" spans="1:6" hidden="1">
      <c r="A230" s="4" t="s">
        <v>5879</v>
      </c>
      <c r="B230" s="5" t="s">
        <v>5490</v>
      </c>
      <c r="C230" s="5" t="s">
        <v>4288</v>
      </c>
      <c r="D230" s="5"/>
      <c r="E230" s="5" t="s">
        <v>2541</v>
      </c>
      <c r="F230" s="45">
        <v>64.06</v>
      </c>
    </row>
    <row r="231" spans="1:6" hidden="1">
      <c r="A231" s="4" t="s">
        <v>5880</v>
      </c>
      <c r="B231" s="5" t="s">
        <v>5418</v>
      </c>
      <c r="C231" s="5" t="s">
        <v>4275</v>
      </c>
      <c r="D231" s="5"/>
      <c r="E231" s="5" t="s">
        <v>2517</v>
      </c>
      <c r="F231" s="45">
        <v>69.010000000000005</v>
      </c>
    </row>
    <row r="232" spans="1:6" hidden="1">
      <c r="A232" s="4" t="s">
        <v>5881</v>
      </c>
      <c r="B232" s="5" t="s">
        <v>5330</v>
      </c>
      <c r="C232" s="5" t="s">
        <v>4297</v>
      </c>
      <c r="D232" s="5"/>
      <c r="E232" s="5" t="s">
        <v>2562</v>
      </c>
      <c r="F232" s="45">
        <v>68.33</v>
      </c>
    </row>
    <row r="233" spans="1:6" hidden="1">
      <c r="A233" s="4" t="s">
        <v>5882</v>
      </c>
      <c r="B233" s="5" t="s">
        <v>5236</v>
      </c>
      <c r="C233" s="5" t="s">
        <v>4261</v>
      </c>
      <c r="D233" s="5"/>
      <c r="E233" s="5" t="s">
        <v>2492</v>
      </c>
      <c r="F233" s="45">
        <v>65.05</v>
      </c>
    </row>
    <row r="234" spans="1:6" hidden="1">
      <c r="A234" s="4" t="s">
        <v>5883</v>
      </c>
      <c r="B234" s="5" t="s">
        <v>5260</v>
      </c>
      <c r="C234" s="5" t="s">
        <v>4260</v>
      </c>
      <c r="D234" s="5"/>
      <c r="E234" s="5" t="s">
        <v>2491</v>
      </c>
      <c r="F234" s="45">
        <v>61.75</v>
      </c>
    </row>
    <row r="235" spans="1:6" hidden="1">
      <c r="A235" s="4" t="s">
        <v>5884</v>
      </c>
      <c r="B235" s="5" t="s">
        <v>5324</v>
      </c>
      <c r="C235" s="5" t="s">
        <v>4278</v>
      </c>
      <c r="D235" s="5"/>
      <c r="E235" s="5" t="s">
        <v>2518</v>
      </c>
      <c r="F235" s="45">
        <v>57.25</v>
      </c>
    </row>
    <row r="236" spans="1:6" hidden="1">
      <c r="A236" s="4" t="s">
        <v>5885</v>
      </c>
      <c r="B236" s="5" t="s">
        <v>5269</v>
      </c>
      <c r="C236" s="5" t="s">
        <v>4255</v>
      </c>
      <c r="D236" s="5"/>
      <c r="E236" s="5" t="s">
        <v>2474</v>
      </c>
      <c r="F236" s="45">
        <v>73.84</v>
      </c>
    </row>
    <row r="237" spans="1:6" hidden="1">
      <c r="A237" s="4" t="s">
        <v>5886</v>
      </c>
      <c r="B237" s="5" t="s">
        <v>5214</v>
      </c>
      <c r="C237" s="5" t="s">
        <v>4308</v>
      </c>
      <c r="D237" s="5"/>
      <c r="E237" s="5" t="s">
        <v>2582</v>
      </c>
      <c r="F237" s="45">
        <v>57.24</v>
      </c>
    </row>
    <row r="238" spans="1:6" hidden="1">
      <c r="A238" s="4" t="s">
        <v>5887</v>
      </c>
      <c r="B238" s="5" t="s">
        <v>5605</v>
      </c>
      <c r="C238" s="5" t="s">
        <v>4326</v>
      </c>
      <c r="D238" s="5"/>
      <c r="E238" s="5" t="s">
        <v>2621</v>
      </c>
      <c r="F238" s="45">
        <v>63.75</v>
      </c>
    </row>
    <row r="239" spans="1:6" hidden="1">
      <c r="A239" s="4" t="s">
        <v>5888</v>
      </c>
      <c r="B239" s="5" t="s">
        <v>5167</v>
      </c>
      <c r="C239" s="5" t="s">
        <v>4315</v>
      </c>
      <c r="D239" s="5"/>
      <c r="E239" s="5" t="s">
        <v>2601</v>
      </c>
      <c r="F239" s="45">
        <v>59.32</v>
      </c>
    </row>
    <row r="240" spans="1:6" hidden="1">
      <c r="A240" s="4" t="s">
        <v>5889</v>
      </c>
      <c r="B240" s="5" t="s">
        <v>5645</v>
      </c>
      <c r="C240" s="5" t="s">
        <v>4304</v>
      </c>
      <c r="D240" s="5"/>
      <c r="E240" s="5" t="s">
        <v>2580</v>
      </c>
      <c r="F240" s="45">
        <v>69.61</v>
      </c>
    </row>
    <row r="241" spans="1:6" hidden="1">
      <c r="A241" s="4" t="s">
        <v>5890</v>
      </c>
      <c r="B241" s="5" t="s">
        <v>5253</v>
      </c>
      <c r="C241" s="5" t="s">
        <v>4265</v>
      </c>
      <c r="D241" s="5"/>
      <c r="E241" s="5" t="s">
        <v>2494</v>
      </c>
      <c r="F241" s="45">
        <v>64.459999999999994</v>
      </c>
    </row>
    <row r="242" spans="1:6" hidden="1">
      <c r="A242" s="4" t="s">
        <v>5891</v>
      </c>
      <c r="B242" s="5" t="s">
        <v>5551</v>
      </c>
      <c r="C242" s="5" t="s">
        <v>4312</v>
      </c>
      <c r="D242" s="5"/>
      <c r="E242" s="5" t="s">
        <v>2599</v>
      </c>
      <c r="F242" s="45">
        <v>65.55</v>
      </c>
    </row>
    <row r="243" spans="1:6" hidden="1">
      <c r="A243" s="4" t="s">
        <v>5892</v>
      </c>
      <c r="B243" s="5" t="s">
        <v>5183</v>
      </c>
      <c r="C243" s="5" t="s">
        <v>4250</v>
      </c>
      <c r="D243" s="5"/>
      <c r="E243" s="5" t="s">
        <v>2471</v>
      </c>
      <c r="F243" s="45">
        <v>56.78</v>
      </c>
    </row>
    <row r="244" spans="1:6" hidden="1">
      <c r="A244" s="4" t="s">
        <v>5893</v>
      </c>
      <c r="B244" s="5" t="s">
        <v>5503</v>
      </c>
      <c r="C244" s="5" t="s">
        <v>4248</v>
      </c>
      <c r="D244" s="5"/>
      <c r="E244" s="5" t="s">
        <v>2450</v>
      </c>
      <c r="F244" s="45">
        <v>52.38</v>
      </c>
    </row>
    <row r="245" spans="1:6" hidden="1">
      <c r="A245" s="4" t="s">
        <v>5894</v>
      </c>
      <c r="B245" s="5" t="s">
        <v>5154</v>
      </c>
      <c r="C245" s="5" t="s">
        <v>4241</v>
      </c>
      <c r="D245" s="5"/>
      <c r="E245" s="5" t="s">
        <v>2443</v>
      </c>
      <c r="F245" s="45">
        <v>70.430000000000007</v>
      </c>
    </row>
    <row r="246" spans="1:6" hidden="1">
      <c r="A246" s="4" t="s">
        <v>5895</v>
      </c>
      <c r="B246" s="5" t="s">
        <v>5479</v>
      </c>
      <c r="C246" s="5" t="s">
        <v>4277</v>
      </c>
      <c r="D246" s="5"/>
      <c r="E246" s="5" t="s">
        <v>2518</v>
      </c>
      <c r="F246" s="45">
        <v>62.88</v>
      </c>
    </row>
    <row r="247" spans="1:6" hidden="1">
      <c r="A247" s="4" t="s">
        <v>5896</v>
      </c>
      <c r="B247" s="5" t="s">
        <v>5643</v>
      </c>
      <c r="C247" s="5" t="s">
        <v>4275</v>
      </c>
      <c r="D247" s="5"/>
      <c r="E247" s="5" t="s">
        <v>2517</v>
      </c>
      <c r="F247" s="45">
        <v>68.39</v>
      </c>
    </row>
    <row r="248" spans="1:6" hidden="1">
      <c r="A248" s="4" t="s">
        <v>5897</v>
      </c>
      <c r="B248" s="5" t="s">
        <v>5473</v>
      </c>
      <c r="C248" s="5" t="s">
        <v>4298</v>
      </c>
      <c r="D248" s="5"/>
      <c r="E248" s="5" t="s">
        <v>2562</v>
      </c>
      <c r="F248" s="45">
        <v>59.19</v>
      </c>
    </row>
    <row r="249" spans="1:6" hidden="1">
      <c r="A249" s="4" t="s">
        <v>5898</v>
      </c>
      <c r="B249" s="5" t="s">
        <v>5418</v>
      </c>
      <c r="C249" s="5" t="s">
        <v>4253</v>
      </c>
      <c r="D249" s="5"/>
      <c r="E249" s="5" t="s">
        <v>2473</v>
      </c>
      <c r="F249" s="45">
        <v>62.81</v>
      </c>
    </row>
    <row r="250" spans="1:6" hidden="1">
      <c r="A250" s="4" t="s">
        <v>5899</v>
      </c>
      <c r="B250" s="5" t="s">
        <v>5195</v>
      </c>
      <c r="C250" s="5" t="s">
        <v>4252</v>
      </c>
      <c r="D250" s="5"/>
      <c r="E250" s="5" t="s">
        <v>2472</v>
      </c>
      <c r="F250" s="45">
        <v>57.5</v>
      </c>
    </row>
    <row r="251" spans="1:6" hidden="1">
      <c r="A251" s="4" t="s">
        <v>5900</v>
      </c>
      <c r="B251" s="5" t="s">
        <v>5418</v>
      </c>
      <c r="C251" s="5" t="s">
        <v>4326</v>
      </c>
      <c r="D251" s="5"/>
      <c r="E251" s="5" t="s">
        <v>2621</v>
      </c>
      <c r="F251" s="45">
        <v>82.75</v>
      </c>
    </row>
    <row r="252" spans="1:6" hidden="1">
      <c r="A252" s="4" t="s">
        <v>5901</v>
      </c>
      <c r="B252" s="5" t="s">
        <v>5255</v>
      </c>
      <c r="C252" s="5" t="s">
        <v>4278</v>
      </c>
      <c r="D252" s="5"/>
      <c r="E252" s="5" t="s">
        <v>2518</v>
      </c>
      <c r="F252" s="45">
        <v>63.42</v>
      </c>
    </row>
    <row r="253" spans="1:6" hidden="1">
      <c r="A253" s="4" t="s">
        <v>5902</v>
      </c>
      <c r="B253" s="5" t="s">
        <v>5195</v>
      </c>
      <c r="C253" s="5" t="s">
        <v>4271</v>
      </c>
      <c r="D253" s="5"/>
      <c r="E253" s="5" t="s">
        <v>2515</v>
      </c>
      <c r="F253" s="45">
        <v>68.510000000000005</v>
      </c>
    </row>
    <row r="254" spans="1:6" hidden="1">
      <c r="A254" s="4" t="s">
        <v>5903</v>
      </c>
      <c r="B254" s="5" t="s">
        <v>5643</v>
      </c>
      <c r="C254" s="5" t="s">
        <v>4274</v>
      </c>
      <c r="D254" s="5"/>
      <c r="E254" s="5" t="s">
        <v>2516</v>
      </c>
      <c r="F254" s="45">
        <v>73.650000000000006</v>
      </c>
    </row>
    <row r="255" spans="1:6" hidden="1">
      <c r="A255" s="4" t="s">
        <v>5904</v>
      </c>
      <c r="B255" s="5" t="s">
        <v>5519</v>
      </c>
      <c r="C255" s="5" t="s">
        <v>4247</v>
      </c>
      <c r="D255" s="5"/>
      <c r="E255" s="5" t="s">
        <v>2450</v>
      </c>
      <c r="F255" s="45">
        <v>65.02</v>
      </c>
    </row>
    <row r="256" spans="1:6" hidden="1">
      <c r="A256" s="4" t="s">
        <v>5905</v>
      </c>
      <c r="B256" s="5" t="s">
        <v>5488</v>
      </c>
      <c r="C256" s="5" t="s">
        <v>4320</v>
      </c>
      <c r="D256" s="5"/>
      <c r="E256" s="5" t="s">
        <v>2618</v>
      </c>
      <c r="F256" s="45">
        <v>66.77</v>
      </c>
    </row>
    <row r="257" spans="1:6" hidden="1">
      <c r="A257" s="4" t="s">
        <v>5906</v>
      </c>
      <c r="B257" s="5" t="s">
        <v>5183</v>
      </c>
      <c r="C257" s="5" t="s">
        <v>4312</v>
      </c>
      <c r="D257" s="5"/>
      <c r="E257" s="5" t="s">
        <v>2599</v>
      </c>
      <c r="F257" s="45">
        <v>80.25</v>
      </c>
    </row>
    <row r="258" spans="1:6" hidden="1">
      <c r="A258" s="4" t="s">
        <v>5907</v>
      </c>
      <c r="B258" s="5" t="s">
        <v>5183</v>
      </c>
      <c r="C258" s="5" t="s">
        <v>4288</v>
      </c>
      <c r="D258" s="5"/>
      <c r="E258" s="5" t="s">
        <v>2541</v>
      </c>
      <c r="F258" s="45">
        <v>63.15</v>
      </c>
    </row>
    <row r="259" spans="1:6" hidden="1">
      <c r="A259" s="4" t="s">
        <v>5908</v>
      </c>
      <c r="B259" s="5" t="s">
        <v>5154</v>
      </c>
      <c r="C259" s="5" t="s">
        <v>4270</v>
      </c>
      <c r="D259" s="5"/>
      <c r="E259" s="5" t="s">
        <v>2514</v>
      </c>
      <c r="F259" s="45">
        <v>67.25</v>
      </c>
    </row>
    <row r="260" spans="1:6" hidden="1">
      <c r="A260" s="4" t="s">
        <v>5909</v>
      </c>
      <c r="B260" s="5" t="s">
        <v>5195</v>
      </c>
      <c r="C260" s="5" t="s">
        <v>4258</v>
      </c>
      <c r="D260" s="5"/>
      <c r="E260" s="5" t="s">
        <v>2475</v>
      </c>
      <c r="F260" s="45">
        <v>67.67</v>
      </c>
    </row>
    <row r="261" spans="1:6" hidden="1">
      <c r="A261" s="4" t="s">
        <v>5910</v>
      </c>
      <c r="B261" s="5" t="s">
        <v>5431</v>
      </c>
      <c r="C261" s="5" t="s">
        <v>4281</v>
      </c>
      <c r="D261" s="5"/>
      <c r="E261" s="5" t="s">
        <v>2538</v>
      </c>
      <c r="F261" s="45">
        <v>72.33</v>
      </c>
    </row>
    <row r="262" spans="1:6" hidden="1">
      <c r="A262" s="4" t="s">
        <v>5911</v>
      </c>
      <c r="B262" s="5" t="s">
        <v>5330</v>
      </c>
      <c r="C262" s="5" t="s">
        <v>4242</v>
      </c>
      <c r="D262" s="5"/>
      <c r="E262" s="5" t="s">
        <v>2443</v>
      </c>
      <c r="F262" s="45">
        <v>69.66</v>
      </c>
    </row>
    <row r="263" spans="1:6" hidden="1">
      <c r="A263" s="4" t="s">
        <v>5912</v>
      </c>
      <c r="B263" s="5" t="s">
        <v>5255</v>
      </c>
      <c r="C263" s="5" t="s">
        <v>4313</v>
      </c>
      <c r="D263" s="5"/>
      <c r="E263" s="5" t="s">
        <v>2600</v>
      </c>
      <c r="F263" s="45">
        <v>69.37</v>
      </c>
    </row>
    <row r="264" spans="1:6" hidden="1">
      <c r="A264" s="4" t="s">
        <v>5913</v>
      </c>
      <c r="B264" s="5" t="s">
        <v>5593</v>
      </c>
      <c r="C264" s="5" t="s">
        <v>4241</v>
      </c>
      <c r="D264" s="5"/>
      <c r="E264" s="5" t="s">
        <v>2443</v>
      </c>
      <c r="F264" s="45">
        <v>65.41</v>
      </c>
    </row>
    <row r="265" spans="1:6" hidden="1">
      <c r="A265" s="4" t="s">
        <v>5914</v>
      </c>
      <c r="B265" s="5" t="s">
        <v>5583</v>
      </c>
      <c r="C265" s="5" t="s">
        <v>4332</v>
      </c>
      <c r="D265" s="5"/>
      <c r="E265" s="5" t="s">
        <v>2639</v>
      </c>
      <c r="F265" s="45">
        <v>62.95</v>
      </c>
    </row>
    <row r="266" spans="1:6" hidden="1">
      <c r="A266" s="4" t="s">
        <v>5915</v>
      </c>
      <c r="B266" s="5" t="s">
        <v>5287</v>
      </c>
      <c r="C266" s="5" t="s">
        <v>4288</v>
      </c>
      <c r="D266" s="5"/>
      <c r="E266" s="5" t="s">
        <v>2541</v>
      </c>
      <c r="F266" s="45">
        <v>59.45</v>
      </c>
    </row>
    <row r="267" spans="1:6" hidden="1">
      <c r="A267" s="4" t="s">
        <v>5916</v>
      </c>
      <c r="B267" s="5" t="s">
        <v>5601</v>
      </c>
      <c r="C267" s="5" t="s">
        <v>4314</v>
      </c>
      <c r="D267" s="5"/>
      <c r="E267" s="5" t="s">
        <v>2600</v>
      </c>
      <c r="F267" s="45">
        <v>62.05</v>
      </c>
    </row>
    <row r="268" spans="1:6" hidden="1">
      <c r="A268" s="4" t="s">
        <v>5917</v>
      </c>
      <c r="B268" s="5" t="s">
        <v>5569</v>
      </c>
      <c r="C268" s="5" t="s">
        <v>4257</v>
      </c>
      <c r="D268" s="5"/>
      <c r="E268" s="5" t="s">
        <v>2475</v>
      </c>
      <c r="F268" s="45">
        <v>69.97</v>
      </c>
    </row>
    <row r="269" spans="1:6" hidden="1">
      <c r="A269" s="4" t="s">
        <v>5918</v>
      </c>
      <c r="B269" s="5" t="s">
        <v>5601</v>
      </c>
      <c r="C269" s="5" t="s">
        <v>4262</v>
      </c>
      <c r="D269" s="5"/>
      <c r="E269" s="5" t="s">
        <v>2492</v>
      </c>
      <c r="F269" s="45">
        <v>65.540000000000006</v>
      </c>
    </row>
    <row r="270" spans="1:6" hidden="1">
      <c r="A270" s="4" t="s">
        <v>5919</v>
      </c>
      <c r="B270" s="5" t="s">
        <v>5167</v>
      </c>
      <c r="C270" s="5" t="s">
        <v>4285</v>
      </c>
      <c r="D270" s="5"/>
      <c r="E270" s="5" t="s">
        <v>2540</v>
      </c>
      <c r="F270" s="45">
        <v>77.27</v>
      </c>
    </row>
    <row r="271" spans="1:6" hidden="1">
      <c r="A271" s="4" t="s">
        <v>5920</v>
      </c>
      <c r="B271" s="5" t="s">
        <v>5601</v>
      </c>
      <c r="C271" s="5" t="s">
        <v>4286</v>
      </c>
      <c r="D271" s="5"/>
      <c r="E271" s="5" t="s">
        <v>2540</v>
      </c>
      <c r="F271" s="45">
        <v>68.06</v>
      </c>
    </row>
    <row r="272" spans="1:6" hidden="1">
      <c r="A272" s="4" t="s">
        <v>5921</v>
      </c>
      <c r="B272" s="5" t="s">
        <v>5269</v>
      </c>
      <c r="C272" s="5" t="s">
        <v>4269</v>
      </c>
      <c r="D272" s="5"/>
      <c r="E272" s="5" t="s">
        <v>2514</v>
      </c>
      <c r="F272" s="45">
        <v>63.75</v>
      </c>
    </row>
    <row r="273" spans="1:6" hidden="1">
      <c r="A273" s="4" t="s">
        <v>5922</v>
      </c>
      <c r="B273" s="5" t="s">
        <v>5403</v>
      </c>
      <c r="C273" s="5" t="s">
        <v>4245</v>
      </c>
      <c r="D273" s="5"/>
      <c r="E273" s="5" t="s">
        <v>2447</v>
      </c>
      <c r="F273" s="45">
        <v>64.900000000000006</v>
      </c>
    </row>
    <row r="274" spans="1:6" hidden="1">
      <c r="A274" s="4" t="s">
        <v>5923</v>
      </c>
      <c r="B274" s="5" t="s">
        <v>5230</v>
      </c>
      <c r="C274" s="5" t="s">
        <v>4326</v>
      </c>
      <c r="D274" s="5"/>
      <c r="E274" s="5" t="s">
        <v>2621</v>
      </c>
      <c r="F274" s="45">
        <v>54.54</v>
      </c>
    </row>
    <row r="275" spans="1:6" hidden="1">
      <c r="A275" s="4" t="s">
        <v>5924</v>
      </c>
      <c r="B275" s="5" t="s">
        <v>5214</v>
      </c>
      <c r="C275" s="5" t="s">
        <v>4326</v>
      </c>
      <c r="D275" s="5"/>
      <c r="E275" s="5" t="s">
        <v>2621</v>
      </c>
      <c r="F275" s="45">
        <v>59.67</v>
      </c>
    </row>
    <row r="276" spans="1:6" hidden="1">
      <c r="A276" s="4" t="s">
        <v>5925</v>
      </c>
      <c r="B276" s="5" t="s">
        <v>5236</v>
      </c>
      <c r="C276" s="5" t="s">
        <v>4274</v>
      </c>
      <c r="D276" s="5"/>
      <c r="E276" s="5" t="s">
        <v>2516</v>
      </c>
      <c r="F276" s="45">
        <v>64.3</v>
      </c>
    </row>
    <row r="277" spans="1:6" hidden="1">
      <c r="A277" s="4" t="s">
        <v>5926</v>
      </c>
      <c r="B277" s="5" t="s">
        <v>5490</v>
      </c>
      <c r="C277" s="5" t="s">
        <v>4282</v>
      </c>
      <c r="D277" s="5"/>
      <c r="E277" s="5" t="s">
        <v>2538</v>
      </c>
      <c r="F277" s="45">
        <v>64.11</v>
      </c>
    </row>
    <row r="278" spans="1:6" hidden="1">
      <c r="A278" s="4" t="s">
        <v>5927</v>
      </c>
      <c r="B278" s="5" t="s">
        <v>5403</v>
      </c>
      <c r="C278" s="5" t="s">
        <v>4264</v>
      </c>
      <c r="D278" s="5"/>
      <c r="E278" s="5" t="s">
        <v>2493</v>
      </c>
      <c r="F278" s="45">
        <v>72.3</v>
      </c>
    </row>
    <row r="279" spans="1:6" hidden="1">
      <c r="A279" s="4" t="s">
        <v>5928</v>
      </c>
      <c r="B279" s="5" t="s">
        <v>5549</v>
      </c>
      <c r="C279" s="5" t="s">
        <v>4315</v>
      </c>
      <c r="D279" s="5"/>
      <c r="E279" s="5" t="s">
        <v>2601</v>
      </c>
      <c r="F279" s="45">
        <v>66.819999999999993</v>
      </c>
    </row>
    <row r="280" spans="1:6" hidden="1">
      <c r="A280" s="4" t="s">
        <v>5929</v>
      </c>
      <c r="B280" s="5" t="s">
        <v>5154</v>
      </c>
      <c r="C280" s="5" t="s">
        <v>4254</v>
      </c>
      <c r="D280" s="5"/>
      <c r="E280" s="5" t="s">
        <v>2473</v>
      </c>
      <c r="F280" s="45">
        <v>81.33</v>
      </c>
    </row>
    <row r="281" spans="1:6" hidden="1">
      <c r="A281" s="4" t="s">
        <v>5930</v>
      </c>
      <c r="B281" s="5" t="s">
        <v>5287</v>
      </c>
      <c r="C281" s="5" t="s">
        <v>4335</v>
      </c>
      <c r="D281" s="5"/>
      <c r="E281" s="5" t="s">
        <v>2641</v>
      </c>
      <c r="F281" s="45">
        <v>62.64</v>
      </c>
    </row>
    <row r="282" spans="1:6" hidden="1">
      <c r="A282" s="4" t="s">
        <v>5931</v>
      </c>
      <c r="B282" s="5" t="s">
        <v>5269</v>
      </c>
      <c r="C282" s="5" t="s">
        <v>4313</v>
      </c>
      <c r="D282" s="5"/>
      <c r="E282" s="5" t="s">
        <v>2600</v>
      </c>
      <c r="F282" s="45">
        <v>52.29</v>
      </c>
    </row>
    <row r="283" spans="1:6" hidden="1">
      <c r="A283" s="4" t="s">
        <v>5932</v>
      </c>
      <c r="B283" s="5" t="s">
        <v>5431</v>
      </c>
      <c r="C283" s="5" t="s">
        <v>4291</v>
      </c>
      <c r="D283" s="5"/>
      <c r="E283" s="5" t="s">
        <v>2559</v>
      </c>
      <c r="F283" s="45">
        <v>68.400000000000006</v>
      </c>
    </row>
    <row r="284" spans="1:6" hidden="1">
      <c r="A284" s="4" t="s">
        <v>5933</v>
      </c>
      <c r="B284" s="5" t="s">
        <v>5549</v>
      </c>
      <c r="C284" s="5" t="s">
        <v>4316</v>
      </c>
      <c r="D284" s="5"/>
      <c r="E284" s="5" t="s">
        <v>2601</v>
      </c>
      <c r="F284" s="45">
        <v>63.28</v>
      </c>
    </row>
    <row r="285" spans="1:6" hidden="1">
      <c r="A285" s="4" t="s">
        <v>5934</v>
      </c>
      <c r="B285" s="5" t="s">
        <v>5519</v>
      </c>
      <c r="C285" s="5" t="s">
        <v>4288</v>
      </c>
      <c r="D285" s="5"/>
      <c r="E285" s="5" t="s">
        <v>2541</v>
      </c>
      <c r="F285" s="45">
        <v>70.94</v>
      </c>
    </row>
    <row r="286" spans="1:6" hidden="1">
      <c r="A286" s="4" t="s">
        <v>5935</v>
      </c>
      <c r="B286" s="5" t="s">
        <v>5588</v>
      </c>
      <c r="C286" s="5" t="s">
        <v>4249</v>
      </c>
      <c r="D286" s="5"/>
      <c r="E286" s="5" t="s">
        <v>2471</v>
      </c>
      <c r="F286" s="45">
        <v>71.680000000000007</v>
      </c>
    </row>
    <row r="287" spans="1:6" hidden="1">
      <c r="A287" s="4" t="s">
        <v>5936</v>
      </c>
      <c r="B287" s="5" t="s">
        <v>5248</v>
      </c>
      <c r="C287" s="5" t="s">
        <v>4307</v>
      </c>
      <c r="D287" s="5"/>
      <c r="E287" s="5" t="s">
        <v>2582</v>
      </c>
      <c r="F287" s="45">
        <v>74.489999999999995</v>
      </c>
    </row>
    <row r="288" spans="1:6" hidden="1">
      <c r="A288" s="4" t="s">
        <v>5937</v>
      </c>
      <c r="B288" s="5" t="s">
        <v>5549</v>
      </c>
      <c r="C288" s="5" t="s">
        <v>4263</v>
      </c>
      <c r="D288" s="5"/>
      <c r="E288" s="5" t="s">
        <v>2493</v>
      </c>
      <c r="F288" s="45">
        <v>61.84</v>
      </c>
    </row>
    <row r="289" spans="1:6" hidden="1">
      <c r="A289" s="4" t="s">
        <v>5938</v>
      </c>
      <c r="B289" s="5" t="s">
        <v>5230</v>
      </c>
      <c r="C289" s="5" t="s">
        <v>4274</v>
      </c>
      <c r="D289" s="5"/>
      <c r="E289" s="5" t="s">
        <v>2516</v>
      </c>
      <c r="F289" s="45">
        <v>65.150000000000006</v>
      </c>
    </row>
    <row r="290" spans="1:6" hidden="1">
      <c r="A290" s="4" t="s">
        <v>5939</v>
      </c>
      <c r="B290" s="5" t="s">
        <v>5440</v>
      </c>
      <c r="C290" s="5" t="s">
        <v>4243</v>
      </c>
      <c r="D290" s="5"/>
      <c r="E290" s="5" t="s">
        <v>2445</v>
      </c>
      <c r="F290" s="45">
        <v>57.43</v>
      </c>
    </row>
    <row r="291" spans="1:6" hidden="1">
      <c r="A291" s="4" t="s">
        <v>5940</v>
      </c>
      <c r="B291" s="5" t="s">
        <v>5236</v>
      </c>
      <c r="C291" s="5" t="s">
        <v>4289</v>
      </c>
      <c r="D291" s="5"/>
      <c r="E291" s="5" t="s">
        <v>2558</v>
      </c>
      <c r="F291" s="45">
        <v>69.08</v>
      </c>
    </row>
    <row r="292" spans="1:6" hidden="1">
      <c r="A292" s="4" t="s">
        <v>5941</v>
      </c>
      <c r="B292" s="5" t="s">
        <v>5431</v>
      </c>
      <c r="C292" s="5" t="s">
        <v>4259</v>
      </c>
      <c r="D292" s="5"/>
      <c r="E292" s="5" t="s">
        <v>2491</v>
      </c>
      <c r="F292" s="45">
        <v>74.92</v>
      </c>
    </row>
    <row r="293" spans="1:6" hidden="1">
      <c r="A293" s="4" t="s">
        <v>5942</v>
      </c>
      <c r="B293" s="5" t="s">
        <v>5418</v>
      </c>
      <c r="C293" s="5" t="s">
        <v>4284</v>
      </c>
      <c r="D293" s="5"/>
      <c r="E293" s="5" t="s">
        <v>2539</v>
      </c>
      <c r="F293" s="45">
        <v>62.65</v>
      </c>
    </row>
    <row r="294" spans="1:6" hidden="1">
      <c r="A294" s="4" t="s">
        <v>5943</v>
      </c>
      <c r="B294" s="5" t="s">
        <v>5593</v>
      </c>
      <c r="C294" s="5" t="s">
        <v>4245</v>
      </c>
      <c r="D294" s="5"/>
      <c r="E294" s="5" t="s">
        <v>2447</v>
      </c>
      <c r="F294" s="45">
        <v>75.16</v>
      </c>
    </row>
    <row r="295" spans="1:6" hidden="1">
      <c r="A295" s="4" t="s">
        <v>5944</v>
      </c>
      <c r="B295" s="5" t="s">
        <v>5260</v>
      </c>
      <c r="C295" s="5" t="s">
        <v>4323</v>
      </c>
      <c r="D295" s="5"/>
      <c r="E295" s="5" t="s">
        <v>2620</v>
      </c>
      <c r="F295" s="45">
        <v>66.84</v>
      </c>
    </row>
    <row r="296" spans="1:6" hidden="1">
      <c r="A296" s="4" t="s">
        <v>5945</v>
      </c>
      <c r="B296" s="5" t="s">
        <v>5645</v>
      </c>
      <c r="C296" s="5" t="s">
        <v>4307</v>
      </c>
      <c r="D296" s="5"/>
      <c r="E296" s="5" t="s">
        <v>2582</v>
      </c>
      <c r="F296" s="45">
        <v>67</v>
      </c>
    </row>
    <row r="297" spans="1:6" hidden="1">
      <c r="A297" s="4" t="s">
        <v>5946</v>
      </c>
      <c r="B297" s="5" t="s">
        <v>5610</v>
      </c>
      <c r="C297" s="5" t="s">
        <v>4281</v>
      </c>
      <c r="D297" s="5"/>
      <c r="E297" s="5" t="s">
        <v>2538</v>
      </c>
      <c r="F297" s="45">
        <v>70.48</v>
      </c>
    </row>
    <row r="298" spans="1:6" hidden="1">
      <c r="A298" s="4" t="s">
        <v>5947</v>
      </c>
      <c r="B298" s="5" t="s">
        <v>5503</v>
      </c>
      <c r="C298" s="5" t="s">
        <v>4241</v>
      </c>
      <c r="D298" s="5"/>
      <c r="E298" s="5" t="s">
        <v>2443</v>
      </c>
      <c r="F298" s="45">
        <v>65.489999999999995</v>
      </c>
    </row>
    <row r="299" spans="1:6" hidden="1">
      <c r="A299" s="4" t="s">
        <v>5948</v>
      </c>
      <c r="B299" s="5" t="s">
        <v>5183</v>
      </c>
      <c r="C299" s="5" t="s">
        <v>4257</v>
      </c>
      <c r="D299" s="5"/>
      <c r="E299" s="5" t="s">
        <v>2475</v>
      </c>
      <c r="F299" s="45">
        <v>64.97</v>
      </c>
    </row>
    <row r="300" spans="1:6" hidden="1">
      <c r="A300" s="4" t="s">
        <v>5949</v>
      </c>
      <c r="B300" s="5" t="s">
        <v>5636</v>
      </c>
      <c r="C300" s="5" t="s">
        <v>4053</v>
      </c>
      <c r="D300" s="5"/>
      <c r="E300" s="5"/>
      <c r="F300" s="45">
        <v>54.14</v>
      </c>
    </row>
    <row r="301" spans="1:6" hidden="1">
      <c r="A301" s="4" t="s">
        <v>5950</v>
      </c>
      <c r="B301" s="5" t="s">
        <v>5471</v>
      </c>
      <c r="C301" s="5" t="s">
        <v>3971</v>
      </c>
      <c r="D301" s="5"/>
      <c r="E301" s="5"/>
      <c r="F301" s="45">
        <v>73.099999999999994</v>
      </c>
    </row>
    <row r="302" spans="1:6" hidden="1">
      <c r="A302" s="4" t="s">
        <v>5951</v>
      </c>
      <c r="B302" s="5" t="s">
        <v>5392</v>
      </c>
      <c r="C302" s="5" t="s">
        <v>3975</v>
      </c>
      <c r="D302" s="5"/>
      <c r="E302" s="5"/>
      <c r="F302" s="45">
        <v>71.319999999999993</v>
      </c>
    </row>
    <row r="303" spans="1:6" hidden="1">
      <c r="A303" s="4" t="s">
        <v>5952</v>
      </c>
      <c r="B303" s="5" t="s">
        <v>5341</v>
      </c>
      <c r="C303" s="5" t="s">
        <v>3982</v>
      </c>
      <c r="D303" s="5"/>
      <c r="E303" s="5"/>
      <c r="F303" s="45">
        <v>67.97</v>
      </c>
    </row>
    <row r="304" spans="1:6" hidden="1">
      <c r="A304" s="4" t="s">
        <v>5953</v>
      </c>
      <c r="B304" s="5" t="s">
        <v>5533</v>
      </c>
      <c r="C304" s="5" t="s">
        <v>3943</v>
      </c>
      <c r="D304" s="5"/>
      <c r="E304" s="5"/>
      <c r="F304" s="45">
        <v>73.08</v>
      </c>
    </row>
    <row r="305" spans="1:6" hidden="1">
      <c r="A305" s="4" t="s">
        <v>5954</v>
      </c>
      <c r="B305" s="5" t="s">
        <v>5190</v>
      </c>
      <c r="C305" s="5" t="s">
        <v>3910</v>
      </c>
      <c r="D305" s="5"/>
      <c r="E305" s="5"/>
      <c r="F305" s="45">
        <v>70.260000000000005</v>
      </c>
    </row>
    <row r="306" spans="1:6" hidden="1">
      <c r="A306" s="4" t="s">
        <v>5955</v>
      </c>
      <c r="B306" s="5" t="s">
        <v>5562</v>
      </c>
      <c r="C306" s="5" t="s">
        <v>4090</v>
      </c>
      <c r="D306" s="5"/>
      <c r="E306" s="5"/>
      <c r="F306" s="45">
        <v>62.53</v>
      </c>
    </row>
    <row r="307" spans="1:6" hidden="1">
      <c r="A307" s="4" t="s">
        <v>5956</v>
      </c>
      <c r="B307" s="5" t="s">
        <v>5334</v>
      </c>
      <c r="C307" s="5" t="s">
        <v>3999</v>
      </c>
      <c r="D307" s="5"/>
      <c r="E307" s="5"/>
      <c r="F307" s="45">
        <v>63.56</v>
      </c>
    </row>
    <row r="308" spans="1:6" hidden="1">
      <c r="A308" s="4" t="s">
        <v>5957</v>
      </c>
      <c r="B308" s="5" t="s">
        <v>5394</v>
      </c>
      <c r="C308" s="5" t="s">
        <v>3844</v>
      </c>
      <c r="D308" s="5"/>
      <c r="E308" s="5"/>
      <c r="F308" s="45">
        <v>67.540000000000006</v>
      </c>
    </row>
    <row r="309" spans="1:6" hidden="1">
      <c r="A309" s="4" t="s">
        <v>5958</v>
      </c>
      <c r="B309" s="5" t="s">
        <v>5435</v>
      </c>
      <c r="C309" s="5" t="s">
        <v>3902</v>
      </c>
      <c r="D309" s="5"/>
      <c r="E309" s="5"/>
      <c r="F309" s="45">
        <v>62.47</v>
      </c>
    </row>
    <row r="310" spans="1:6" hidden="1">
      <c r="A310" s="4" t="s">
        <v>5959</v>
      </c>
      <c r="B310" s="5" t="s">
        <v>5498</v>
      </c>
      <c r="C310" s="5" t="s">
        <v>4219</v>
      </c>
      <c r="D310" s="5"/>
      <c r="E310" s="5"/>
      <c r="F310" s="45">
        <v>71.849999999999994</v>
      </c>
    </row>
    <row r="311" spans="1:6" hidden="1">
      <c r="A311" s="4" t="s">
        <v>5960</v>
      </c>
      <c r="B311" s="5" t="s">
        <v>5192</v>
      </c>
      <c r="C311" s="5" t="s">
        <v>4136</v>
      </c>
      <c r="D311" s="5"/>
      <c r="E311" s="5"/>
      <c r="F311" s="45">
        <v>65.400000000000006</v>
      </c>
    </row>
    <row r="312" spans="1:6" hidden="1">
      <c r="A312" s="4" t="s">
        <v>5961</v>
      </c>
      <c r="B312" s="5" t="s">
        <v>5299</v>
      </c>
      <c r="C312" s="5" t="s">
        <v>4017</v>
      </c>
      <c r="D312" s="5"/>
      <c r="E312" s="5"/>
      <c r="F312" s="45">
        <v>72.569999999999993</v>
      </c>
    </row>
    <row r="313" spans="1:6" hidden="1">
      <c r="A313" s="4" t="s">
        <v>5962</v>
      </c>
      <c r="B313" s="5" t="s">
        <v>5515</v>
      </c>
      <c r="C313" s="5" t="s">
        <v>3955</v>
      </c>
      <c r="D313" s="5"/>
      <c r="E313" s="5"/>
      <c r="F313" s="45">
        <v>71.47</v>
      </c>
    </row>
    <row r="314" spans="1:6" hidden="1">
      <c r="A314" s="4" t="s">
        <v>5963</v>
      </c>
      <c r="B314" s="5" t="s">
        <v>5190</v>
      </c>
      <c r="C314" s="5" t="s">
        <v>3842</v>
      </c>
      <c r="D314" s="5"/>
      <c r="E314" s="5"/>
      <c r="F314" s="45">
        <v>59.31</v>
      </c>
    </row>
    <row r="315" spans="1:6" hidden="1">
      <c r="A315" s="4" t="s">
        <v>5964</v>
      </c>
      <c r="B315" s="5" t="s">
        <v>5498</v>
      </c>
      <c r="C315" s="5" t="s">
        <v>3966</v>
      </c>
      <c r="D315" s="5"/>
      <c r="E315" s="5"/>
      <c r="F315" s="45">
        <v>67.239999999999995</v>
      </c>
    </row>
    <row r="316" spans="1:6" hidden="1">
      <c r="A316" s="4" t="s">
        <v>5965</v>
      </c>
      <c r="B316" s="5" t="s">
        <v>5394</v>
      </c>
      <c r="C316" s="5" t="s">
        <v>3862</v>
      </c>
      <c r="D316" s="5"/>
      <c r="E316" s="5"/>
      <c r="F316" s="45">
        <v>66.209999999999994</v>
      </c>
    </row>
    <row r="317" spans="1:6" hidden="1">
      <c r="A317" s="4" t="s">
        <v>5966</v>
      </c>
      <c r="B317" s="5" t="s">
        <v>5372</v>
      </c>
      <c r="C317" s="5" t="s">
        <v>4076</v>
      </c>
      <c r="D317" s="5"/>
      <c r="E317" s="5"/>
      <c r="F317" s="45">
        <v>70.69</v>
      </c>
    </row>
    <row r="318" spans="1:6" hidden="1">
      <c r="A318" s="4" t="s">
        <v>5967</v>
      </c>
      <c r="B318" s="5" t="s">
        <v>5446</v>
      </c>
      <c r="C318" s="5" t="s">
        <v>3852</v>
      </c>
      <c r="D318" s="5"/>
      <c r="E318" s="5"/>
      <c r="F318" s="45">
        <v>71.2</v>
      </c>
    </row>
    <row r="319" spans="1:6" hidden="1">
      <c r="A319" s="4" t="s">
        <v>5968</v>
      </c>
      <c r="B319" s="5" t="s">
        <v>5341</v>
      </c>
      <c r="C319" s="5" t="s">
        <v>4155</v>
      </c>
      <c r="D319" s="5"/>
      <c r="E319" s="5"/>
      <c r="F319" s="45">
        <v>65.92</v>
      </c>
    </row>
    <row r="320" spans="1:6" hidden="1">
      <c r="A320" s="4" t="s">
        <v>5969</v>
      </c>
      <c r="B320" s="5" t="s">
        <v>5372</v>
      </c>
      <c r="C320" s="5" t="s">
        <v>4156</v>
      </c>
      <c r="D320" s="5"/>
      <c r="E320" s="5"/>
      <c r="F320" s="45">
        <v>68.98</v>
      </c>
    </row>
    <row r="321" spans="1:6" hidden="1">
      <c r="A321" s="4" t="s">
        <v>5970</v>
      </c>
      <c r="B321" s="5" t="s">
        <v>5376</v>
      </c>
      <c r="C321" s="5" t="s">
        <v>3951</v>
      </c>
      <c r="D321" s="5"/>
      <c r="E321" s="5"/>
      <c r="F321" s="45">
        <v>71.55</v>
      </c>
    </row>
    <row r="322" spans="1:6" hidden="1">
      <c r="A322" s="4" t="s">
        <v>5971</v>
      </c>
      <c r="B322" s="5" t="s">
        <v>5372</v>
      </c>
      <c r="C322" s="5" t="s">
        <v>4171</v>
      </c>
      <c r="D322" s="5"/>
      <c r="E322" s="5"/>
      <c r="F322" s="45">
        <v>57.93</v>
      </c>
    </row>
    <row r="323" spans="1:6" hidden="1">
      <c r="A323" s="4" t="s">
        <v>5972</v>
      </c>
      <c r="B323" s="5" t="s">
        <v>5562</v>
      </c>
      <c r="C323" s="5" t="s">
        <v>3963</v>
      </c>
      <c r="D323" s="5"/>
      <c r="E323" s="5"/>
      <c r="F323" s="45">
        <v>68.569999999999993</v>
      </c>
    </row>
    <row r="324" spans="1:6" hidden="1">
      <c r="A324" s="4" t="s">
        <v>5973</v>
      </c>
      <c r="B324" s="5" t="s">
        <v>5626</v>
      </c>
      <c r="C324" s="5" t="s">
        <v>4043</v>
      </c>
      <c r="D324" s="5"/>
      <c r="E324" s="5"/>
      <c r="F324" s="45">
        <v>67.23</v>
      </c>
    </row>
    <row r="325" spans="1:6" hidden="1">
      <c r="A325" s="4" t="s">
        <v>5974</v>
      </c>
      <c r="B325" s="5" t="s">
        <v>5212</v>
      </c>
      <c r="C325" s="5" t="s">
        <v>3936</v>
      </c>
      <c r="D325" s="5"/>
      <c r="E325" s="5"/>
      <c r="F325" s="45">
        <v>68.819999999999993</v>
      </c>
    </row>
    <row r="326" spans="1:6" hidden="1">
      <c r="A326" s="4" t="s">
        <v>5975</v>
      </c>
      <c r="B326" s="5" t="s">
        <v>5173</v>
      </c>
      <c r="C326" s="5" t="s">
        <v>3979</v>
      </c>
      <c r="D326" s="5"/>
      <c r="E326" s="5"/>
      <c r="F326" s="45">
        <v>74.06</v>
      </c>
    </row>
    <row r="327" spans="1:6" hidden="1">
      <c r="A327" s="4" t="s">
        <v>5976</v>
      </c>
      <c r="B327" s="5" t="s">
        <v>5533</v>
      </c>
      <c r="C327" s="5" t="s">
        <v>3907</v>
      </c>
      <c r="D327" s="5"/>
      <c r="E327" s="5"/>
      <c r="F327" s="45">
        <v>77.03</v>
      </c>
    </row>
    <row r="328" spans="1:6" hidden="1">
      <c r="A328" s="4" t="s">
        <v>5977</v>
      </c>
      <c r="B328" s="5" t="s">
        <v>5218</v>
      </c>
      <c r="C328" s="5" t="s">
        <v>3914</v>
      </c>
      <c r="D328" s="5"/>
      <c r="E328" s="5"/>
      <c r="F328" s="45">
        <v>63.94</v>
      </c>
    </row>
    <row r="329" spans="1:6" hidden="1">
      <c r="A329" s="4" t="s">
        <v>5978</v>
      </c>
      <c r="B329" s="5" t="s">
        <v>5341</v>
      </c>
      <c r="C329" s="5" t="s">
        <v>3968</v>
      </c>
      <c r="D329" s="5"/>
      <c r="E329" s="5"/>
      <c r="F329" s="45">
        <v>66.3</v>
      </c>
    </row>
  </sheetData>
  <autoFilter ref="A4:F329" xr:uid="{2C4F08D8-96BF-9447-BBCA-912092ABA02A}">
    <filterColumn colId="1">
      <filters>
        <filter val="SHP202603-0001"/>
      </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4110-4A67-3246-B2EB-53AA79310E03}">
  <sheetPr>
    <tabColor rgb="FF92D050"/>
  </sheetPr>
  <dimension ref="A1:O19"/>
  <sheetViews>
    <sheetView topLeftCell="L1" workbookViewId="0">
      <selection activeCell="R4" sqref="R4"/>
    </sheetView>
  </sheetViews>
  <sheetFormatPr defaultColWidth="11.5546875" defaultRowHeight="15.95"/>
  <cols>
    <col min="1" max="1" width="32.6640625" bestFit="1" customWidth="1"/>
    <col min="2" max="2" width="15.33203125" bestFit="1" customWidth="1"/>
    <col min="3" max="3" width="8" bestFit="1" customWidth="1"/>
    <col min="4" max="4" width="10.6640625" bestFit="1" customWidth="1"/>
    <col min="6" max="6" width="45.6640625" bestFit="1" customWidth="1"/>
    <col min="7" max="7" width="34.44140625" bestFit="1" customWidth="1"/>
    <col min="8" max="8" width="12.109375" bestFit="1" customWidth="1"/>
    <col min="9" max="9" width="9.33203125" bestFit="1" customWidth="1"/>
    <col min="10" max="10" width="64.44140625" bestFit="1" customWidth="1"/>
    <col min="11" max="11" width="33.6640625" bestFit="1" customWidth="1"/>
    <col min="12" max="12" width="11.33203125" bestFit="1" customWidth="1"/>
    <col min="13" max="13" width="70.109375" bestFit="1" customWidth="1"/>
    <col min="14" max="14" width="43.44140625" bestFit="1" customWidth="1"/>
    <col min="15" max="15" width="15.33203125" bestFit="1" customWidth="1"/>
  </cols>
  <sheetData>
    <row r="1" spans="1:15">
      <c r="A1" t="s">
        <v>5979</v>
      </c>
    </row>
    <row r="2" spans="1:15" ht="33.950000000000003">
      <c r="A2" s="92" t="s">
        <v>5980</v>
      </c>
      <c r="B2" s="93" t="s">
        <v>5981</v>
      </c>
      <c r="C2" s="93" t="s">
        <v>5982</v>
      </c>
      <c r="D2" s="93" t="s">
        <v>5983</v>
      </c>
      <c r="E2" s="93" t="s">
        <v>1776</v>
      </c>
      <c r="F2" s="93" t="s">
        <v>5984</v>
      </c>
      <c r="G2" s="93" t="s">
        <v>5985</v>
      </c>
      <c r="H2" s="93" t="s">
        <v>5986</v>
      </c>
      <c r="I2" s="93" t="s">
        <v>5987</v>
      </c>
      <c r="J2" s="93" t="s">
        <v>5988</v>
      </c>
      <c r="K2" s="93" t="s">
        <v>5989</v>
      </c>
      <c r="L2" s="93" t="s">
        <v>5990</v>
      </c>
      <c r="M2" s="93" t="s">
        <v>5991</v>
      </c>
      <c r="N2" s="93" t="s">
        <v>5992</v>
      </c>
      <c r="O2" s="94" t="s">
        <v>5993</v>
      </c>
    </row>
    <row r="3" spans="1:15">
      <c r="A3" s="89" t="s">
        <v>1802</v>
      </c>
      <c r="B3" s="90" t="s">
        <v>5994</v>
      </c>
      <c r="C3" s="90" t="s">
        <v>2125</v>
      </c>
      <c r="D3" s="91">
        <v>0.62</v>
      </c>
      <c r="E3" s="91">
        <v>0.86</v>
      </c>
      <c r="F3" s="90" t="s">
        <v>5995</v>
      </c>
      <c r="G3" s="90" t="s">
        <v>5996</v>
      </c>
      <c r="H3" s="90" t="s">
        <v>5997</v>
      </c>
      <c r="I3" s="90" t="s">
        <v>5998</v>
      </c>
      <c r="J3" s="90" t="s">
        <v>5999</v>
      </c>
      <c r="K3" s="90" t="s">
        <v>6000</v>
      </c>
      <c r="L3" s="90" t="s">
        <v>6001</v>
      </c>
      <c r="M3" s="90" t="s">
        <v>6002</v>
      </c>
      <c r="N3" s="90" t="s">
        <v>6003</v>
      </c>
      <c r="O3" s="89" t="s">
        <v>6004</v>
      </c>
    </row>
    <row r="4" spans="1:15">
      <c r="A4" s="89" t="s">
        <v>1818</v>
      </c>
      <c r="B4" s="90" t="s">
        <v>6005</v>
      </c>
      <c r="C4" s="90" t="s">
        <v>2148</v>
      </c>
      <c r="D4" s="91">
        <v>0.48</v>
      </c>
      <c r="E4" s="91">
        <v>0.71</v>
      </c>
      <c r="F4" s="90" t="s">
        <v>6006</v>
      </c>
      <c r="G4" s="90" t="s">
        <v>6007</v>
      </c>
      <c r="H4" s="90" t="s">
        <v>6008</v>
      </c>
      <c r="I4" s="90" t="s">
        <v>5998</v>
      </c>
      <c r="J4" s="90" t="s">
        <v>6009</v>
      </c>
      <c r="K4" s="90" t="s">
        <v>6010</v>
      </c>
      <c r="L4" s="90" t="s">
        <v>6011</v>
      </c>
      <c r="M4" s="90" t="s">
        <v>6012</v>
      </c>
      <c r="N4" s="90" t="s">
        <v>6013</v>
      </c>
      <c r="O4" s="89" t="s">
        <v>6014</v>
      </c>
    </row>
    <row r="5" spans="1:15">
      <c r="A5" s="89" t="s">
        <v>1827</v>
      </c>
      <c r="B5" s="90" t="s">
        <v>6015</v>
      </c>
      <c r="C5" s="90" t="s">
        <v>2125</v>
      </c>
      <c r="D5" s="91">
        <v>0.55000000000000004</v>
      </c>
      <c r="E5" s="91">
        <v>0.8</v>
      </c>
      <c r="F5" s="90" t="s">
        <v>6016</v>
      </c>
      <c r="G5" s="90" t="s">
        <v>6017</v>
      </c>
      <c r="H5" s="90" t="s">
        <v>6008</v>
      </c>
      <c r="I5" s="90" t="s">
        <v>5998</v>
      </c>
      <c r="J5" s="90" t="s">
        <v>6018</v>
      </c>
      <c r="K5" s="90" t="s">
        <v>6019</v>
      </c>
      <c r="L5" s="90" t="s">
        <v>6001</v>
      </c>
      <c r="M5" s="90" t="s">
        <v>6020</v>
      </c>
      <c r="N5" s="90" t="s">
        <v>6021</v>
      </c>
      <c r="O5" s="89" t="s">
        <v>6022</v>
      </c>
    </row>
    <row r="6" spans="1:15">
      <c r="A6" s="89" t="s">
        <v>1837</v>
      </c>
      <c r="B6" s="90" t="s">
        <v>5994</v>
      </c>
      <c r="C6" s="90" t="s">
        <v>2125</v>
      </c>
      <c r="D6" s="91">
        <v>0.57999999999999996</v>
      </c>
      <c r="E6" s="91">
        <v>0.82</v>
      </c>
      <c r="F6" s="90" t="s">
        <v>6023</v>
      </c>
      <c r="G6" s="90" t="s">
        <v>6024</v>
      </c>
      <c r="H6" s="90" t="s">
        <v>6008</v>
      </c>
      <c r="I6" s="90" t="s">
        <v>5998</v>
      </c>
      <c r="J6" s="90" t="s">
        <v>6025</v>
      </c>
      <c r="K6" s="90" t="s">
        <v>6026</v>
      </c>
      <c r="L6" s="90" t="s">
        <v>6027</v>
      </c>
      <c r="M6" s="90" t="s">
        <v>6028</v>
      </c>
      <c r="N6" s="90" t="s">
        <v>6029</v>
      </c>
      <c r="O6" s="89" t="s">
        <v>6030</v>
      </c>
    </row>
    <row r="7" spans="1:15">
      <c r="A7" s="89" t="s">
        <v>1846</v>
      </c>
      <c r="B7" s="90" t="s">
        <v>5994</v>
      </c>
      <c r="C7" s="90" t="s">
        <v>2148</v>
      </c>
      <c r="D7" s="91">
        <v>0.44</v>
      </c>
      <c r="E7" s="91">
        <v>0.73</v>
      </c>
      <c r="F7" s="90" t="s">
        <v>6031</v>
      </c>
      <c r="G7" s="90" t="s">
        <v>6032</v>
      </c>
      <c r="H7" s="90" t="s">
        <v>6008</v>
      </c>
      <c r="I7" s="90" t="s">
        <v>5998</v>
      </c>
      <c r="J7" s="90" t="s">
        <v>6033</v>
      </c>
      <c r="K7" s="90" t="s">
        <v>6034</v>
      </c>
      <c r="L7" s="90" t="s">
        <v>6001</v>
      </c>
      <c r="M7" s="90" t="s">
        <v>6035</v>
      </c>
      <c r="N7" s="90" t="s">
        <v>6036</v>
      </c>
      <c r="O7" s="89" t="s">
        <v>6037</v>
      </c>
    </row>
    <row r="8" spans="1:15">
      <c r="A8" s="89" t="s">
        <v>1851</v>
      </c>
      <c r="B8" s="90" t="s">
        <v>6038</v>
      </c>
      <c r="C8" s="90" t="s">
        <v>2171</v>
      </c>
      <c r="D8" s="91">
        <v>0.36</v>
      </c>
      <c r="E8" s="91">
        <v>0.79</v>
      </c>
      <c r="F8" s="90" t="s">
        <v>6039</v>
      </c>
      <c r="G8" s="90" t="s">
        <v>6040</v>
      </c>
      <c r="H8" s="90" t="s">
        <v>5997</v>
      </c>
      <c r="I8" s="90" t="s">
        <v>6041</v>
      </c>
      <c r="J8" s="90" t="s">
        <v>6042</v>
      </c>
      <c r="K8" s="90" t="s">
        <v>6043</v>
      </c>
      <c r="L8" s="90" t="s">
        <v>6011</v>
      </c>
      <c r="M8" s="90" t="s">
        <v>6044</v>
      </c>
      <c r="N8" s="90" t="s">
        <v>6045</v>
      </c>
      <c r="O8" s="89" t="s">
        <v>6046</v>
      </c>
    </row>
    <row r="9" spans="1:15">
      <c r="A9" s="89" t="s">
        <v>1864</v>
      </c>
      <c r="B9" s="90" t="s">
        <v>5994</v>
      </c>
      <c r="C9" s="90" t="s">
        <v>2148</v>
      </c>
      <c r="D9" s="91">
        <v>0.41</v>
      </c>
      <c r="E9" s="91">
        <v>0.81</v>
      </c>
      <c r="F9" s="90" t="s">
        <v>6047</v>
      </c>
      <c r="G9" s="90" t="s">
        <v>6048</v>
      </c>
      <c r="H9" s="90" t="s">
        <v>6008</v>
      </c>
      <c r="I9" s="90" t="s">
        <v>5998</v>
      </c>
      <c r="J9" s="90" t="s">
        <v>6049</v>
      </c>
      <c r="K9" s="90" t="s">
        <v>6026</v>
      </c>
      <c r="L9" s="90" t="s">
        <v>6001</v>
      </c>
      <c r="M9" s="90" t="s">
        <v>6050</v>
      </c>
      <c r="N9" s="90" t="s">
        <v>6051</v>
      </c>
      <c r="O9" s="89" t="s">
        <v>6052</v>
      </c>
    </row>
    <row r="10" spans="1:15">
      <c r="A10" s="89" t="s">
        <v>1873</v>
      </c>
      <c r="B10" s="90" t="s">
        <v>6005</v>
      </c>
      <c r="C10" s="90" t="s">
        <v>2148</v>
      </c>
      <c r="D10" s="91">
        <v>0.52</v>
      </c>
      <c r="E10" s="91">
        <v>0.66</v>
      </c>
      <c r="F10" s="90" t="s">
        <v>6053</v>
      </c>
      <c r="G10" s="90" t="s">
        <v>6054</v>
      </c>
      <c r="H10" s="90" t="s">
        <v>6008</v>
      </c>
      <c r="I10" s="90" t="s">
        <v>5998</v>
      </c>
      <c r="J10" s="90" t="s">
        <v>6055</v>
      </c>
      <c r="K10" s="90" t="s">
        <v>6056</v>
      </c>
      <c r="L10" s="90" t="s">
        <v>6057</v>
      </c>
      <c r="M10" s="90" t="s">
        <v>6058</v>
      </c>
      <c r="N10" s="90" t="s">
        <v>6059</v>
      </c>
      <c r="O10" s="89" t="s">
        <v>6014</v>
      </c>
    </row>
    <row r="11" spans="1:15">
      <c r="A11" s="89" t="s">
        <v>1878</v>
      </c>
      <c r="B11" s="90" t="s">
        <v>6038</v>
      </c>
      <c r="C11" s="90" t="s">
        <v>2125</v>
      </c>
      <c r="D11" s="91">
        <v>0.47</v>
      </c>
      <c r="E11" s="91">
        <v>0.75</v>
      </c>
      <c r="F11" s="90" t="s">
        <v>6060</v>
      </c>
      <c r="G11" s="90" t="s">
        <v>6061</v>
      </c>
      <c r="H11" s="90" t="s">
        <v>6008</v>
      </c>
      <c r="I11" s="90" t="s">
        <v>6041</v>
      </c>
      <c r="J11" s="90" t="s">
        <v>6062</v>
      </c>
      <c r="K11" s="90" t="s">
        <v>6063</v>
      </c>
      <c r="L11" s="90" t="s">
        <v>6001</v>
      </c>
      <c r="M11" s="90" t="s">
        <v>6064</v>
      </c>
      <c r="N11" s="90" t="s">
        <v>6065</v>
      </c>
      <c r="O11" s="89" t="s">
        <v>6066</v>
      </c>
    </row>
    <row r="12" spans="1:15">
      <c r="A12" s="89" t="s">
        <v>1891</v>
      </c>
      <c r="B12" s="90" t="s">
        <v>5994</v>
      </c>
      <c r="C12" s="90" t="s">
        <v>2148</v>
      </c>
      <c r="D12" s="91">
        <v>0.43</v>
      </c>
      <c r="E12" s="91">
        <v>0.77</v>
      </c>
      <c r="F12" s="90" t="s">
        <v>6047</v>
      </c>
      <c r="G12" s="90" t="s">
        <v>6067</v>
      </c>
      <c r="H12" s="90" t="s">
        <v>6008</v>
      </c>
      <c r="I12" s="90" t="s">
        <v>5998</v>
      </c>
      <c r="J12" s="90" t="s">
        <v>6068</v>
      </c>
      <c r="K12" s="90" t="s">
        <v>6026</v>
      </c>
      <c r="L12" s="90" t="s">
        <v>6057</v>
      </c>
      <c r="M12" s="90" t="s">
        <v>6069</v>
      </c>
      <c r="N12" s="90" t="s">
        <v>6070</v>
      </c>
      <c r="O12" s="89" t="s">
        <v>6071</v>
      </c>
    </row>
    <row r="13" spans="1:15">
      <c r="A13" s="89" t="s">
        <v>1896</v>
      </c>
      <c r="B13" s="90" t="s">
        <v>6015</v>
      </c>
      <c r="C13" s="90" t="s">
        <v>2125</v>
      </c>
      <c r="D13" s="91">
        <v>0.5</v>
      </c>
      <c r="E13" s="91">
        <v>0.73</v>
      </c>
      <c r="F13" s="90" t="s">
        <v>6072</v>
      </c>
      <c r="G13" s="90" t="s">
        <v>6073</v>
      </c>
      <c r="H13" s="90" t="s">
        <v>6008</v>
      </c>
      <c r="I13" s="90" t="s">
        <v>5998</v>
      </c>
      <c r="J13" s="90" t="s">
        <v>6074</v>
      </c>
      <c r="K13" s="90" t="s">
        <v>6075</v>
      </c>
      <c r="L13" s="90" t="s">
        <v>6001</v>
      </c>
      <c r="M13" s="90" t="s">
        <v>6076</v>
      </c>
      <c r="N13" s="90" t="s">
        <v>6077</v>
      </c>
      <c r="O13" s="89" t="s">
        <v>6046</v>
      </c>
    </row>
    <row r="14" spans="1:15">
      <c r="A14" s="89" t="s">
        <v>1906</v>
      </c>
      <c r="B14" s="90" t="s">
        <v>6078</v>
      </c>
      <c r="C14" s="90" t="s">
        <v>2125</v>
      </c>
      <c r="D14" s="91">
        <v>0.39</v>
      </c>
      <c r="E14" s="91">
        <v>0.62</v>
      </c>
      <c r="F14" s="90" t="s">
        <v>6079</v>
      </c>
      <c r="G14" s="90" t="s">
        <v>6080</v>
      </c>
      <c r="H14" s="90" t="s">
        <v>6008</v>
      </c>
      <c r="I14" s="90" t="s">
        <v>5998</v>
      </c>
      <c r="J14" s="90" t="s">
        <v>6081</v>
      </c>
      <c r="K14" s="90" t="s">
        <v>6082</v>
      </c>
      <c r="L14" s="90" t="s">
        <v>6011</v>
      </c>
      <c r="M14" s="90" t="s">
        <v>6083</v>
      </c>
      <c r="N14" s="90" t="s">
        <v>6084</v>
      </c>
      <c r="O14" s="89" t="s">
        <v>6085</v>
      </c>
    </row>
    <row r="15" spans="1:15">
      <c r="A15" s="89" t="s">
        <v>1919</v>
      </c>
      <c r="B15" s="90" t="s">
        <v>6015</v>
      </c>
      <c r="C15" s="90" t="s">
        <v>2148</v>
      </c>
      <c r="D15" s="91">
        <v>0.46</v>
      </c>
      <c r="E15" s="91">
        <v>0.76</v>
      </c>
      <c r="F15" s="90" t="s">
        <v>6086</v>
      </c>
      <c r="G15" s="90" t="s">
        <v>6087</v>
      </c>
      <c r="H15" s="90" t="s">
        <v>6008</v>
      </c>
      <c r="I15" s="90" t="s">
        <v>5998</v>
      </c>
      <c r="J15" s="90" t="s">
        <v>6088</v>
      </c>
      <c r="K15" s="90" t="s">
        <v>6026</v>
      </c>
      <c r="L15" s="90" t="s">
        <v>6001</v>
      </c>
      <c r="M15" s="90" t="s">
        <v>6089</v>
      </c>
      <c r="N15" s="90" t="s">
        <v>6090</v>
      </c>
      <c r="O15" s="89" t="s">
        <v>6037</v>
      </c>
    </row>
    <row r="16" spans="1:15">
      <c r="A16" s="89" t="s">
        <v>1936</v>
      </c>
      <c r="B16" s="90" t="s">
        <v>6078</v>
      </c>
      <c r="C16" s="90" t="s">
        <v>2125</v>
      </c>
      <c r="D16" s="91">
        <v>0.56999999999999995</v>
      </c>
      <c r="E16" s="91">
        <v>0.87</v>
      </c>
      <c r="F16" s="90" t="s">
        <v>6091</v>
      </c>
      <c r="G16" s="90" t="s">
        <v>6092</v>
      </c>
      <c r="H16" s="90" t="s">
        <v>6008</v>
      </c>
      <c r="I16" s="90" t="s">
        <v>5998</v>
      </c>
      <c r="J16" s="90" t="s">
        <v>6093</v>
      </c>
      <c r="K16" s="90" t="s">
        <v>6019</v>
      </c>
      <c r="L16" s="90" t="s">
        <v>6001</v>
      </c>
      <c r="M16" s="90" t="s">
        <v>6094</v>
      </c>
      <c r="N16" s="90" t="s">
        <v>6095</v>
      </c>
      <c r="O16" s="89" t="s">
        <v>6096</v>
      </c>
    </row>
    <row r="17" spans="1:15">
      <c r="A17" s="89" t="s">
        <v>1945</v>
      </c>
      <c r="B17" s="90" t="s">
        <v>6038</v>
      </c>
      <c r="C17" s="90" t="s">
        <v>2148</v>
      </c>
      <c r="D17" s="91">
        <v>0.4</v>
      </c>
      <c r="E17" s="91">
        <v>0.8</v>
      </c>
      <c r="F17" s="90" t="s">
        <v>6097</v>
      </c>
      <c r="G17" s="90" t="s">
        <v>6040</v>
      </c>
      <c r="H17" s="90" t="s">
        <v>6008</v>
      </c>
      <c r="I17" s="90" t="s">
        <v>5998</v>
      </c>
      <c r="J17" s="90" t="s">
        <v>6098</v>
      </c>
      <c r="K17" s="90" t="s">
        <v>6099</v>
      </c>
      <c r="L17" s="90" t="s">
        <v>6057</v>
      </c>
      <c r="M17" s="90" t="s">
        <v>6100</v>
      </c>
      <c r="N17" s="90" t="s">
        <v>6101</v>
      </c>
      <c r="O17" s="89" t="s">
        <v>6102</v>
      </c>
    </row>
    <row r="18" spans="1:15">
      <c r="A18" s="89" t="s">
        <v>1950</v>
      </c>
      <c r="B18" s="90" t="s">
        <v>6078</v>
      </c>
      <c r="C18" s="90" t="s">
        <v>2148</v>
      </c>
      <c r="D18" s="91">
        <v>0.38</v>
      </c>
      <c r="E18" s="91">
        <v>0.73</v>
      </c>
      <c r="F18" s="90" t="s">
        <v>6103</v>
      </c>
      <c r="G18" s="90" t="s">
        <v>6104</v>
      </c>
      <c r="H18" s="90" t="s">
        <v>6008</v>
      </c>
      <c r="I18" s="90" t="s">
        <v>5998</v>
      </c>
      <c r="J18" s="90" t="s">
        <v>6105</v>
      </c>
      <c r="K18" s="90" t="s">
        <v>6106</v>
      </c>
      <c r="L18" s="90" t="s">
        <v>6001</v>
      </c>
      <c r="M18" s="90" t="s">
        <v>6107</v>
      </c>
      <c r="N18" s="90" t="s">
        <v>6108</v>
      </c>
      <c r="O18" s="89" t="s">
        <v>6109</v>
      </c>
    </row>
    <row r="19" spans="1:15">
      <c r="A19" s="89" t="s">
        <v>1960</v>
      </c>
      <c r="B19" s="90" t="s">
        <v>6038</v>
      </c>
      <c r="C19" s="90" t="s">
        <v>2148</v>
      </c>
      <c r="D19" s="91">
        <v>0.35</v>
      </c>
      <c r="E19" s="91">
        <v>0.6</v>
      </c>
      <c r="F19" s="90" t="s">
        <v>6031</v>
      </c>
      <c r="G19" s="90" t="s">
        <v>6110</v>
      </c>
      <c r="H19" s="90" t="s">
        <v>6008</v>
      </c>
      <c r="I19" s="90" t="s">
        <v>5998</v>
      </c>
      <c r="J19" s="90" t="s">
        <v>6111</v>
      </c>
      <c r="K19" s="90" t="s">
        <v>6112</v>
      </c>
      <c r="L19" s="90" t="s">
        <v>6057</v>
      </c>
      <c r="M19" s="90" t="s">
        <v>6113</v>
      </c>
      <c r="N19" s="90" t="s">
        <v>6114</v>
      </c>
      <c r="O19" s="89" t="s">
        <v>6066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B5C4-FA78-844E-B40D-E964DEE96493}">
  <sheetPr>
    <tabColor rgb="FF92D050"/>
  </sheetPr>
  <dimension ref="A1:O17"/>
  <sheetViews>
    <sheetView workbookViewId="0">
      <selection activeCell="D3" sqref="D3"/>
    </sheetView>
  </sheetViews>
  <sheetFormatPr defaultColWidth="11.5546875" defaultRowHeight="15.95"/>
  <cols>
    <col min="1" max="1" width="17.109375" customWidth="1"/>
    <col min="4" max="4" width="10.33203125" bestFit="1" customWidth="1"/>
    <col min="13" max="13" width="10.109375" bestFit="1" customWidth="1"/>
    <col min="14" max="15" width="10.6640625" bestFit="1" customWidth="1"/>
  </cols>
  <sheetData>
    <row r="1" spans="1:15" ht="68.099999999999994">
      <c r="A1" s="80" t="s">
        <v>6115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ht="47.1" customHeight="1">
      <c r="A2" s="81" t="s">
        <v>6116</v>
      </c>
      <c r="B2" s="82" t="s">
        <v>6117</v>
      </c>
      <c r="C2" s="82" t="s">
        <v>6118</v>
      </c>
      <c r="D2" s="83" t="s">
        <v>1513</v>
      </c>
      <c r="E2" s="82" t="s">
        <v>6119</v>
      </c>
      <c r="F2" s="82" t="s">
        <v>6120</v>
      </c>
      <c r="G2" s="82" t="s">
        <v>6121</v>
      </c>
      <c r="H2" s="82" t="s">
        <v>6122</v>
      </c>
      <c r="I2" s="82" t="s">
        <v>6123</v>
      </c>
      <c r="J2" s="82" t="s">
        <v>6124</v>
      </c>
      <c r="K2" s="82" t="s">
        <v>6125</v>
      </c>
      <c r="L2" s="82" t="s">
        <v>6126</v>
      </c>
      <c r="M2" s="83" t="s">
        <v>6127</v>
      </c>
      <c r="N2" s="82" t="s">
        <v>6128</v>
      </c>
      <c r="O2" s="82" t="s">
        <v>6129</v>
      </c>
    </row>
    <row r="3" spans="1:15" ht="204">
      <c r="A3" s="84" t="s">
        <v>6004</v>
      </c>
      <c r="B3" s="84" t="s">
        <v>6130</v>
      </c>
      <c r="C3" s="84" t="s">
        <v>6131</v>
      </c>
      <c r="D3" s="84" t="s">
        <v>1516</v>
      </c>
      <c r="E3" s="84" t="s">
        <v>6132</v>
      </c>
      <c r="F3" s="84" t="s">
        <v>6133</v>
      </c>
      <c r="G3" s="84" t="s">
        <v>6134</v>
      </c>
      <c r="H3" s="84" t="s">
        <v>6135</v>
      </c>
      <c r="I3" s="84" t="s">
        <v>6136</v>
      </c>
      <c r="J3" s="84" t="s">
        <v>6137</v>
      </c>
      <c r="K3" s="84" t="s">
        <v>6138</v>
      </c>
      <c r="L3" s="84" t="s">
        <v>6139</v>
      </c>
      <c r="M3" s="84" t="s">
        <v>6140</v>
      </c>
      <c r="N3" s="84" t="s">
        <v>6141</v>
      </c>
      <c r="O3" s="84" t="s">
        <v>6142</v>
      </c>
    </row>
    <row r="4" spans="1:15" ht="170.1">
      <c r="A4" s="84" t="s">
        <v>6046</v>
      </c>
      <c r="B4" s="84" t="s">
        <v>6143</v>
      </c>
      <c r="C4" s="84" t="s">
        <v>6144</v>
      </c>
      <c r="D4" s="84" t="s">
        <v>1516</v>
      </c>
      <c r="E4" s="84" t="s">
        <v>6145</v>
      </c>
      <c r="F4" s="84" t="s">
        <v>6146</v>
      </c>
      <c r="G4" s="84" t="s">
        <v>6147</v>
      </c>
      <c r="H4" s="84" t="s">
        <v>6148</v>
      </c>
      <c r="I4" s="84" t="s">
        <v>6149</v>
      </c>
      <c r="J4" s="84" t="s">
        <v>2125</v>
      </c>
      <c r="K4" s="84" t="s">
        <v>6150</v>
      </c>
      <c r="L4" s="84" t="s">
        <v>6151</v>
      </c>
      <c r="M4" s="84" t="s">
        <v>6152</v>
      </c>
      <c r="N4" s="84" t="s">
        <v>6153</v>
      </c>
      <c r="O4" s="84" t="s">
        <v>6154</v>
      </c>
    </row>
    <row r="5" spans="1:15" ht="204">
      <c r="A5" s="84" t="s">
        <v>6022</v>
      </c>
      <c r="B5" s="84" t="s">
        <v>6155</v>
      </c>
      <c r="C5" s="84" t="s">
        <v>6156</v>
      </c>
      <c r="D5" s="84" t="s">
        <v>1955</v>
      </c>
      <c r="E5" s="84" t="s">
        <v>6157</v>
      </c>
      <c r="F5" s="84" t="s">
        <v>6158</v>
      </c>
      <c r="G5" s="84" t="s">
        <v>6159</v>
      </c>
      <c r="H5" s="84" t="s">
        <v>6160</v>
      </c>
      <c r="I5" s="84" t="s">
        <v>6161</v>
      </c>
      <c r="J5" s="84" t="s">
        <v>2171</v>
      </c>
      <c r="K5" s="84" t="s">
        <v>6162</v>
      </c>
      <c r="L5" s="84" t="s">
        <v>6163</v>
      </c>
      <c r="M5" s="84" t="s">
        <v>6164</v>
      </c>
      <c r="N5" s="84" t="s">
        <v>6165</v>
      </c>
      <c r="O5" s="84" t="s">
        <v>6166</v>
      </c>
    </row>
    <row r="6" spans="1:15" ht="170.1">
      <c r="A6" s="84" t="s">
        <v>6030</v>
      </c>
      <c r="B6" s="84" t="s">
        <v>6167</v>
      </c>
      <c r="C6" s="84" t="s">
        <v>6168</v>
      </c>
      <c r="D6" s="84" t="s">
        <v>1533</v>
      </c>
      <c r="E6" s="84" t="s">
        <v>6169</v>
      </c>
      <c r="F6" s="84" t="s">
        <v>6170</v>
      </c>
      <c r="G6" s="84" t="s">
        <v>6171</v>
      </c>
      <c r="H6" s="84" t="s">
        <v>6172</v>
      </c>
      <c r="I6" s="84" t="s">
        <v>6173</v>
      </c>
      <c r="J6" s="84" t="s">
        <v>2125</v>
      </c>
      <c r="K6" s="84" t="s">
        <v>6174</v>
      </c>
      <c r="L6" s="84" t="s">
        <v>6175</v>
      </c>
      <c r="M6" s="84" t="s">
        <v>6176</v>
      </c>
      <c r="N6" s="84" t="s">
        <v>6177</v>
      </c>
      <c r="O6" s="84" t="s">
        <v>6178</v>
      </c>
    </row>
    <row r="7" spans="1:15" ht="186.95">
      <c r="A7" s="84" t="s">
        <v>6037</v>
      </c>
      <c r="B7" s="84" t="s">
        <v>6179</v>
      </c>
      <c r="C7" s="84" t="s">
        <v>6180</v>
      </c>
      <c r="D7" s="84" t="s">
        <v>1522</v>
      </c>
      <c r="E7" s="84" t="s">
        <v>6181</v>
      </c>
      <c r="F7" s="84" t="s">
        <v>6182</v>
      </c>
      <c r="G7" s="84" t="s">
        <v>6183</v>
      </c>
      <c r="H7" s="84" t="s">
        <v>6184</v>
      </c>
      <c r="I7" s="84" t="s">
        <v>6185</v>
      </c>
      <c r="J7" s="84" t="s">
        <v>2171</v>
      </c>
      <c r="K7" s="84" t="s">
        <v>6186</v>
      </c>
      <c r="L7" s="84" t="s">
        <v>6187</v>
      </c>
      <c r="M7" s="84" t="s">
        <v>6176</v>
      </c>
      <c r="N7" s="84" t="s">
        <v>6188</v>
      </c>
      <c r="O7" s="84" t="s">
        <v>6189</v>
      </c>
    </row>
    <row r="8" spans="1:15" ht="186.95">
      <c r="A8" s="84" t="s">
        <v>6066</v>
      </c>
      <c r="B8" s="84" t="s">
        <v>6190</v>
      </c>
      <c r="C8" s="84" t="s">
        <v>6191</v>
      </c>
      <c r="D8" s="84" t="s">
        <v>1533</v>
      </c>
      <c r="E8" s="84" t="s">
        <v>6192</v>
      </c>
      <c r="F8" s="84" t="s">
        <v>6193</v>
      </c>
      <c r="G8" s="84" t="s">
        <v>6194</v>
      </c>
      <c r="H8" s="84" t="s">
        <v>6195</v>
      </c>
      <c r="I8" s="84" t="s">
        <v>6196</v>
      </c>
      <c r="J8" s="84" t="s">
        <v>2171</v>
      </c>
      <c r="K8" s="84" t="s">
        <v>6197</v>
      </c>
      <c r="L8" s="84" t="s">
        <v>6198</v>
      </c>
      <c r="M8" s="84" t="s">
        <v>6199</v>
      </c>
      <c r="N8" s="84" t="s">
        <v>6200</v>
      </c>
      <c r="O8" s="84" t="s">
        <v>6201</v>
      </c>
    </row>
    <row r="9" spans="1:15" ht="170.1">
      <c r="A9" s="84" t="s">
        <v>6052</v>
      </c>
      <c r="B9" s="84" t="s">
        <v>6202</v>
      </c>
      <c r="C9" s="84" t="s">
        <v>6203</v>
      </c>
      <c r="D9" s="84" t="s">
        <v>1955</v>
      </c>
      <c r="E9" s="84" t="s">
        <v>6204</v>
      </c>
      <c r="F9" s="84" t="s">
        <v>6205</v>
      </c>
      <c r="G9" s="84" t="s">
        <v>6206</v>
      </c>
      <c r="H9" s="84" t="s">
        <v>6207</v>
      </c>
      <c r="I9" s="84" t="s">
        <v>6208</v>
      </c>
      <c r="J9" s="84" t="s">
        <v>2125</v>
      </c>
      <c r="K9" s="84" t="s">
        <v>6209</v>
      </c>
      <c r="L9" s="84" t="s">
        <v>6210</v>
      </c>
      <c r="M9" s="84" t="s">
        <v>6176</v>
      </c>
      <c r="N9" s="84" t="s">
        <v>6211</v>
      </c>
      <c r="O9" s="84" t="s">
        <v>6212</v>
      </c>
    </row>
    <row r="10" spans="1:15" ht="170.1">
      <c r="A10" s="84" t="s">
        <v>6014</v>
      </c>
      <c r="B10" s="84" t="s">
        <v>6213</v>
      </c>
      <c r="C10" s="84" t="s">
        <v>6214</v>
      </c>
      <c r="D10" s="84" t="s">
        <v>1516</v>
      </c>
      <c r="E10" s="84" t="s">
        <v>6215</v>
      </c>
      <c r="F10" s="84" t="s">
        <v>6216</v>
      </c>
      <c r="G10" s="84" t="s">
        <v>6217</v>
      </c>
      <c r="H10" s="84" t="s">
        <v>6218</v>
      </c>
      <c r="I10" s="84" t="s">
        <v>6219</v>
      </c>
      <c r="J10" s="84" t="s">
        <v>2171</v>
      </c>
      <c r="K10" s="84" t="s">
        <v>6220</v>
      </c>
      <c r="L10" s="84" t="s">
        <v>6221</v>
      </c>
      <c r="M10" s="84" t="s">
        <v>6222</v>
      </c>
      <c r="N10" s="84" t="s">
        <v>6223</v>
      </c>
      <c r="O10" s="84" t="s">
        <v>6224</v>
      </c>
    </row>
    <row r="11" spans="1:15" ht="153">
      <c r="A11" s="84" t="s">
        <v>6085</v>
      </c>
      <c r="B11" s="84" t="s">
        <v>6225</v>
      </c>
      <c r="C11" s="84" t="s">
        <v>6226</v>
      </c>
      <c r="D11" s="84" t="s">
        <v>1522</v>
      </c>
      <c r="E11" s="84" t="s">
        <v>6227</v>
      </c>
      <c r="F11" s="84" t="s">
        <v>6228</v>
      </c>
      <c r="G11" s="84" t="s">
        <v>6229</v>
      </c>
      <c r="H11" s="84" t="s">
        <v>6230</v>
      </c>
      <c r="I11" s="84" t="s">
        <v>6231</v>
      </c>
      <c r="J11" s="84" t="s">
        <v>2125</v>
      </c>
      <c r="K11" s="84" t="s">
        <v>6232</v>
      </c>
      <c r="L11" s="84" t="s">
        <v>6233</v>
      </c>
      <c r="M11" s="84" t="s">
        <v>6222</v>
      </c>
      <c r="N11" s="84" t="s">
        <v>6234</v>
      </c>
      <c r="O11" s="84" t="s">
        <v>6235</v>
      </c>
    </row>
    <row r="12" spans="1:15" ht="186.95">
      <c r="A12" s="84" t="s">
        <v>6071</v>
      </c>
      <c r="B12" s="84" t="s">
        <v>6236</v>
      </c>
      <c r="C12" s="84" t="s">
        <v>6237</v>
      </c>
      <c r="D12" s="84" t="s">
        <v>1533</v>
      </c>
      <c r="E12" s="84" t="s">
        <v>6238</v>
      </c>
      <c r="F12" s="84" t="s">
        <v>6239</v>
      </c>
      <c r="G12" s="84" t="s">
        <v>6240</v>
      </c>
      <c r="H12" s="84" t="s">
        <v>6241</v>
      </c>
      <c r="I12" s="84" t="s">
        <v>6242</v>
      </c>
      <c r="J12" s="84" t="s">
        <v>2171</v>
      </c>
      <c r="K12" s="84" t="s">
        <v>6243</v>
      </c>
      <c r="L12" s="84" t="s">
        <v>6244</v>
      </c>
      <c r="M12" s="84" t="s">
        <v>6176</v>
      </c>
      <c r="N12" s="84" t="s">
        <v>6245</v>
      </c>
      <c r="O12" s="84" t="s">
        <v>6246</v>
      </c>
    </row>
    <row r="13" spans="1:15" ht="153">
      <c r="A13" s="84" t="s">
        <v>6096</v>
      </c>
      <c r="B13" s="84" t="s">
        <v>6247</v>
      </c>
      <c r="C13" s="84" t="s">
        <v>6248</v>
      </c>
      <c r="D13" s="84" t="s">
        <v>1587</v>
      </c>
      <c r="E13" s="84" t="s">
        <v>6249</v>
      </c>
      <c r="F13" s="84" t="s">
        <v>6250</v>
      </c>
      <c r="G13" s="84" t="s">
        <v>6251</v>
      </c>
      <c r="H13" s="84" t="s">
        <v>6252</v>
      </c>
      <c r="I13" s="84" t="s">
        <v>6253</v>
      </c>
      <c r="J13" s="84" t="s">
        <v>2125</v>
      </c>
      <c r="K13" s="84" t="s">
        <v>6254</v>
      </c>
      <c r="L13" s="84" t="s">
        <v>6255</v>
      </c>
      <c r="M13" s="84" t="s">
        <v>6164</v>
      </c>
      <c r="N13" s="84" t="s">
        <v>6256</v>
      </c>
      <c r="O13" s="84" t="s">
        <v>6257</v>
      </c>
    </row>
    <row r="14" spans="1:15" ht="170.1">
      <c r="A14" s="84" t="s">
        <v>6102</v>
      </c>
      <c r="B14" s="84" t="s">
        <v>6258</v>
      </c>
      <c r="C14" s="84" t="s">
        <v>6259</v>
      </c>
      <c r="D14" s="84" t="s">
        <v>1533</v>
      </c>
      <c r="E14" s="84" t="s">
        <v>6260</v>
      </c>
      <c r="F14" s="84" t="s">
        <v>6261</v>
      </c>
      <c r="G14" s="84" t="s">
        <v>6262</v>
      </c>
      <c r="H14" s="84" t="s">
        <v>6263</v>
      </c>
      <c r="I14" s="84" t="s">
        <v>6264</v>
      </c>
      <c r="J14" s="84" t="s">
        <v>2171</v>
      </c>
      <c r="K14" s="84" t="s">
        <v>6265</v>
      </c>
      <c r="L14" s="84" t="s">
        <v>6266</v>
      </c>
      <c r="M14" s="84" t="s">
        <v>6140</v>
      </c>
      <c r="N14" s="84" t="s">
        <v>6267</v>
      </c>
      <c r="O14" s="84" t="s">
        <v>6268</v>
      </c>
    </row>
    <row r="15" spans="1:15" ht="186.95">
      <c r="A15" s="84" t="s">
        <v>6109</v>
      </c>
      <c r="B15" s="84" t="s">
        <v>6269</v>
      </c>
      <c r="C15" s="84" t="s">
        <v>6270</v>
      </c>
      <c r="D15" s="84" t="s">
        <v>1516</v>
      </c>
      <c r="E15" s="84" t="s">
        <v>6271</v>
      </c>
      <c r="F15" s="84" t="s">
        <v>6272</v>
      </c>
      <c r="G15" s="84" t="s">
        <v>6273</v>
      </c>
      <c r="H15" s="84" t="s">
        <v>6274</v>
      </c>
      <c r="I15" s="84" t="s">
        <v>6275</v>
      </c>
      <c r="J15" s="84" t="s">
        <v>2125</v>
      </c>
      <c r="K15" s="84" t="s">
        <v>6276</v>
      </c>
      <c r="L15" s="84" t="s">
        <v>6277</v>
      </c>
      <c r="M15" s="84" t="s">
        <v>6278</v>
      </c>
      <c r="N15" s="84" t="s">
        <v>6279</v>
      </c>
      <c r="O15" s="84" t="s">
        <v>6280</v>
      </c>
    </row>
    <row r="16" spans="1:15" ht="221.1">
      <c r="A16" s="84" t="s">
        <v>6281</v>
      </c>
      <c r="B16" s="84" t="s">
        <v>6282</v>
      </c>
      <c r="C16" s="84" t="s">
        <v>6283</v>
      </c>
      <c r="D16" s="84" t="s">
        <v>1533</v>
      </c>
      <c r="E16" s="84" t="s">
        <v>6284</v>
      </c>
      <c r="F16" s="84" t="s">
        <v>6285</v>
      </c>
      <c r="G16" s="84" t="s">
        <v>6286</v>
      </c>
      <c r="H16" s="84" t="s">
        <v>6287</v>
      </c>
      <c r="I16" s="84" t="s">
        <v>6288</v>
      </c>
      <c r="J16" s="84" t="s">
        <v>2125</v>
      </c>
      <c r="K16" s="84" t="s">
        <v>6289</v>
      </c>
      <c r="L16" s="84" t="s">
        <v>6290</v>
      </c>
      <c r="M16" s="84" t="s">
        <v>6199</v>
      </c>
      <c r="N16" s="84" t="s">
        <v>6291</v>
      </c>
      <c r="O16" s="84" t="s">
        <v>6292</v>
      </c>
    </row>
    <row r="17" spans="1:15" ht="186.95">
      <c r="A17" s="84" t="s">
        <v>6293</v>
      </c>
      <c r="B17" s="84" t="s">
        <v>6294</v>
      </c>
      <c r="C17" s="84" t="s">
        <v>6295</v>
      </c>
      <c r="D17" s="84" t="s">
        <v>1516</v>
      </c>
      <c r="E17" s="84" t="s">
        <v>6296</v>
      </c>
      <c r="F17" s="84" t="s">
        <v>6297</v>
      </c>
      <c r="G17" s="84" t="s">
        <v>6298</v>
      </c>
      <c r="H17" s="84" t="s">
        <v>6299</v>
      </c>
      <c r="I17" s="84" t="s">
        <v>6300</v>
      </c>
      <c r="J17" s="84" t="s">
        <v>2171</v>
      </c>
      <c r="K17" s="84" t="s">
        <v>6301</v>
      </c>
      <c r="L17" s="84" t="s">
        <v>6302</v>
      </c>
      <c r="M17" s="84" t="s">
        <v>6199</v>
      </c>
      <c r="N17" s="84" t="s">
        <v>6303</v>
      </c>
      <c r="O17" s="84" t="s">
        <v>6304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2500-1CA5-5348-A451-4B04BE979171}">
  <sheetPr>
    <tabColor rgb="FF92D050"/>
  </sheetPr>
  <dimension ref="A1:K9"/>
  <sheetViews>
    <sheetView workbookViewId="0">
      <selection activeCell="B17" sqref="B17"/>
    </sheetView>
  </sheetViews>
  <sheetFormatPr defaultColWidth="11.5546875" defaultRowHeight="15.95"/>
  <cols>
    <col min="1" max="1" width="28.77734375" bestFit="1" customWidth="1"/>
    <col min="2" max="2" width="20.44140625" bestFit="1" customWidth="1"/>
    <col min="3" max="3" width="10.109375" bestFit="1" customWidth="1"/>
    <col min="4" max="4" width="14" bestFit="1" customWidth="1"/>
    <col min="5" max="5" width="19.109375" bestFit="1" customWidth="1"/>
    <col min="6" max="6" width="70.6640625" bestFit="1" customWidth="1"/>
    <col min="7" max="7" width="52.109375" bestFit="1" customWidth="1"/>
    <col min="8" max="8" width="45.77734375" bestFit="1" customWidth="1"/>
    <col min="9" max="9" width="72" bestFit="1" customWidth="1"/>
    <col min="10" max="10" width="60.6640625" bestFit="1" customWidth="1"/>
    <col min="11" max="11" width="16.44140625" bestFit="1" customWidth="1"/>
  </cols>
  <sheetData>
    <row r="1" spans="1:11">
      <c r="A1" s="20" t="s">
        <v>6305</v>
      </c>
      <c r="B1" s="9" t="s">
        <v>6306</v>
      </c>
      <c r="C1" s="9" t="s">
        <v>2007</v>
      </c>
      <c r="D1" s="9" t="s">
        <v>6307</v>
      </c>
      <c r="E1" s="9" t="s">
        <v>6308</v>
      </c>
      <c r="F1" s="9" t="s">
        <v>6309</v>
      </c>
      <c r="G1" s="9" t="s">
        <v>6310</v>
      </c>
      <c r="H1" s="9" t="s">
        <v>6311</v>
      </c>
      <c r="I1" s="9" t="s">
        <v>6312</v>
      </c>
      <c r="J1" s="9" t="s">
        <v>6313</v>
      </c>
      <c r="K1" s="9" t="s">
        <v>6314</v>
      </c>
    </row>
    <row r="2" spans="1:11">
      <c r="A2" s="11" t="s">
        <v>6164</v>
      </c>
      <c r="B2" t="s">
        <v>6315</v>
      </c>
      <c r="C2" t="s">
        <v>6316</v>
      </c>
      <c r="D2" s="79">
        <v>46083</v>
      </c>
      <c r="E2" s="79">
        <v>46083</v>
      </c>
      <c r="F2" t="s">
        <v>6317</v>
      </c>
      <c r="G2" t="s">
        <v>6318</v>
      </c>
      <c r="H2" t="s">
        <v>6319</v>
      </c>
      <c r="I2" t="s">
        <v>6320</v>
      </c>
      <c r="J2" t="s">
        <v>6321</v>
      </c>
      <c r="K2" s="79">
        <v>46297</v>
      </c>
    </row>
    <row r="3" spans="1:11">
      <c r="A3" s="11" t="s">
        <v>6176</v>
      </c>
      <c r="B3" t="s">
        <v>6315</v>
      </c>
      <c r="C3" t="s">
        <v>6316</v>
      </c>
      <c r="D3" s="79">
        <v>46297</v>
      </c>
      <c r="E3" s="79">
        <v>46297</v>
      </c>
      <c r="F3" t="s">
        <v>6322</v>
      </c>
      <c r="G3" t="s">
        <v>6323</v>
      </c>
      <c r="H3" t="s">
        <v>6324</v>
      </c>
      <c r="I3" t="s">
        <v>6325</v>
      </c>
      <c r="J3" t="s">
        <v>6326</v>
      </c>
      <c r="K3" s="79" t="s">
        <v>6327</v>
      </c>
    </row>
    <row r="4" spans="1:11">
      <c r="A4" s="11" t="s">
        <v>6199</v>
      </c>
      <c r="B4" t="s">
        <v>6328</v>
      </c>
      <c r="C4" t="s">
        <v>1194</v>
      </c>
      <c r="D4" s="79" t="s">
        <v>6329</v>
      </c>
      <c r="E4" s="79" t="s">
        <v>6329</v>
      </c>
      <c r="F4" t="s">
        <v>6330</v>
      </c>
      <c r="G4" t="s">
        <v>6331</v>
      </c>
      <c r="H4" t="s">
        <v>6332</v>
      </c>
      <c r="I4" t="s">
        <v>6333</v>
      </c>
      <c r="J4" t="s">
        <v>6334</v>
      </c>
      <c r="K4" s="79" t="s">
        <v>6335</v>
      </c>
    </row>
    <row r="5" spans="1:11">
      <c r="A5" s="11" t="s">
        <v>6222</v>
      </c>
      <c r="B5" t="s">
        <v>6315</v>
      </c>
      <c r="C5" t="s">
        <v>6316</v>
      </c>
      <c r="D5" s="79" t="s">
        <v>6327</v>
      </c>
      <c r="E5" s="79" t="s">
        <v>6327</v>
      </c>
      <c r="F5" t="s">
        <v>6336</v>
      </c>
      <c r="G5" t="s">
        <v>6337</v>
      </c>
      <c r="H5" t="s">
        <v>6338</v>
      </c>
      <c r="I5" t="s">
        <v>6339</v>
      </c>
      <c r="J5" t="s">
        <v>6340</v>
      </c>
      <c r="K5" s="79" t="s">
        <v>6341</v>
      </c>
    </row>
    <row r="6" spans="1:11">
      <c r="A6" s="11" t="s">
        <v>6140</v>
      </c>
      <c r="B6" t="s">
        <v>6342</v>
      </c>
      <c r="C6" t="s">
        <v>6343</v>
      </c>
      <c r="D6" s="79" t="s">
        <v>6344</v>
      </c>
      <c r="E6" s="79" t="s">
        <v>6344</v>
      </c>
      <c r="F6" t="s">
        <v>6345</v>
      </c>
      <c r="G6" t="s">
        <v>6346</v>
      </c>
      <c r="H6" t="s">
        <v>6347</v>
      </c>
      <c r="I6" t="s">
        <v>6348</v>
      </c>
      <c r="J6" t="s">
        <v>6349</v>
      </c>
      <c r="K6" s="79">
        <v>46176</v>
      </c>
    </row>
    <row r="7" spans="1:11">
      <c r="A7" s="11" t="s">
        <v>6152</v>
      </c>
      <c r="B7" t="s">
        <v>6315</v>
      </c>
      <c r="C7" t="s">
        <v>6316</v>
      </c>
      <c r="D7" s="79" t="s">
        <v>6341</v>
      </c>
      <c r="E7" s="79" t="s">
        <v>6341</v>
      </c>
      <c r="F7" t="s">
        <v>6350</v>
      </c>
      <c r="G7" t="s">
        <v>6351</v>
      </c>
      <c r="H7" t="s">
        <v>6352</v>
      </c>
      <c r="I7" t="s">
        <v>6353</v>
      </c>
      <c r="J7" t="s">
        <v>6354</v>
      </c>
      <c r="K7" s="79">
        <v>46084</v>
      </c>
    </row>
    <row r="8" spans="1:11">
      <c r="A8" s="11" t="s">
        <v>6278</v>
      </c>
      <c r="B8" t="s">
        <v>6342</v>
      </c>
      <c r="C8" t="s">
        <v>6343</v>
      </c>
      <c r="D8" s="79" t="s">
        <v>6355</v>
      </c>
      <c r="E8" s="79" t="s">
        <v>6355</v>
      </c>
      <c r="F8" t="s">
        <v>6356</v>
      </c>
      <c r="G8" t="s">
        <v>6357</v>
      </c>
      <c r="H8" t="s">
        <v>6358</v>
      </c>
      <c r="I8" t="s">
        <v>6359</v>
      </c>
      <c r="J8" t="s">
        <v>6360</v>
      </c>
      <c r="K8" s="79">
        <v>46359</v>
      </c>
    </row>
    <row r="9" spans="1:11">
      <c r="A9" s="11" t="s">
        <v>6361</v>
      </c>
      <c r="B9" t="s">
        <v>6328</v>
      </c>
      <c r="C9" t="s">
        <v>1194</v>
      </c>
      <c r="D9" s="79" t="s">
        <v>6362</v>
      </c>
      <c r="E9" s="79" t="s">
        <v>6362</v>
      </c>
      <c r="F9" t="s">
        <v>6363</v>
      </c>
      <c r="G9" t="s">
        <v>6364</v>
      </c>
      <c r="H9" t="s">
        <v>6365</v>
      </c>
      <c r="I9" t="s">
        <v>6366</v>
      </c>
      <c r="J9" t="s">
        <v>6367</v>
      </c>
      <c r="K9" s="79" t="s">
        <v>6368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D9A9-9375-4F28-A59D-7BAA91EDE619}">
  <dimension ref="A1:D5"/>
  <sheetViews>
    <sheetView workbookViewId="0">
      <selection activeCell="C18" sqref="C18"/>
    </sheetView>
  </sheetViews>
  <sheetFormatPr defaultRowHeight="15"/>
  <cols>
    <col min="1" max="1" width="5" bestFit="1" customWidth="1"/>
    <col min="2" max="2" width="23.5546875" bestFit="1" customWidth="1"/>
    <col min="3" max="3" width="18.21875" bestFit="1" customWidth="1"/>
    <col min="4" max="4" width="77.88671875" customWidth="1"/>
  </cols>
  <sheetData>
    <row r="1" spans="1:4">
      <c r="A1" s="87" t="s">
        <v>0</v>
      </c>
      <c r="B1" s="87" t="s">
        <v>6369</v>
      </c>
      <c r="C1" s="87" t="s">
        <v>6370</v>
      </c>
      <c r="D1" s="87" t="s">
        <v>1774</v>
      </c>
    </row>
    <row r="2" spans="1:4" ht="16.5" customHeight="1">
      <c r="A2">
        <v>1</v>
      </c>
      <c r="B2" t="s">
        <v>6371</v>
      </c>
      <c r="C2" t="s">
        <v>6372</v>
      </c>
      <c r="D2" s="95" t="s">
        <v>6373</v>
      </c>
    </row>
    <row r="3" spans="1:4">
      <c r="A3">
        <v>2</v>
      </c>
      <c r="B3" t="s">
        <v>6374</v>
      </c>
      <c r="C3" t="s">
        <v>6375</v>
      </c>
      <c r="D3" t="s">
        <v>6376</v>
      </c>
    </row>
    <row r="4" spans="1:4" ht="17.25">
      <c r="A4">
        <v>3</v>
      </c>
      <c r="B4" t="s">
        <v>6377</v>
      </c>
      <c r="C4" t="s">
        <v>6378</v>
      </c>
      <c r="D4" s="95" t="s">
        <v>6379</v>
      </c>
    </row>
    <row r="5" spans="1:4">
      <c r="A5">
        <v>4</v>
      </c>
      <c r="B5" t="s">
        <v>6380</v>
      </c>
      <c r="C5" t="s">
        <v>6381</v>
      </c>
      <c r="D5" t="s">
        <v>6382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F552-55ED-4E39-B58D-B78C8BDD05D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6C8A-93A8-4C72-B9E1-55CFC4BF6876}">
  <dimension ref="A1"/>
  <sheetViews>
    <sheetView workbookViewId="0">
      <selection activeCell="H11" sqref="H11"/>
    </sheetView>
  </sheetViews>
  <sheetFormatPr defaultRowHeight="15"/>
  <sheetData>
    <row r="1" spans="1:1">
      <c r="A1" t="s">
        <v>6383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36C4-7CDB-4174-A768-7201D4E7DB3D}">
  <dimension ref="A1"/>
  <sheetViews>
    <sheetView workbookViewId="0">
      <selection activeCell="H5" sqref="H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Koshy Alex</dc:creator>
  <cp:keywords/>
  <dc:description/>
  <cp:lastModifiedBy/>
  <cp:revision/>
  <dcterms:created xsi:type="dcterms:W3CDTF">2026-02-18T06:19:14Z</dcterms:created>
  <dcterms:modified xsi:type="dcterms:W3CDTF">2026-02-23T07:18:24Z</dcterms:modified>
  <cp:category/>
  <cp:contentStatus/>
</cp:coreProperties>
</file>